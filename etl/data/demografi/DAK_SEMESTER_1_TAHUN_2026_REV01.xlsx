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(C) FOLDER C\DISDUKCAPIL 2\DATA KONSOLIDASI BERSIH\DATA KONSOLIDASI BERSIH SEMESTER 1 TAHUN 2026\PDAK\"/>
    </mc:Choice>
  </mc:AlternateContent>
  <xr:revisionPtr revIDLastSave="0" documentId="13_ncr:1_{82C502A2-F382-4AAD-97C5-DF8491182259}" xr6:coauthVersionLast="45" xr6:coauthVersionMax="45" xr10:uidLastSave="{00000000-0000-0000-0000-000000000000}"/>
  <bookViews>
    <workbookView xWindow="-110" yWindow="-110" windowWidth="19420" windowHeight="10300" firstSheet="6" activeTab="7" xr2:uid="{F67B9C54-355D-4C60-B694-79E8CE7E6CF2}"/>
  </bookViews>
  <sheets>
    <sheet name="JUMDUK" sheetId="1" r:id="rId1"/>
    <sheet name="JUMDUK KEC&amp; KEL (GRAPH)" sheetId="2" r:id="rId2"/>
    <sheet name="JUM_KK" sheetId="3" r:id="rId3"/>
    <sheet name="JUM_KK KECAMATAN" sheetId="4" r:id="rId4"/>
    <sheet name="JUMDUK_AGM" sheetId="5" r:id="rId5"/>
    <sheet name="JUMDUK PEND" sheetId="6" r:id="rId6"/>
    <sheet name="JUMDUK PEKERJAAN" sheetId="15" r:id="rId7"/>
    <sheet name="JUMDUK_GOLDAR" sheetId="7" r:id="rId8"/>
    <sheet name="JUMDUK_STUSKWN" sheetId="8" r:id="rId9"/>
    <sheet name="JUMDUK_STATHUBKEL" sheetId="9" r:id="rId10"/>
    <sheet name="JUMDUK_DISABLITAS" sheetId="10" r:id="rId11"/>
    <sheet name="JUMDUK_KELUMUR" sheetId="11" r:id="rId12"/>
    <sheet name="UMUR TUNGGAL" sheetId="12" r:id="rId13"/>
    <sheet name="PRODUKTIF_NON" sheetId="13" r:id="rId14"/>
    <sheet name="WAJIB KTP" sheetId="14" r:id="rId15"/>
  </sheets>
  <externalReferences>
    <externalReference r:id="rId16"/>
  </externalReferences>
  <definedNames>
    <definedName name="_xlnm.Print_Area" localSheetId="2">JUM_KK!$A$1:$O$73</definedName>
    <definedName name="_xlnm.Print_Area" localSheetId="3">'JUM_KK KECAMATAN'!$A$1:$G$75</definedName>
    <definedName name="_xlnm.Print_Area" localSheetId="1">'JUMDUK KEC&amp; KEL (GRAPH)'!$B$1:$J$162</definedName>
    <definedName name="_xlnm.Print_Area" localSheetId="6">'JUMDUK PEKERJAAN'!$A$1:$LL$72</definedName>
    <definedName name="_xlnm.Print_Area" localSheetId="10">JUMDUK_DISABLITAS!$A$1:$W$72</definedName>
    <definedName name="_xlnm.Print_Area" localSheetId="7">JUMDUK_GOLDAR!$A$1:$AR$76</definedName>
    <definedName name="_xlnm.Print_Area" localSheetId="11">JUMDUK_KELUMUR!$A$1:$AX$75</definedName>
    <definedName name="_xlnm.Print_Titles" localSheetId="2">JUM_KK!$4:$4</definedName>
    <definedName name="_xlnm.Print_Titles" localSheetId="0">JUMDUK!$4:$4</definedName>
    <definedName name="_xlnm.Print_Titles" localSheetId="6">'JUMDUK PEKERJAAN'!$A:$C,'JUMDUK PEKERJAAN'!$3:$3</definedName>
    <definedName name="_xlnm.Print_Titles" localSheetId="4">JUMDUK_AGM!$A:$B,JUMDUK_AGM!$4:$4</definedName>
    <definedName name="_xlnm.Print_Titles" localSheetId="10">JUMDUK_DISABLITAS!$A:$B,JUMDUK_DISABLITAS!$3:$3</definedName>
    <definedName name="_xlnm.Print_Titles" localSheetId="7">JUMDUK_GOLDAR!$A:$B,JUMDUK_GOLDAR!$4:$4</definedName>
    <definedName name="_xlnm.Print_Titles" localSheetId="11">JUMDUK_KELUMUR!$A:$B,JUMDUK_KELUMUR!$5:$6</definedName>
    <definedName name="_xlnm.Print_Titles" localSheetId="9">JUMDUK_STATHUBKEL!$A:$B,JUMDUK_STATHUBKEL!$4:$4</definedName>
    <definedName name="_xlnm.Print_Titles" localSheetId="12">'UMUR TUNGGAL'!$A:$B,'UMUR TUNGGAL'!$8:$8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L72" i="15" l="1"/>
  <c r="LI72" i="15"/>
  <c r="LF72" i="15"/>
  <c r="LC72" i="15"/>
  <c r="KZ72" i="15"/>
  <c r="KW72" i="15"/>
  <c r="KT72" i="15"/>
  <c r="KQ72" i="15"/>
  <c r="KN72" i="15"/>
  <c r="KK72" i="15"/>
  <c r="KH72" i="15"/>
  <c r="KE72" i="15"/>
  <c r="KB72" i="15"/>
  <c r="JY72" i="15"/>
  <c r="JV72" i="15"/>
  <c r="JS72" i="15"/>
  <c r="JP72" i="15"/>
  <c r="JM72" i="15"/>
  <c r="JJ72" i="15"/>
  <c r="JG72" i="15"/>
  <c r="JD72" i="15"/>
  <c r="JA72" i="15"/>
  <c r="IX72" i="15"/>
  <c r="IU72" i="15"/>
  <c r="IR72" i="15"/>
  <c r="IO72" i="15"/>
  <c r="IL72" i="15"/>
  <c r="II72" i="15"/>
  <c r="IF72" i="15"/>
  <c r="IC72" i="15"/>
  <c r="HZ72" i="15"/>
  <c r="HW72" i="15"/>
  <c r="HT72" i="15"/>
  <c r="HQ72" i="15"/>
  <c r="HN72" i="15"/>
  <c r="HK72" i="15"/>
  <c r="HH72" i="15"/>
  <c r="HE72" i="15"/>
  <c r="HB72" i="15"/>
  <c r="GY72" i="15"/>
  <c r="GV72" i="15"/>
  <c r="GS72" i="15"/>
  <c r="GP72" i="15"/>
  <c r="GM72" i="15"/>
  <c r="GJ72" i="15"/>
  <c r="GG72" i="15"/>
  <c r="GD72" i="15"/>
  <c r="GA72" i="15"/>
  <c r="FX72" i="15"/>
  <c r="FU72" i="15"/>
  <c r="FR72" i="15"/>
  <c r="FO72" i="15"/>
  <c r="FL72" i="15"/>
  <c r="FI72" i="15"/>
  <c r="FF72" i="15"/>
  <c r="FC72" i="15"/>
  <c r="EZ72" i="15"/>
  <c r="EW72" i="15"/>
  <c r="ET72" i="15"/>
  <c r="EQ72" i="15"/>
  <c r="EN72" i="15"/>
  <c r="EK72" i="15"/>
  <c r="EH72" i="15"/>
  <c r="EE72" i="15"/>
  <c r="EB72" i="15"/>
  <c r="DY72" i="15"/>
  <c r="DV72" i="15"/>
  <c r="DS72" i="15"/>
  <c r="DP72" i="15"/>
  <c r="DM72" i="15"/>
  <c r="DJ72" i="15"/>
  <c r="DG72" i="15"/>
  <c r="DD72" i="15"/>
  <c r="DA72" i="15"/>
  <c r="CX72" i="15"/>
  <c r="CU72" i="15"/>
  <c r="CR72" i="15"/>
  <c r="CO72" i="15"/>
  <c r="CL72" i="15"/>
  <c r="CI72" i="15"/>
  <c r="CF72" i="15"/>
  <c r="CC72" i="15"/>
  <c r="BZ72" i="15"/>
  <c r="BW72" i="15"/>
  <c r="BT72" i="15"/>
  <c r="BQ72" i="15"/>
  <c r="BN72" i="15"/>
  <c r="BK72" i="15"/>
  <c r="BH72" i="15"/>
  <c r="BE72" i="15"/>
  <c r="BB72" i="15"/>
  <c r="AY72" i="15"/>
  <c r="AV72" i="15"/>
  <c r="AS72" i="15"/>
  <c r="AP72" i="15"/>
  <c r="AM72" i="15"/>
  <c r="AJ72" i="15"/>
  <c r="AG72" i="15"/>
  <c r="AD72" i="15"/>
  <c r="AA72" i="15"/>
  <c r="X72" i="15"/>
  <c r="U72" i="15"/>
  <c r="R72" i="15"/>
  <c r="O72" i="15"/>
  <c r="L72" i="15"/>
  <c r="I72" i="15"/>
  <c r="F72" i="15"/>
  <c r="LL71" i="15"/>
  <c r="LI71" i="15"/>
  <c r="LF71" i="15"/>
  <c r="LC71" i="15"/>
  <c r="KZ71" i="15"/>
  <c r="KW71" i="15"/>
  <c r="KT71" i="15"/>
  <c r="KQ71" i="15"/>
  <c r="KN71" i="15"/>
  <c r="KK71" i="15"/>
  <c r="KH71" i="15"/>
  <c r="KE71" i="15"/>
  <c r="KB71" i="15"/>
  <c r="JY71" i="15"/>
  <c r="JV71" i="15"/>
  <c r="JS71" i="15"/>
  <c r="JP71" i="15"/>
  <c r="JM71" i="15"/>
  <c r="JJ71" i="15"/>
  <c r="JG71" i="15"/>
  <c r="JD71" i="15"/>
  <c r="JA71" i="15"/>
  <c r="IX71" i="15"/>
  <c r="IU71" i="15"/>
  <c r="IR71" i="15"/>
  <c r="IO71" i="15"/>
  <c r="IL71" i="15"/>
  <c r="II71" i="15"/>
  <c r="IF71" i="15"/>
  <c r="IC71" i="15"/>
  <c r="HZ71" i="15"/>
  <c r="HW71" i="15"/>
  <c r="HT71" i="15"/>
  <c r="HQ71" i="15"/>
  <c r="HN71" i="15"/>
  <c r="HK71" i="15"/>
  <c r="HH71" i="15"/>
  <c r="HE71" i="15"/>
  <c r="HB71" i="15"/>
  <c r="GY71" i="15"/>
  <c r="GV71" i="15"/>
  <c r="GS71" i="15"/>
  <c r="GP71" i="15"/>
  <c r="GM71" i="15"/>
  <c r="GJ71" i="15"/>
  <c r="GG71" i="15"/>
  <c r="GD71" i="15"/>
  <c r="GA71" i="15"/>
  <c r="FX71" i="15"/>
  <c r="FU71" i="15"/>
  <c r="FR71" i="15"/>
  <c r="FO71" i="15"/>
  <c r="FL71" i="15"/>
  <c r="FI71" i="15"/>
  <c r="FF71" i="15"/>
  <c r="FC71" i="15"/>
  <c r="EZ71" i="15"/>
  <c r="EW71" i="15"/>
  <c r="ET71" i="15"/>
  <c r="EQ71" i="15"/>
  <c r="EN71" i="15"/>
  <c r="EK71" i="15"/>
  <c r="EH71" i="15"/>
  <c r="EE71" i="15"/>
  <c r="EB71" i="15"/>
  <c r="DY71" i="15"/>
  <c r="DV71" i="15"/>
  <c r="DS71" i="15"/>
  <c r="DP71" i="15"/>
  <c r="DM71" i="15"/>
  <c r="DJ71" i="15"/>
  <c r="DG71" i="15"/>
  <c r="DD71" i="15"/>
  <c r="DA71" i="15"/>
  <c r="CX71" i="15"/>
  <c r="CU71" i="15"/>
  <c r="CR71" i="15"/>
  <c r="CO71" i="15"/>
  <c r="CL71" i="15"/>
  <c r="CI71" i="15"/>
  <c r="CF71" i="15"/>
  <c r="CC71" i="15"/>
  <c r="BZ71" i="15"/>
  <c r="BW71" i="15"/>
  <c r="BT71" i="15"/>
  <c r="BQ71" i="15"/>
  <c r="BN71" i="15"/>
  <c r="BK71" i="15"/>
  <c r="BH71" i="15"/>
  <c r="BE71" i="15"/>
  <c r="BB71" i="15"/>
  <c r="AY71" i="15"/>
  <c r="AV71" i="15"/>
  <c r="AS71" i="15"/>
  <c r="AP71" i="15"/>
  <c r="AM71" i="15"/>
  <c r="AJ71" i="15"/>
  <c r="AG71" i="15"/>
  <c r="AD71" i="15"/>
  <c r="AA71" i="15"/>
  <c r="X71" i="15"/>
  <c r="U71" i="15"/>
  <c r="R71" i="15"/>
  <c r="O71" i="15"/>
  <c r="L71" i="15"/>
  <c r="I71" i="15"/>
  <c r="F71" i="15"/>
  <c r="LL70" i="15"/>
  <c r="LI70" i="15"/>
  <c r="LF70" i="15"/>
  <c r="LC70" i="15"/>
  <c r="KZ70" i="15"/>
  <c r="KW70" i="15"/>
  <c r="KT70" i="15"/>
  <c r="KQ70" i="15"/>
  <c r="KN70" i="15"/>
  <c r="KK70" i="15"/>
  <c r="KH70" i="15"/>
  <c r="KE70" i="15"/>
  <c r="KB70" i="15"/>
  <c r="JY70" i="15"/>
  <c r="JV70" i="15"/>
  <c r="JS70" i="15"/>
  <c r="JP70" i="15"/>
  <c r="JM70" i="15"/>
  <c r="JJ70" i="15"/>
  <c r="JG70" i="15"/>
  <c r="JD70" i="15"/>
  <c r="JA70" i="15"/>
  <c r="IX70" i="15"/>
  <c r="IU70" i="15"/>
  <c r="IR70" i="15"/>
  <c r="IO70" i="15"/>
  <c r="IL70" i="15"/>
  <c r="II70" i="15"/>
  <c r="IF70" i="15"/>
  <c r="IC70" i="15"/>
  <c r="HZ70" i="15"/>
  <c r="HW70" i="15"/>
  <c r="HT70" i="15"/>
  <c r="HQ70" i="15"/>
  <c r="HN70" i="15"/>
  <c r="HK70" i="15"/>
  <c r="HH70" i="15"/>
  <c r="HE70" i="15"/>
  <c r="HB70" i="15"/>
  <c r="GY70" i="15"/>
  <c r="GV70" i="15"/>
  <c r="GS70" i="15"/>
  <c r="GP70" i="15"/>
  <c r="GM70" i="15"/>
  <c r="GJ70" i="15"/>
  <c r="GG70" i="15"/>
  <c r="GD70" i="15"/>
  <c r="GA70" i="15"/>
  <c r="FX70" i="15"/>
  <c r="FU70" i="15"/>
  <c r="FR70" i="15"/>
  <c r="FO70" i="15"/>
  <c r="FL70" i="15"/>
  <c r="FI70" i="15"/>
  <c r="FF70" i="15"/>
  <c r="FC70" i="15"/>
  <c r="EZ70" i="15"/>
  <c r="EW70" i="15"/>
  <c r="ET70" i="15"/>
  <c r="EQ70" i="15"/>
  <c r="EN70" i="15"/>
  <c r="EK70" i="15"/>
  <c r="EH70" i="15"/>
  <c r="EE70" i="15"/>
  <c r="EB70" i="15"/>
  <c r="DY70" i="15"/>
  <c r="DV70" i="15"/>
  <c r="DS70" i="15"/>
  <c r="DP70" i="15"/>
  <c r="DM70" i="15"/>
  <c r="DJ70" i="15"/>
  <c r="DG70" i="15"/>
  <c r="DD70" i="15"/>
  <c r="DA70" i="15"/>
  <c r="CX70" i="15"/>
  <c r="CU70" i="15"/>
  <c r="CR70" i="15"/>
  <c r="CO70" i="15"/>
  <c r="CL70" i="15"/>
  <c r="CI70" i="15"/>
  <c r="CF70" i="15"/>
  <c r="CC70" i="15"/>
  <c r="BZ70" i="15"/>
  <c r="BW70" i="15"/>
  <c r="BT70" i="15"/>
  <c r="BQ70" i="15"/>
  <c r="BN70" i="15"/>
  <c r="BK70" i="15"/>
  <c r="BH70" i="15"/>
  <c r="BE70" i="15"/>
  <c r="BB70" i="15"/>
  <c r="AY70" i="15"/>
  <c r="AV70" i="15"/>
  <c r="AS70" i="15"/>
  <c r="AP70" i="15"/>
  <c r="AM70" i="15"/>
  <c r="AJ70" i="15"/>
  <c r="AG70" i="15"/>
  <c r="AD70" i="15"/>
  <c r="AA70" i="15"/>
  <c r="X70" i="15"/>
  <c r="U70" i="15"/>
  <c r="R70" i="15"/>
  <c r="O70" i="15"/>
  <c r="L70" i="15"/>
  <c r="I70" i="15"/>
  <c r="F70" i="15"/>
  <c r="LL69" i="15"/>
  <c r="LI69" i="15"/>
  <c r="LF69" i="15"/>
  <c r="LC69" i="15"/>
  <c r="KZ69" i="15"/>
  <c r="KW69" i="15"/>
  <c r="KT69" i="15"/>
  <c r="KQ69" i="15"/>
  <c r="KN69" i="15"/>
  <c r="KK69" i="15"/>
  <c r="KH69" i="15"/>
  <c r="KE69" i="15"/>
  <c r="KB69" i="15"/>
  <c r="JY69" i="15"/>
  <c r="JV69" i="15"/>
  <c r="JS69" i="15"/>
  <c r="JP69" i="15"/>
  <c r="JM69" i="15"/>
  <c r="JJ69" i="15"/>
  <c r="JG69" i="15"/>
  <c r="JD69" i="15"/>
  <c r="JA69" i="15"/>
  <c r="IX69" i="15"/>
  <c r="IU69" i="15"/>
  <c r="IR69" i="15"/>
  <c r="IO69" i="15"/>
  <c r="IL69" i="15"/>
  <c r="II69" i="15"/>
  <c r="IF69" i="15"/>
  <c r="IC69" i="15"/>
  <c r="HZ69" i="15"/>
  <c r="HW69" i="15"/>
  <c r="HT69" i="15"/>
  <c r="HQ69" i="15"/>
  <c r="HN69" i="15"/>
  <c r="HK69" i="15"/>
  <c r="HH69" i="15"/>
  <c r="HE69" i="15"/>
  <c r="HB69" i="15"/>
  <c r="GY69" i="15"/>
  <c r="GV69" i="15"/>
  <c r="GS69" i="15"/>
  <c r="GP69" i="15"/>
  <c r="GM69" i="15"/>
  <c r="GJ69" i="15"/>
  <c r="GG69" i="15"/>
  <c r="GD69" i="15"/>
  <c r="GA69" i="15"/>
  <c r="FX69" i="15"/>
  <c r="FU69" i="15"/>
  <c r="FR69" i="15"/>
  <c r="FO69" i="15"/>
  <c r="FL69" i="15"/>
  <c r="FI69" i="15"/>
  <c r="FF69" i="15"/>
  <c r="FC69" i="15"/>
  <c r="EZ69" i="15"/>
  <c r="EW69" i="15"/>
  <c r="ET69" i="15"/>
  <c r="EQ69" i="15"/>
  <c r="EN69" i="15"/>
  <c r="EK69" i="15"/>
  <c r="EH69" i="15"/>
  <c r="EE69" i="15"/>
  <c r="EB69" i="15"/>
  <c r="DY69" i="15"/>
  <c r="DV69" i="15"/>
  <c r="DS69" i="15"/>
  <c r="DP69" i="15"/>
  <c r="DM69" i="15"/>
  <c r="DJ69" i="15"/>
  <c r="DG69" i="15"/>
  <c r="DD69" i="15"/>
  <c r="DA69" i="15"/>
  <c r="CX69" i="15"/>
  <c r="CU69" i="15"/>
  <c r="CR69" i="15"/>
  <c r="CO69" i="15"/>
  <c r="CL69" i="15"/>
  <c r="CI69" i="15"/>
  <c r="CF69" i="15"/>
  <c r="CC69" i="15"/>
  <c r="BZ69" i="15"/>
  <c r="BW69" i="15"/>
  <c r="BT69" i="15"/>
  <c r="BQ69" i="15"/>
  <c r="BN69" i="15"/>
  <c r="BK69" i="15"/>
  <c r="BH69" i="15"/>
  <c r="BE69" i="15"/>
  <c r="BB69" i="15"/>
  <c r="AY69" i="15"/>
  <c r="AV69" i="15"/>
  <c r="AS69" i="15"/>
  <c r="AP69" i="15"/>
  <c r="AM69" i="15"/>
  <c r="AJ69" i="15"/>
  <c r="AG69" i="15"/>
  <c r="AD69" i="15"/>
  <c r="AA69" i="15"/>
  <c r="X69" i="15"/>
  <c r="U69" i="15"/>
  <c r="R69" i="15"/>
  <c r="O69" i="15"/>
  <c r="L69" i="15"/>
  <c r="I69" i="15"/>
  <c r="F69" i="15"/>
  <c r="LL68" i="15"/>
  <c r="LI68" i="15"/>
  <c r="LF68" i="15"/>
  <c r="LC68" i="15"/>
  <c r="KZ68" i="15"/>
  <c r="KW68" i="15"/>
  <c r="KT68" i="15"/>
  <c r="KQ68" i="15"/>
  <c r="KN68" i="15"/>
  <c r="KK68" i="15"/>
  <c r="KH68" i="15"/>
  <c r="KE68" i="15"/>
  <c r="KB68" i="15"/>
  <c r="JY68" i="15"/>
  <c r="JV68" i="15"/>
  <c r="JS68" i="15"/>
  <c r="JP68" i="15"/>
  <c r="JM68" i="15"/>
  <c r="JJ68" i="15"/>
  <c r="JG68" i="15"/>
  <c r="JD68" i="15"/>
  <c r="JA68" i="15"/>
  <c r="IX68" i="15"/>
  <c r="IU68" i="15"/>
  <c r="IR68" i="15"/>
  <c r="IO68" i="15"/>
  <c r="IL68" i="15"/>
  <c r="II68" i="15"/>
  <c r="IF68" i="15"/>
  <c r="IC68" i="15"/>
  <c r="HZ68" i="15"/>
  <c r="HW68" i="15"/>
  <c r="HT68" i="15"/>
  <c r="HQ68" i="15"/>
  <c r="HN68" i="15"/>
  <c r="HK68" i="15"/>
  <c r="HH68" i="15"/>
  <c r="HE68" i="15"/>
  <c r="HB68" i="15"/>
  <c r="GY68" i="15"/>
  <c r="GV68" i="15"/>
  <c r="GS68" i="15"/>
  <c r="GP68" i="15"/>
  <c r="GM68" i="15"/>
  <c r="GJ68" i="15"/>
  <c r="GG68" i="15"/>
  <c r="GD68" i="15"/>
  <c r="GA68" i="15"/>
  <c r="FX68" i="15"/>
  <c r="FU68" i="15"/>
  <c r="FR68" i="15"/>
  <c r="FO68" i="15"/>
  <c r="FL68" i="15"/>
  <c r="FI68" i="15"/>
  <c r="FF68" i="15"/>
  <c r="FC68" i="15"/>
  <c r="EZ68" i="15"/>
  <c r="EW68" i="15"/>
  <c r="ET68" i="15"/>
  <c r="EQ68" i="15"/>
  <c r="EN68" i="15"/>
  <c r="EK68" i="15"/>
  <c r="EH68" i="15"/>
  <c r="EE68" i="15"/>
  <c r="EB68" i="15"/>
  <c r="DY68" i="15"/>
  <c r="DV68" i="15"/>
  <c r="DS68" i="15"/>
  <c r="DP68" i="15"/>
  <c r="DM68" i="15"/>
  <c r="DJ68" i="15"/>
  <c r="DG68" i="15"/>
  <c r="DD68" i="15"/>
  <c r="DA68" i="15"/>
  <c r="CX68" i="15"/>
  <c r="CU68" i="15"/>
  <c r="CR68" i="15"/>
  <c r="CO68" i="15"/>
  <c r="CL68" i="15"/>
  <c r="CI68" i="15"/>
  <c r="CF68" i="15"/>
  <c r="CC68" i="15"/>
  <c r="BZ68" i="15"/>
  <c r="BW68" i="15"/>
  <c r="BT68" i="15"/>
  <c r="BQ68" i="15"/>
  <c r="BN68" i="15"/>
  <c r="BK68" i="15"/>
  <c r="BH68" i="15"/>
  <c r="BE68" i="15"/>
  <c r="BB68" i="15"/>
  <c r="AY68" i="15"/>
  <c r="AV68" i="15"/>
  <c r="AS68" i="15"/>
  <c r="AP68" i="15"/>
  <c r="AM68" i="15"/>
  <c r="AJ68" i="15"/>
  <c r="AG68" i="15"/>
  <c r="AD68" i="15"/>
  <c r="AA68" i="15"/>
  <c r="X68" i="15"/>
  <c r="U68" i="15"/>
  <c r="R68" i="15"/>
  <c r="O68" i="15"/>
  <c r="L68" i="15"/>
  <c r="I68" i="15"/>
  <c r="F68" i="15"/>
  <c r="LL67" i="15"/>
  <c r="LI67" i="15"/>
  <c r="LF67" i="15"/>
  <c r="LC67" i="15"/>
  <c r="KZ67" i="15"/>
  <c r="KW67" i="15"/>
  <c r="KT67" i="15"/>
  <c r="KQ67" i="15"/>
  <c r="KN67" i="15"/>
  <c r="KK67" i="15"/>
  <c r="KH67" i="15"/>
  <c r="KE67" i="15"/>
  <c r="KB67" i="15"/>
  <c r="JY67" i="15"/>
  <c r="JV67" i="15"/>
  <c r="JS67" i="15"/>
  <c r="JP67" i="15"/>
  <c r="JM67" i="15"/>
  <c r="JJ67" i="15"/>
  <c r="JG67" i="15"/>
  <c r="JD67" i="15"/>
  <c r="JA67" i="15"/>
  <c r="IX67" i="15"/>
  <c r="IU67" i="15"/>
  <c r="IR67" i="15"/>
  <c r="IO67" i="15"/>
  <c r="IL67" i="15"/>
  <c r="II67" i="15"/>
  <c r="IF67" i="15"/>
  <c r="IC67" i="15"/>
  <c r="HZ67" i="15"/>
  <c r="HW67" i="15"/>
  <c r="HT67" i="15"/>
  <c r="HQ67" i="15"/>
  <c r="HN67" i="15"/>
  <c r="HK67" i="15"/>
  <c r="HH67" i="15"/>
  <c r="HE67" i="15"/>
  <c r="HB67" i="15"/>
  <c r="GY67" i="15"/>
  <c r="GV67" i="15"/>
  <c r="GS67" i="15"/>
  <c r="GP67" i="15"/>
  <c r="GM67" i="15"/>
  <c r="GJ67" i="15"/>
  <c r="GG67" i="15"/>
  <c r="GD67" i="15"/>
  <c r="GA67" i="15"/>
  <c r="FX67" i="15"/>
  <c r="FU67" i="15"/>
  <c r="FR67" i="15"/>
  <c r="FO67" i="15"/>
  <c r="FL67" i="15"/>
  <c r="FI67" i="15"/>
  <c r="FF67" i="15"/>
  <c r="FC67" i="15"/>
  <c r="EZ67" i="15"/>
  <c r="EW67" i="15"/>
  <c r="ET67" i="15"/>
  <c r="EQ67" i="15"/>
  <c r="EN67" i="15"/>
  <c r="EK67" i="15"/>
  <c r="EH67" i="15"/>
  <c r="EE67" i="15"/>
  <c r="EB67" i="15"/>
  <c r="DY67" i="15"/>
  <c r="DV67" i="15"/>
  <c r="DS67" i="15"/>
  <c r="DP67" i="15"/>
  <c r="DM67" i="15"/>
  <c r="DJ67" i="15"/>
  <c r="DG67" i="15"/>
  <c r="DD67" i="15"/>
  <c r="DA67" i="15"/>
  <c r="CX67" i="15"/>
  <c r="CU67" i="15"/>
  <c r="CR67" i="15"/>
  <c r="CO67" i="15"/>
  <c r="CL67" i="15"/>
  <c r="CI67" i="15"/>
  <c r="CF67" i="15"/>
  <c r="CC67" i="15"/>
  <c r="BZ67" i="15"/>
  <c r="BW67" i="15"/>
  <c r="BT67" i="15"/>
  <c r="BQ67" i="15"/>
  <c r="BN67" i="15"/>
  <c r="BK67" i="15"/>
  <c r="BH67" i="15"/>
  <c r="BE67" i="15"/>
  <c r="BB67" i="15"/>
  <c r="AY67" i="15"/>
  <c r="AV67" i="15"/>
  <c r="AS67" i="15"/>
  <c r="AP67" i="15"/>
  <c r="AM67" i="15"/>
  <c r="AJ67" i="15"/>
  <c r="AG67" i="15"/>
  <c r="AD67" i="15"/>
  <c r="AA67" i="15"/>
  <c r="X67" i="15"/>
  <c r="U67" i="15"/>
  <c r="R67" i="15"/>
  <c r="O67" i="15"/>
  <c r="L67" i="15"/>
  <c r="I67" i="15"/>
  <c r="F67" i="15"/>
  <c r="LL66" i="15"/>
  <c r="LI66" i="15"/>
  <c r="LF66" i="15"/>
  <c r="LC66" i="15"/>
  <c r="KZ66" i="15"/>
  <c r="KW66" i="15"/>
  <c r="KT66" i="15"/>
  <c r="KQ66" i="15"/>
  <c r="KN66" i="15"/>
  <c r="KK66" i="15"/>
  <c r="KH66" i="15"/>
  <c r="KE66" i="15"/>
  <c r="KB66" i="15"/>
  <c r="JY66" i="15"/>
  <c r="JV66" i="15"/>
  <c r="JS66" i="15"/>
  <c r="JP66" i="15"/>
  <c r="JM66" i="15"/>
  <c r="JJ66" i="15"/>
  <c r="JG66" i="15"/>
  <c r="JD66" i="15"/>
  <c r="JA66" i="15"/>
  <c r="IX66" i="15"/>
  <c r="IU66" i="15"/>
  <c r="IR66" i="15"/>
  <c r="IO66" i="15"/>
  <c r="IL66" i="15"/>
  <c r="II66" i="15"/>
  <c r="IF66" i="15"/>
  <c r="IC66" i="15"/>
  <c r="HZ66" i="15"/>
  <c r="HW66" i="15"/>
  <c r="HT66" i="15"/>
  <c r="HQ66" i="15"/>
  <c r="HN66" i="15"/>
  <c r="HK66" i="15"/>
  <c r="HH66" i="15"/>
  <c r="HE66" i="15"/>
  <c r="HB66" i="15"/>
  <c r="GY66" i="15"/>
  <c r="GV66" i="15"/>
  <c r="GS66" i="15"/>
  <c r="GP66" i="15"/>
  <c r="GM66" i="15"/>
  <c r="GJ66" i="15"/>
  <c r="GG66" i="15"/>
  <c r="GD66" i="15"/>
  <c r="GA66" i="15"/>
  <c r="FX66" i="15"/>
  <c r="FU66" i="15"/>
  <c r="FR66" i="15"/>
  <c r="FO66" i="15"/>
  <c r="FL66" i="15"/>
  <c r="FI66" i="15"/>
  <c r="FF66" i="15"/>
  <c r="FC66" i="15"/>
  <c r="EZ66" i="15"/>
  <c r="EW66" i="15"/>
  <c r="ET66" i="15"/>
  <c r="EQ66" i="15"/>
  <c r="EN66" i="15"/>
  <c r="EK66" i="15"/>
  <c r="EH66" i="15"/>
  <c r="EE66" i="15"/>
  <c r="EB66" i="15"/>
  <c r="DY66" i="15"/>
  <c r="DV66" i="15"/>
  <c r="DS66" i="15"/>
  <c r="DP66" i="15"/>
  <c r="DM66" i="15"/>
  <c r="DJ66" i="15"/>
  <c r="DG66" i="15"/>
  <c r="DD66" i="15"/>
  <c r="DA66" i="15"/>
  <c r="CX66" i="15"/>
  <c r="CU66" i="15"/>
  <c r="CR66" i="15"/>
  <c r="CO66" i="15"/>
  <c r="CL66" i="15"/>
  <c r="CI66" i="15"/>
  <c r="CF66" i="15"/>
  <c r="CC66" i="15"/>
  <c r="BZ66" i="15"/>
  <c r="BW66" i="15"/>
  <c r="BT66" i="15"/>
  <c r="BQ66" i="15"/>
  <c r="BN66" i="15"/>
  <c r="BK66" i="15"/>
  <c r="BH66" i="15"/>
  <c r="BE66" i="15"/>
  <c r="BB66" i="15"/>
  <c r="AY66" i="15"/>
  <c r="AV66" i="15"/>
  <c r="AS66" i="15"/>
  <c r="AP66" i="15"/>
  <c r="AM66" i="15"/>
  <c r="AJ66" i="15"/>
  <c r="AG66" i="15"/>
  <c r="AD66" i="15"/>
  <c r="AA66" i="15"/>
  <c r="X66" i="15"/>
  <c r="U66" i="15"/>
  <c r="R66" i="15"/>
  <c r="O66" i="15"/>
  <c r="L66" i="15"/>
  <c r="I66" i="15"/>
  <c r="F66" i="15"/>
  <c r="LL65" i="15"/>
  <c r="LI65" i="15"/>
  <c r="LF65" i="15"/>
  <c r="LC65" i="15"/>
  <c r="KZ65" i="15"/>
  <c r="KW65" i="15"/>
  <c r="KT65" i="15"/>
  <c r="KQ65" i="15"/>
  <c r="KN65" i="15"/>
  <c r="KK65" i="15"/>
  <c r="KH65" i="15"/>
  <c r="KE65" i="15"/>
  <c r="KB65" i="15"/>
  <c r="JY65" i="15"/>
  <c r="JV65" i="15"/>
  <c r="JS65" i="15"/>
  <c r="JP65" i="15"/>
  <c r="JM65" i="15"/>
  <c r="JJ65" i="15"/>
  <c r="JG65" i="15"/>
  <c r="JD65" i="15"/>
  <c r="JA65" i="15"/>
  <c r="IX65" i="15"/>
  <c r="IU65" i="15"/>
  <c r="IR65" i="15"/>
  <c r="IO65" i="15"/>
  <c r="IL65" i="15"/>
  <c r="II65" i="15"/>
  <c r="IF65" i="15"/>
  <c r="IC65" i="15"/>
  <c r="HZ65" i="15"/>
  <c r="HW65" i="15"/>
  <c r="HT65" i="15"/>
  <c r="HQ65" i="15"/>
  <c r="HN65" i="15"/>
  <c r="HK65" i="15"/>
  <c r="HH65" i="15"/>
  <c r="HE65" i="15"/>
  <c r="HB65" i="15"/>
  <c r="GY65" i="15"/>
  <c r="GV65" i="15"/>
  <c r="GS65" i="15"/>
  <c r="GP65" i="15"/>
  <c r="GM65" i="15"/>
  <c r="GJ65" i="15"/>
  <c r="GG65" i="15"/>
  <c r="GD65" i="15"/>
  <c r="GA65" i="15"/>
  <c r="FX65" i="15"/>
  <c r="FU65" i="15"/>
  <c r="FR65" i="15"/>
  <c r="FO65" i="15"/>
  <c r="FL65" i="15"/>
  <c r="FI65" i="15"/>
  <c r="FF65" i="15"/>
  <c r="FC65" i="15"/>
  <c r="EZ65" i="15"/>
  <c r="EW65" i="15"/>
  <c r="ET65" i="15"/>
  <c r="EQ65" i="15"/>
  <c r="EN65" i="15"/>
  <c r="EK65" i="15"/>
  <c r="EH65" i="15"/>
  <c r="EE65" i="15"/>
  <c r="EB65" i="15"/>
  <c r="DY65" i="15"/>
  <c r="DV65" i="15"/>
  <c r="DS65" i="15"/>
  <c r="DP65" i="15"/>
  <c r="DM65" i="15"/>
  <c r="DJ65" i="15"/>
  <c r="DG65" i="15"/>
  <c r="DD65" i="15"/>
  <c r="DA65" i="15"/>
  <c r="CX65" i="15"/>
  <c r="CU65" i="15"/>
  <c r="CR65" i="15"/>
  <c r="CO65" i="15"/>
  <c r="CL65" i="15"/>
  <c r="CI65" i="15"/>
  <c r="CF65" i="15"/>
  <c r="CC65" i="15"/>
  <c r="BZ65" i="15"/>
  <c r="BW65" i="15"/>
  <c r="BT65" i="15"/>
  <c r="BQ65" i="15"/>
  <c r="BN65" i="15"/>
  <c r="BK65" i="15"/>
  <c r="BH65" i="15"/>
  <c r="BE65" i="15"/>
  <c r="BB65" i="15"/>
  <c r="AY65" i="15"/>
  <c r="AV65" i="15"/>
  <c r="AS65" i="15"/>
  <c r="AP65" i="15"/>
  <c r="AM65" i="15"/>
  <c r="AJ65" i="15"/>
  <c r="AG65" i="15"/>
  <c r="AD65" i="15"/>
  <c r="AA65" i="15"/>
  <c r="X65" i="15"/>
  <c r="U65" i="15"/>
  <c r="R65" i="15"/>
  <c r="O65" i="15"/>
  <c r="L65" i="15"/>
  <c r="I65" i="15"/>
  <c r="F65" i="15"/>
  <c r="LL64" i="15"/>
  <c r="LI64" i="15"/>
  <c r="LF64" i="15"/>
  <c r="LC64" i="15"/>
  <c r="KZ64" i="15"/>
  <c r="KW64" i="15"/>
  <c r="KT64" i="15"/>
  <c r="KQ64" i="15"/>
  <c r="KN64" i="15"/>
  <c r="KK64" i="15"/>
  <c r="KH64" i="15"/>
  <c r="KE64" i="15"/>
  <c r="KB64" i="15"/>
  <c r="JY64" i="15"/>
  <c r="JV64" i="15"/>
  <c r="JS64" i="15"/>
  <c r="JP64" i="15"/>
  <c r="JM64" i="15"/>
  <c r="JJ64" i="15"/>
  <c r="JG64" i="15"/>
  <c r="JD64" i="15"/>
  <c r="JA64" i="15"/>
  <c r="IX64" i="15"/>
  <c r="IU64" i="15"/>
  <c r="IR64" i="15"/>
  <c r="IO64" i="15"/>
  <c r="IL64" i="15"/>
  <c r="II64" i="15"/>
  <c r="IF64" i="15"/>
  <c r="IC64" i="15"/>
  <c r="HZ64" i="15"/>
  <c r="HW64" i="15"/>
  <c r="HT64" i="15"/>
  <c r="HQ64" i="15"/>
  <c r="HN64" i="15"/>
  <c r="HK64" i="15"/>
  <c r="HH64" i="15"/>
  <c r="HE64" i="15"/>
  <c r="HB64" i="15"/>
  <c r="GY64" i="15"/>
  <c r="GV64" i="15"/>
  <c r="GS64" i="15"/>
  <c r="GP64" i="15"/>
  <c r="GM64" i="15"/>
  <c r="GJ64" i="15"/>
  <c r="GG64" i="15"/>
  <c r="GD64" i="15"/>
  <c r="GA64" i="15"/>
  <c r="FX64" i="15"/>
  <c r="FU64" i="15"/>
  <c r="FR64" i="15"/>
  <c r="FO64" i="15"/>
  <c r="FL64" i="15"/>
  <c r="FI64" i="15"/>
  <c r="FF64" i="15"/>
  <c r="FC64" i="15"/>
  <c r="EZ64" i="15"/>
  <c r="EW64" i="15"/>
  <c r="ET64" i="15"/>
  <c r="EQ64" i="15"/>
  <c r="EN64" i="15"/>
  <c r="EK64" i="15"/>
  <c r="EH64" i="15"/>
  <c r="EE64" i="15"/>
  <c r="EB64" i="15"/>
  <c r="DY64" i="15"/>
  <c r="DV64" i="15"/>
  <c r="DS64" i="15"/>
  <c r="DP64" i="15"/>
  <c r="DM64" i="15"/>
  <c r="DJ64" i="15"/>
  <c r="DG64" i="15"/>
  <c r="DD64" i="15"/>
  <c r="DA64" i="15"/>
  <c r="CX64" i="15"/>
  <c r="CU64" i="15"/>
  <c r="CR64" i="15"/>
  <c r="CO64" i="15"/>
  <c r="CL64" i="15"/>
  <c r="CI64" i="15"/>
  <c r="CF64" i="15"/>
  <c r="CC64" i="15"/>
  <c r="BZ64" i="15"/>
  <c r="BW64" i="15"/>
  <c r="BT64" i="15"/>
  <c r="BQ64" i="15"/>
  <c r="BN64" i="15"/>
  <c r="BK64" i="15"/>
  <c r="BH64" i="15"/>
  <c r="BE64" i="15"/>
  <c r="BB64" i="15"/>
  <c r="AY64" i="15"/>
  <c r="AV64" i="15"/>
  <c r="AS64" i="15"/>
  <c r="AP64" i="15"/>
  <c r="AM64" i="15"/>
  <c r="AJ64" i="15"/>
  <c r="AG64" i="15"/>
  <c r="AD64" i="15"/>
  <c r="AA64" i="15"/>
  <c r="X64" i="15"/>
  <c r="U64" i="15"/>
  <c r="R64" i="15"/>
  <c r="O64" i="15"/>
  <c r="L64" i="15"/>
  <c r="I64" i="15"/>
  <c r="F64" i="15"/>
  <c r="LL63" i="15"/>
  <c r="LI63" i="15"/>
  <c r="LF63" i="15"/>
  <c r="LC63" i="15"/>
  <c r="KZ63" i="15"/>
  <c r="KW63" i="15"/>
  <c r="KT63" i="15"/>
  <c r="KQ63" i="15"/>
  <c r="KN63" i="15"/>
  <c r="KK63" i="15"/>
  <c r="KH63" i="15"/>
  <c r="KE63" i="15"/>
  <c r="KB63" i="15"/>
  <c r="JY63" i="15"/>
  <c r="JV63" i="15"/>
  <c r="JS63" i="15"/>
  <c r="JP63" i="15"/>
  <c r="JM63" i="15"/>
  <c r="JJ63" i="15"/>
  <c r="JG63" i="15"/>
  <c r="JD63" i="15"/>
  <c r="JA63" i="15"/>
  <c r="IX63" i="15"/>
  <c r="IU63" i="15"/>
  <c r="IR63" i="15"/>
  <c r="IO63" i="15"/>
  <c r="IL63" i="15"/>
  <c r="II63" i="15"/>
  <c r="IF63" i="15"/>
  <c r="IC63" i="15"/>
  <c r="HZ63" i="15"/>
  <c r="HW63" i="15"/>
  <c r="HT63" i="15"/>
  <c r="HQ63" i="15"/>
  <c r="HN63" i="15"/>
  <c r="HK63" i="15"/>
  <c r="HH63" i="15"/>
  <c r="HE63" i="15"/>
  <c r="HB63" i="15"/>
  <c r="GY63" i="15"/>
  <c r="GV63" i="15"/>
  <c r="GS63" i="15"/>
  <c r="GP63" i="15"/>
  <c r="GM63" i="15"/>
  <c r="GJ63" i="15"/>
  <c r="GG63" i="15"/>
  <c r="GD63" i="15"/>
  <c r="GA63" i="15"/>
  <c r="FX63" i="15"/>
  <c r="FU63" i="15"/>
  <c r="FR63" i="15"/>
  <c r="FO63" i="15"/>
  <c r="FL63" i="15"/>
  <c r="FI63" i="15"/>
  <c r="FF63" i="15"/>
  <c r="FC63" i="15"/>
  <c r="EZ63" i="15"/>
  <c r="EW63" i="15"/>
  <c r="ET63" i="15"/>
  <c r="EQ63" i="15"/>
  <c r="EN63" i="15"/>
  <c r="EK63" i="15"/>
  <c r="EH63" i="15"/>
  <c r="EE63" i="15"/>
  <c r="EB63" i="15"/>
  <c r="DY63" i="15"/>
  <c r="DV63" i="15"/>
  <c r="DS63" i="15"/>
  <c r="DP63" i="15"/>
  <c r="DM63" i="15"/>
  <c r="DJ63" i="15"/>
  <c r="DG63" i="15"/>
  <c r="DD63" i="15"/>
  <c r="DA63" i="15"/>
  <c r="CX63" i="15"/>
  <c r="CU63" i="15"/>
  <c r="CR63" i="15"/>
  <c r="CO63" i="15"/>
  <c r="CL63" i="15"/>
  <c r="CI63" i="15"/>
  <c r="CF63" i="15"/>
  <c r="CC63" i="15"/>
  <c r="BZ63" i="15"/>
  <c r="BW63" i="15"/>
  <c r="BT63" i="15"/>
  <c r="BQ63" i="15"/>
  <c r="BN63" i="15"/>
  <c r="BK63" i="15"/>
  <c r="BH63" i="15"/>
  <c r="BE63" i="15"/>
  <c r="BB63" i="15"/>
  <c r="AY63" i="15"/>
  <c r="AV63" i="15"/>
  <c r="AS63" i="15"/>
  <c r="AP63" i="15"/>
  <c r="AM63" i="15"/>
  <c r="AJ63" i="15"/>
  <c r="AG63" i="15"/>
  <c r="AD63" i="15"/>
  <c r="AA63" i="15"/>
  <c r="X63" i="15"/>
  <c r="U63" i="15"/>
  <c r="R63" i="15"/>
  <c r="O63" i="15"/>
  <c r="L63" i="15"/>
  <c r="I63" i="15"/>
  <c r="F63" i="15"/>
  <c r="LL62" i="15"/>
  <c r="LI62" i="15"/>
  <c r="LF62" i="15"/>
  <c r="LC62" i="15"/>
  <c r="KZ62" i="15"/>
  <c r="KW62" i="15"/>
  <c r="KT62" i="15"/>
  <c r="KQ62" i="15"/>
  <c r="KN62" i="15"/>
  <c r="KK62" i="15"/>
  <c r="KH62" i="15"/>
  <c r="KE62" i="15"/>
  <c r="KB62" i="15"/>
  <c r="JY62" i="15"/>
  <c r="JV62" i="15"/>
  <c r="JS62" i="15"/>
  <c r="JP62" i="15"/>
  <c r="JM62" i="15"/>
  <c r="JJ62" i="15"/>
  <c r="JG62" i="15"/>
  <c r="JD62" i="15"/>
  <c r="JA62" i="15"/>
  <c r="IX62" i="15"/>
  <c r="IU62" i="15"/>
  <c r="IR62" i="15"/>
  <c r="IO62" i="15"/>
  <c r="IL62" i="15"/>
  <c r="II62" i="15"/>
  <c r="IF62" i="15"/>
  <c r="IC62" i="15"/>
  <c r="HZ62" i="15"/>
  <c r="HW62" i="15"/>
  <c r="HT62" i="15"/>
  <c r="HQ62" i="15"/>
  <c r="HN62" i="15"/>
  <c r="HK62" i="15"/>
  <c r="HH62" i="15"/>
  <c r="HE62" i="15"/>
  <c r="HB62" i="15"/>
  <c r="GY62" i="15"/>
  <c r="GV62" i="15"/>
  <c r="GS62" i="15"/>
  <c r="GP62" i="15"/>
  <c r="GM62" i="15"/>
  <c r="GJ62" i="15"/>
  <c r="GG62" i="15"/>
  <c r="GD62" i="15"/>
  <c r="GA62" i="15"/>
  <c r="FX62" i="15"/>
  <c r="FU62" i="15"/>
  <c r="FR62" i="15"/>
  <c r="FO62" i="15"/>
  <c r="FL62" i="15"/>
  <c r="FI62" i="15"/>
  <c r="FF62" i="15"/>
  <c r="FC62" i="15"/>
  <c r="EZ62" i="15"/>
  <c r="EW62" i="15"/>
  <c r="ET62" i="15"/>
  <c r="EQ62" i="15"/>
  <c r="EN62" i="15"/>
  <c r="EK62" i="15"/>
  <c r="EH62" i="15"/>
  <c r="EE62" i="15"/>
  <c r="EB62" i="15"/>
  <c r="DY62" i="15"/>
  <c r="DV62" i="15"/>
  <c r="DS62" i="15"/>
  <c r="DP62" i="15"/>
  <c r="DM62" i="15"/>
  <c r="DJ62" i="15"/>
  <c r="DG62" i="15"/>
  <c r="DD62" i="15"/>
  <c r="DA62" i="15"/>
  <c r="CX62" i="15"/>
  <c r="CU62" i="15"/>
  <c r="CR62" i="15"/>
  <c r="CO62" i="15"/>
  <c r="CL62" i="15"/>
  <c r="CI62" i="15"/>
  <c r="CF62" i="15"/>
  <c r="CC62" i="15"/>
  <c r="BZ62" i="15"/>
  <c r="BW62" i="15"/>
  <c r="BT62" i="15"/>
  <c r="BQ62" i="15"/>
  <c r="BN62" i="15"/>
  <c r="BK62" i="15"/>
  <c r="BH62" i="15"/>
  <c r="BE62" i="15"/>
  <c r="BB62" i="15"/>
  <c r="AY62" i="15"/>
  <c r="AV62" i="15"/>
  <c r="AS62" i="15"/>
  <c r="AP62" i="15"/>
  <c r="AM62" i="15"/>
  <c r="AJ62" i="15"/>
  <c r="AG62" i="15"/>
  <c r="AD62" i="15"/>
  <c r="AA62" i="15"/>
  <c r="X62" i="15"/>
  <c r="U62" i="15"/>
  <c r="R62" i="15"/>
  <c r="O62" i="15"/>
  <c r="L62" i="15"/>
  <c r="I62" i="15"/>
  <c r="F62" i="15"/>
  <c r="LL61" i="15"/>
  <c r="LI61" i="15"/>
  <c r="LF61" i="15"/>
  <c r="LC61" i="15"/>
  <c r="KZ61" i="15"/>
  <c r="KW61" i="15"/>
  <c r="KT61" i="15"/>
  <c r="KQ61" i="15"/>
  <c r="KN61" i="15"/>
  <c r="KK61" i="15"/>
  <c r="KH61" i="15"/>
  <c r="KE61" i="15"/>
  <c r="KB61" i="15"/>
  <c r="JY61" i="15"/>
  <c r="JV61" i="15"/>
  <c r="JS61" i="15"/>
  <c r="JP61" i="15"/>
  <c r="JM61" i="15"/>
  <c r="JJ61" i="15"/>
  <c r="JG61" i="15"/>
  <c r="JD61" i="15"/>
  <c r="JA61" i="15"/>
  <c r="IX61" i="15"/>
  <c r="IU61" i="15"/>
  <c r="IR61" i="15"/>
  <c r="IO61" i="15"/>
  <c r="IL61" i="15"/>
  <c r="II61" i="15"/>
  <c r="IF61" i="15"/>
  <c r="IC61" i="15"/>
  <c r="HZ61" i="15"/>
  <c r="HW61" i="15"/>
  <c r="HT61" i="15"/>
  <c r="HQ61" i="15"/>
  <c r="HN61" i="15"/>
  <c r="HK61" i="15"/>
  <c r="HH61" i="15"/>
  <c r="HE61" i="15"/>
  <c r="HB61" i="15"/>
  <c r="GY61" i="15"/>
  <c r="GV61" i="15"/>
  <c r="GS61" i="15"/>
  <c r="GP61" i="15"/>
  <c r="GM61" i="15"/>
  <c r="GJ61" i="15"/>
  <c r="GG61" i="15"/>
  <c r="GD61" i="15"/>
  <c r="GA61" i="15"/>
  <c r="FX61" i="15"/>
  <c r="FU61" i="15"/>
  <c r="FR61" i="15"/>
  <c r="FO61" i="15"/>
  <c r="FL61" i="15"/>
  <c r="FI61" i="15"/>
  <c r="FF61" i="15"/>
  <c r="FC61" i="15"/>
  <c r="EZ61" i="15"/>
  <c r="EW61" i="15"/>
  <c r="ET61" i="15"/>
  <c r="EQ61" i="15"/>
  <c r="EN61" i="15"/>
  <c r="EK61" i="15"/>
  <c r="EH61" i="15"/>
  <c r="EE61" i="15"/>
  <c r="EB61" i="15"/>
  <c r="DY61" i="15"/>
  <c r="DV61" i="15"/>
  <c r="DS61" i="15"/>
  <c r="DP61" i="15"/>
  <c r="DM61" i="15"/>
  <c r="DJ61" i="15"/>
  <c r="DG61" i="15"/>
  <c r="DD61" i="15"/>
  <c r="DA61" i="15"/>
  <c r="CX61" i="15"/>
  <c r="CU61" i="15"/>
  <c r="CR61" i="15"/>
  <c r="CO61" i="15"/>
  <c r="CL61" i="15"/>
  <c r="CI61" i="15"/>
  <c r="CF61" i="15"/>
  <c r="CC61" i="15"/>
  <c r="BZ61" i="15"/>
  <c r="BW61" i="15"/>
  <c r="BT61" i="15"/>
  <c r="BQ61" i="15"/>
  <c r="BN61" i="15"/>
  <c r="BK61" i="15"/>
  <c r="BH61" i="15"/>
  <c r="BE61" i="15"/>
  <c r="BB61" i="15"/>
  <c r="AY61" i="15"/>
  <c r="AV61" i="15"/>
  <c r="AS61" i="15"/>
  <c r="AP61" i="15"/>
  <c r="AM61" i="15"/>
  <c r="AJ61" i="15"/>
  <c r="AG61" i="15"/>
  <c r="AD61" i="15"/>
  <c r="AA61" i="15"/>
  <c r="X61" i="15"/>
  <c r="U61" i="15"/>
  <c r="R61" i="15"/>
  <c r="O61" i="15"/>
  <c r="L61" i="15"/>
  <c r="I61" i="15"/>
  <c r="F61" i="15"/>
  <c r="LL60" i="15"/>
  <c r="LI60" i="15"/>
  <c r="LF60" i="15"/>
  <c r="LC60" i="15"/>
  <c r="KZ60" i="15"/>
  <c r="KW60" i="15"/>
  <c r="KT60" i="15"/>
  <c r="KQ60" i="15"/>
  <c r="KN60" i="15"/>
  <c r="KK60" i="15"/>
  <c r="KH60" i="15"/>
  <c r="KE60" i="15"/>
  <c r="KB60" i="15"/>
  <c r="JY60" i="15"/>
  <c r="JV60" i="15"/>
  <c r="JS60" i="15"/>
  <c r="JP60" i="15"/>
  <c r="JM60" i="15"/>
  <c r="JJ60" i="15"/>
  <c r="JG60" i="15"/>
  <c r="JD60" i="15"/>
  <c r="JA60" i="15"/>
  <c r="IX60" i="15"/>
  <c r="IU60" i="15"/>
  <c r="IR60" i="15"/>
  <c r="IO60" i="15"/>
  <c r="IL60" i="15"/>
  <c r="II60" i="15"/>
  <c r="IF60" i="15"/>
  <c r="IC60" i="15"/>
  <c r="HZ60" i="15"/>
  <c r="HW60" i="15"/>
  <c r="HT60" i="15"/>
  <c r="HQ60" i="15"/>
  <c r="HN60" i="15"/>
  <c r="HK60" i="15"/>
  <c r="HH60" i="15"/>
  <c r="HE60" i="15"/>
  <c r="HB60" i="15"/>
  <c r="GY60" i="15"/>
  <c r="GV60" i="15"/>
  <c r="GS60" i="15"/>
  <c r="GP60" i="15"/>
  <c r="GM60" i="15"/>
  <c r="GJ60" i="15"/>
  <c r="GG60" i="15"/>
  <c r="GD60" i="15"/>
  <c r="GA60" i="15"/>
  <c r="FX60" i="15"/>
  <c r="FU60" i="15"/>
  <c r="FR60" i="15"/>
  <c r="FO60" i="15"/>
  <c r="FL60" i="15"/>
  <c r="FI60" i="15"/>
  <c r="FF60" i="15"/>
  <c r="FC60" i="15"/>
  <c r="EZ60" i="15"/>
  <c r="EW60" i="15"/>
  <c r="ET60" i="15"/>
  <c r="EQ60" i="15"/>
  <c r="EN60" i="15"/>
  <c r="EK60" i="15"/>
  <c r="EH60" i="15"/>
  <c r="EE60" i="15"/>
  <c r="EB60" i="15"/>
  <c r="DY60" i="15"/>
  <c r="DV60" i="15"/>
  <c r="DS60" i="15"/>
  <c r="DP60" i="15"/>
  <c r="DM60" i="15"/>
  <c r="DJ60" i="15"/>
  <c r="DG60" i="15"/>
  <c r="DD60" i="15"/>
  <c r="DA60" i="15"/>
  <c r="CX60" i="15"/>
  <c r="CU60" i="15"/>
  <c r="CR60" i="15"/>
  <c r="CO60" i="15"/>
  <c r="CL60" i="15"/>
  <c r="CI60" i="15"/>
  <c r="CF60" i="15"/>
  <c r="CC60" i="15"/>
  <c r="BZ60" i="15"/>
  <c r="BW60" i="15"/>
  <c r="BT60" i="15"/>
  <c r="BQ60" i="15"/>
  <c r="BN60" i="15"/>
  <c r="BK60" i="15"/>
  <c r="BH60" i="15"/>
  <c r="BE60" i="15"/>
  <c r="BB60" i="15"/>
  <c r="AY60" i="15"/>
  <c r="AV60" i="15"/>
  <c r="AS60" i="15"/>
  <c r="AP60" i="15"/>
  <c r="AM60" i="15"/>
  <c r="AJ60" i="15"/>
  <c r="AG60" i="15"/>
  <c r="AD60" i="15"/>
  <c r="AA60" i="15"/>
  <c r="X60" i="15"/>
  <c r="U60" i="15"/>
  <c r="R60" i="15"/>
  <c r="O60" i="15"/>
  <c r="L60" i="15"/>
  <c r="I60" i="15"/>
  <c r="F60" i="15"/>
  <c r="LL59" i="15"/>
  <c r="LI59" i="15"/>
  <c r="LF59" i="15"/>
  <c r="LC59" i="15"/>
  <c r="KZ59" i="15"/>
  <c r="KW59" i="15"/>
  <c r="KT59" i="15"/>
  <c r="KQ59" i="15"/>
  <c r="KN59" i="15"/>
  <c r="KK59" i="15"/>
  <c r="KH59" i="15"/>
  <c r="KE59" i="15"/>
  <c r="KB59" i="15"/>
  <c r="JY59" i="15"/>
  <c r="JV59" i="15"/>
  <c r="JS59" i="15"/>
  <c r="JP59" i="15"/>
  <c r="JM59" i="15"/>
  <c r="JJ59" i="15"/>
  <c r="JG59" i="15"/>
  <c r="JD59" i="15"/>
  <c r="JA59" i="15"/>
  <c r="IX59" i="15"/>
  <c r="IU59" i="15"/>
  <c r="IR59" i="15"/>
  <c r="IO59" i="15"/>
  <c r="IL59" i="15"/>
  <c r="II59" i="15"/>
  <c r="IF59" i="15"/>
  <c r="IC59" i="15"/>
  <c r="HZ59" i="15"/>
  <c r="HW59" i="15"/>
  <c r="HT59" i="15"/>
  <c r="HQ59" i="15"/>
  <c r="HN59" i="15"/>
  <c r="HK59" i="15"/>
  <c r="HH59" i="15"/>
  <c r="HE59" i="15"/>
  <c r="HB59" i="15"/>
  <c r="GY59" i="15"/>
  <c r="GV59" i="15"/>
  <c r="GS59" i="15"/>
  <c r="GP59" i="15"/>
  <c r="GM59" i="15"/>
  <c r="GJ59" i="15"/>
  <c r="GG59" i="15"/>
  <c r="GD59" i="15"/>
  <c r="GA59" i="15"/>
  <c r="FX59" i="15"/>
  <c r="FU59" i="15"/>
  <c r="FR59" i="15"/>
  <c r="FO59" i="15"/>
  <c r="FL59" i="15"/>
  <c r="FI59" i="15"/>
  <c r="FF59" i="15"/>
  <c r="FC59" i="15"/>
  <c r="EZ59" i="15"/>
  <c r="EW59" i="15"/>
  <c r="ET59" i="15"/>
  <c r="EQ59" i="15"/>
  <c r="EN59" i="15"/>
  <c r="EK59" i="15"/>
  <c r="EH59" i="15"/>
  <c r="EE59" i="15"/>
  <c r="EB59" i="15"/>
  <c r="DY59" i="15"/>
  <c r="DV59" i="15"/>
  <c r="DS59" i="15"/>
  <c r="DP59" i="15"/>
  <c r="DM59" i="15"/>
  <c r="DJ59" i="15"/>
  <c r="DG59" i="15"/>
  <c r="DD59" i="15"/>
  <c r="DA59" i="15"/>
  <c r="CX59" i="15"/>
  <c r="CU59" i="15"/>
  <c r="CR59" i="15"/>
  <c r="CO59" i="15"/>
  <c r="CL59" i="15"/>
  <c r="CI59" i="15"/>
  <c r="CF59" i="15"/>
  <c r="CC59" i="15"/>
  <c r="BZ59" i="15"/>
  <c r="BW59" i="15"/>
  <c r="BT59" i="15"/>
  <c r="BQ59" i="15"/>
  <c r="BN59" i="15"/>
  <c r="BK59" i="15"/>
  <c r="BH59" i="15"/>
  <c r="BE59" i="15"/>
  <c r="BB59" i="15"/>
  <c r="AY59" i="15"/>
  <c r="AV59" i="15"/>
  <c r="AS59" i="15"/>
  <c r="AP59" i="15"/>
  <c r="AM59" i="15"/>
  <c r="AJ59" i="15"/>
  <c r="AG59" i="15"/>
  <c r="AD59" i="15"/>
  <c r="AA59" i="15"/>
  <c r="X59" i="15"/>
  <c r="U59" i="15"/>
  <c r="R59" i="15"/>
  <c r="O59" i="15"/>
  <c r="L59" i="15"/>
  <c r="I59" i="15"/>
  <c r="F59" i="15"/>
  <c r="LL58" i="15"/>
  <c r="LI58" i="15"/>
  <c r="LF58" i="15"/>
  <c r="LC58" i="15"/>
  <c r="KZ58" i="15"/>
  <c r="KW58" i="15"/>
  <c r="KT58" i="15"/>
  <c r="KQ58" i="15"/>
  <c r="KN58" i="15"/>
  <c r="KK58" i="15"/>
  <c r="KH58" i="15"/>
  <c r="KE58" i="15"/>
  <c r="KB58" i="15"/>
  <c r="JY58" i="15"/>
  <c r="JV58" i="15"/>
  <c r="JS58" i="15"/>
  <c r="JP58" i="15"/>
  <c r="JM58" i="15"/>
  <c r="JJ58" i="15"/>
  <c r="JG58" i="15"/>
  <c r="JD58" i="15"/>
  <c r="JA58" i="15"/>
  <c r="IX58" i="15"/>
  <c r="IU58" i="15"/>
  <c r="IR58" i="15"/>
  <c r="IO58" i="15"/>
  <c r="IL58" i="15"/>
  <c r="II58" i="15"/>
  <c r="IF58" i="15"/>
  <c r="IC58" i="15"/>
  <c r="HZ58" i="15"/>
  <c r="HW58" i="15"/>
  <c r="HT58" i="15"/>
  <c r="HQ58" i="15"/>
  <c r="HN58" i="15"/>
  <c r="HK58" i="15"/>
  <c r="HH58" i="15"/>
  <c r="HE58" i="15"/>
  <c r="HB58" i="15"/>
  <c r="GY58" i="15"/>
  <c r="GV58" i="15"/>
  <c r="GS58" i="15"/>
  <c r="GP58" i="15"/>
  <c r="GM58" i="15"/>
  <c r="GJ58" i="15"/>
  <c r="GG58" i="15"/>
  <c r="GD58" i="15"/>
  <c r="GA58" i="15"/>
  <c r="FX58" i="15"/>
  <c r="FU58" i="15"/>
  <c r="FR58" i="15"/>
  <c r="FO58" i="15"/>
  <c r="FL58" i="15"/>
  <c r="FI58" i="15"/>
  <c r="FF58" i="15"/>
  <c r="FC58" i="15"/>
  <c r="EZ58" i="15"/>
  <c r="EW58" i="15"/>
  <c r="ET58" i="15"/>
  <c r="EQ58" i="15"/>
  <c r="EN58" i="15"/>
  <c r="EK58" i="15"/>
  <c r="EH58" i="15"/>
  <c r="EE58" i="15"/>
  <c r="EB58" i="15"/>
  <c r="DY58" i="15"/>
  <c r="DV58" i="15"/>
  <c r="DS58" i="15"/>
  <c r="DP58" i="15"/>
  <c r="DM58" i="15"/>
  <c r="DJ58" i="15"/>
  <c r="DG58" i="15"/>
  <c r="DD58" i="15"/>
  <c r="DA58" i="15"/>
  <c r="CX58" i="15"/>
  <c r="CU58" i="15"/>
  <c r="CR58" i="15"/>
  <c r="CO58" i="15"/>
  <c r="CL58" i="15"/>
  <c r="CI58" i="15"/>
  <c r="CF58" i="15"/>
  <c r="CC58" i="15"/>
  <c r="BZ58" i="15"/>
  <c r="BW58" i="15"/>
  <c r="BT58" i="15"/>
  <c r="BQ58" i="15"/>
  <c r="BN58" i="15"/>
  <c r="BK58" i="15"/>
  <c r="BH58" i="15"/>
  <c r="BE58" i="15"/>
  <c r="BB58" i="15"/>
  <c r="AY58" i="15"/>
  <c r="AV58" i="15"/>
  <c r="AS58" i="15"/>
  <c r="AP58" i="15"/>
  <c r="AM58" i="15"/>
  <c r="AJ58" i="15"/>
  <c r="AG58" i="15"/>
  <c r="AD58" i="15"/>
  <c r="AA58" i="15"/>
  <c r="X58" i="15"/>
  <c r="U58" i="15"/>
  <c r="R58" i="15"/>
  <c r="O58" i="15"/>
  <c r="L58" i="15"/>
  <c r="I58" i="15"/>
  <c r="F58" i="15"/>
  <c r="LL57" i="15"/>
  <c r="LI57" i="15"/>
  <c r="LF57" i="15"/>
  <c r="LC57" i="15"/>
  <c r="KZ57" i="15"/>
  <c r="KW57" i="15"/>
  <c r="KT57" i="15"/>
  <c r="KQ57" i="15"/>
  <c r="KN57" i="15"/>
  <c r="KK57" i="15"/>
  <c r="KH57" i="15"/>
  <c r="KE57" i="15"/>
  <c r="KB57" i="15"/>
  <c r="JY57" i="15"/>
  <c r="JV57" i="15"/>
  <c r="JS57" i="15"/>
  <c r="JP57" i="15"/>
  <c r="JM57" i="15"/>
  <c r="JJ57" i="15"/>
  <c r="JG57" i="15"/>
  <c r="JD57" i="15"/>
  <c r="JA57" i="15"/>
  <c r="IX57" i="15"/>
  <c r="IU57" i="15"/>
  <c r="IR57" i="15"/>
  <c r="IO57" i="15"/>
  <c r="IL57" i="15"/>
  <c r="II57" i="15"/>
  <c r="IF57" i="15"/>
  <c r="IC57" i="15"/>
  <c r="HZ57" i="15"/>
  <c r="HW57" i="15"/>
  <c r="HT57" i="15"/>
  <c r="HQ57" i="15"/>
  <c r="HN57" i="15"/>
  <c r="HK57" i="15"/>
  <c r="HH57" i="15"/>
  <c r="HE57" i="15"/>
  <c r="HB57" i="15"/>
  <c r="GY57" i="15"/>
  <c r="GV57" i="15"/>
  <c r="GS57" i="15"/>
  <c r="GP57" i="15"/>
  <c r="GM57" i="15"/>
  <c r="GJ57" i="15"/>
  <c r="GG57" i="15"/>
  <c r="GD57" i="15"/>
  <c r="GA57" i="15"/>
  <c r="FX57" i="15"/>
  <c r="FU57" i="15"/>
  <c r="FR57" i="15"/>
  <c r="FO57" i="15"/>
  <c r="FL57" i="15"/>
  <c r="FI57" i="15"/>
  <c r="FF57" i="15"/>
  <c r="FC57" i="15"/>
  <c r="EZ57" i="15"/>
  <c r="EW57" i="15"/>
  <c r="ET57" i="15"/>
  <c r="EQ57" i="15"/>
  <c r="EN57" i="15"/>
  <c r="EK57" i="15"/>
  <c r="EH57" i="15"/>
  <c r="EE57" i="15"/>
  <c r="EB57" i="15"/>
  <c r="DY57" i="15"/>
  <c r="DV57" i="15"/>
  <c r="DS57" i="15"/>
  <c r="DP57" i="15"/>
  <c r="DM57" i="15"/>
  <c r="DJ57" i="15"/>
  <c r="DG57" i="15"/>
  <c r="DD57" i="15"/>
  <c r="DA57" i="15"/>
  <c r="CX57" i="15"/>
  <c r="CU57" i="15"/>
  <c r="CR57" i="15"/>
  <c r="CO57" i="15"/>
  <c r="CL57" i="15"/>
  <c r="CI57" i="15"/>
  <c r="CF57" i="15"/>
  <c r="CC57" i="15"/>
  <c r="BZ57" i="15"/>
  <c r="BW57" i="15"/>
  <c r="BT57" i="15"/>
  <c r="BQ57" i="15"/>
  <c r="BN57" i="15"/>
  <c r="BK57" i="15"/>
  <c r="BH57" i="15"/>
  <c r="BE57" i="15"/>
  <c r="BB57" i="15"/>
  <c r="AY57" i="15"/>
  <c r="AV57" i="15"/>
  <c r="AS57" i="15"/>
  <c r="AP57" i="15"/>
  <c r="AM57" i="15"/>
  <c r="AJ57" i="15"/>
  <c r="AG57" i="15"/>
  <c r="AD57" i="15"/>
  <c r="AA57" i="15"/>
  <c r="X57" i="15"/>
  <c r="U57" i="15"/>
  <c r="R57" i="15"/>
  <c r="O57" i="15"/>
  <c r="L57" i="15"/>
  <c r="I57" i="15"/>
  <c r="F57" i="15"/>
  <c r="LL56" i="15"/>
  <c r="LI56" i="15"/>
  <c r="LF56" i="15"/>
  <c r="LC56" i="15"/>
  <c r="KZ56" i="15"/>
  <c r="KW56" i="15"/>
  <c r="KT56" i="15"/>
  <c r="KQ56" i="15"/>
  <c r="KN56" i="15"/>
  <c r="KK56" i="15"/>
  <c r="KH56" i="15"/>
  <c r="KE56" i="15"/>
  <c r="KB56" i="15"/>
  <c r="JY56" i="15"/>
  <c r="JV56" i="15"/>
  <c r="JS56" i="15"/>
  <c r="JP56" i="15"/>
  <c r="JM56" i="15"/>
  <c r="JJ56" i="15"/>
  <c r="JG56" i="15"/>
  <c r="JD56" i="15"/>
  <c r="JA56" i="15"/>
  <c r="IX56" i="15"/>
  <c r="IU56" i="15"/>
  <c r="IR56" i="15"/>
  <c r="IO56" i="15"/>
  <c r="IL56" i="15"/>
  <c r="II56" i="15"/>
  <c r="IF56" i="15"/>
  <c r="IC56" i="15"/>
  <c r="HZ56" i="15"/>
  <c r="HW56" i="15"/>
  <c r="HT56" i="15"/>
  <c r="HQ56" i="15"/>
  <c r="HN56" i="15"/>
  <c r="HK56" i="15"/>
  <c r="HH56" i="15"/>
  <c r="HE56" i="15"/>
  <c r="HB56" i="15"/>
  <c r="GY56" i="15"/>
  <c r="GV56" i="15"/>
  <c r="GS56" i="15"/>
  <c r="GP56" i="15"/>
  <c r="GM56" i="15"/>
  <c r="GJ56" i="15"/>
  <c r="GG56" i="15"/>
  <c r="GD56" i="15"/>
  <c r="GA56" i="15"/>
  <c r="FX56" i="15"/>
  <c r="FU56" i="15"/>
  <c r="FR56" i="15"/>
  <c r="FO56" i="15"/>
  <c r="FL56" i="15"/>
  <c r="FI56" i="15"/>
  <c r="FF56" i="15"/>
  <c r="FC56" i="15"/>
  <c r="EZ56" i="15"/>
  <c r="EW56" i="15"/>
  <c r="ET56" i="15"/>
  <c r="EQ56" i="15"/>
  <c r="EN56" i="15"/>
  <c r="EK56" i="15"/>
  <c r="EH56" i="15"/>
  <c r="EE56" i="15"/>
  <c r="EB56" i="15"/>
  <c r="DY56" i="15"/>
  <c r="DV56" i="15"/>
  <c r="DS56" i="15"/>
  <c r="DP56" i="15"/>
  <c r="DM56" i="15"/>
  <c r="DJ56" i="15"/>
  <c r="DG56" i="15"/>
  <c r="DD56" i="15"/>
  <c r="DA56" i="15"/>
  <c r="CX56" i="15"/>
  <c r="CU56" i="15"/>
  <c r="CR56" i="15"/>
  <c r="CO56" i="15"/>
  <c r="CL56" i="15"/>
  <c r="CI56" i="15"/>
  <c r="CF56" i="15"/>
  <c r="CC56" i="15"/>
  <c r="BZ56" i="15"/>
  <c r="BW56" i="15"/>
  <c r="BT56" i="15"/>
  <c r="BQ56" i="15"/>
  <c r="BN56" i="15"/>
  <c r="BK56" i="15"/>
  <c r="BH56" i="15"/>
  <c r="BE56" i="15"/>
  <c r="BB56" i="15"/>
  <c r="AY56" i="15"/>
  <c r="AV56" i="15"/>
  <c r="AS56" i="15"/>
  <c r="AP56" i="15"/>
  <c r="AM56" i="15"/>
  <c r="AJ56" i="15"/>
  <c r="AG56" i="15"/>
  <c r="AD56" i="15"/>
  <c r="AA56" i="15"/>
  <c r="X56" i="15"/>
  <c r="U56" i="15"/>
  <c r="R56" i="15"/>
  <c r="O56" i="15"/>
  <c r="L56" i="15"/>
  <c r="I56" i="15"/>
  <c r="F56" i="15"/>
  <c r="LL55" i="15"/>
  <c r="LI55" i="15"/>
  <c r="LF55" i="15"/>
  <c r="LC55" i="15"/>
  <c r="KZ55" i="15"/>
  <c r="KW55" i="15"/>
  <c r="KT55" i="15"/>
  <c r="KQ55" i="15"/>
  <c r="KN55" i="15"/>
  <c r="KK55" i="15"/>
  <c r="KH55" i="15"/>
  <c r="KE55" i="15"/>
  <c r="KB55" i="15"/>
  <c r="JY55" i="15"/>
  <c r="JV55" i="15"/>
  <c r="JS55" i="15"/>
  <c r="JP55" i="15"/>
  <c r="JM55" i="15"/>
  <c r="JJ55" i="15"/>
  <c r="JG55" i="15"/>
  <c r="JD55" i="15"/>
  <c r="JA55" i="15"/>
  <c r="IX55" i="15"/>
  <c r="IU55" i="15"/>
  <c r="IR55" i="15"/>
  <c r="IO55" i="15"/>
  <c r="IL55" i="15"/>
  <c r="II55" i="15"/>
  <c r="IF55" i="15"/>
  <c r="IC55" i="15"/>
  <c r="HZ55" i="15"/>
  <c r="HW55" i="15"/>
  <c r="HT55" i="15"/>
  <c r="HQ55" i="15"/>
  <c r="HN55" i="15"/>
  <c r="HK55" i="15"/>
  <c r="HH55" i="15"/>
  <c r="HE55" i="15"/>
  <c r="HB55" i="15"/>
  <c r="GY55" i="15"/>
  <c r="GV55" i="15"/>
  <c r="GS55" i="15"/>
  <c r="GP55" i="15"/>
  <c r="GM55" i="15"/>
  <c r="GJ55" i="15"/>
  <c r="GG55" i="15"/>
  <c r="GD55" i="15"/>
  <c r="GA55" i="15"/>
  <c r="FX55" i="15"/>
  <c r="FU55" i="15"/>
  <c r="FR55" i="15"/>
  <c r="FO55" i="15"/>
  <c r="FL55" i="15"/>
  <c r="FI55" i="15"/>
  <c r="FF55" i="15"/>
  <c r="FC55" i="15"/>
  <c r="EZ55" i="15"/>
  <c r="EW55" i="15"/>
  <c r="ET55" i="15"/>
  <c r="EQ55" i="15"/>
  <c r="EN55" i="15"/>
  <c r="EK55" i="15"/>
  <c r="EH55" i="15"/>
  <c r="EE55" i="15"/>
  <c r="EB55" i="15"/>
  <c r="DY55" i="15"/>
  <c r="DV55" i="15"/>
  <c r="DS55" i="15"/>
  <c r="DP55" i="15"/>
  <c r="DM55" i="15"/>
  <c r="DJ55" i="15"/>
  <c r="DG55" i="15"/>
  <c r="DD55" i="15"/>
  <c r="DA55" i="15"/>
  <c r="CX55" i="15"/>
  <c r="CU55" i="15"/>
  <c r="CR55" i="15"/>
  <c r="CO55" i="15"/>
  <c r="CL55" i="15"/>
  <c r="CI55" i="15"/>
  <c r="CF55" i="15"/>
  <c r="CC55" i="15"/>
  <c r="BZ55" i="15"/>
  <c r="BW55" i="15"/>
  <c r="BT55" i="15"/>
  <c r="BQ55" i="15"/>
  <c r="BN55" i="15"/>
  <c r="BK55" i="15"/>
  <c r="BH55" i="15"/>
  <c r="BE55" i="15"/>
  <c r="BB55" i="15"/>
  <c r="AY55" i="15"/>
  <c r="AV55" i="15"/>
  <c r="AS55" i="15"/>
  <c r="AP55" i="15"/>
  <c r="AM55" i="15"/>
  <c r="AJ55" i="15"/>
  <c r="AG55" i="15"/>
  <c r="AD55" i="15"/>
  <c r="AA55" i="15"/>
  <c r="X55" i="15"/>
  <c r="U55" i="15"/>
  <c r="R55" i="15"/>
  <c r="O55" i="15"/>
  <c r="L55" i="15"/>
  <c r="I55" i="15"/>
  <c r="F55" i="15"/>
  <c r="LL54" i="15"/>
  <c r="LI54" i="15"/>
  <c r="LF54" i="15"/>
  <c r="LC54" i="15"/>
  <c r="KZ54" i="15"/>
  <c r="KW54" i="15"/>
  <c r="KT54" i="15"/>
  <c r="KQ54" i="15"/>
  <c r="KN54" i="15"/>
  <c r="KK54" i="15"/>
  <c r="KH54" i="15"/>
  <c r="KE54" i="15"/>
  <c r="KB54" i="15"/>
  <c r="JY54" i="15"/>
  <c r="JV54" i="15"/>
  <c r="JS54" i="15"/>
  <c r="JP54" i="15"/>
  <c r="JM54" i="15"/>
  <c r="JJ54" i="15"/>
  <c r="JG54" i="15"/>
  <c r="JD54" i="15"/>
  <c r="JA54" i="15"/>
  <c r="IX54" i="15"/>
  <c r="IU54" i="15"/>
  <c r="IR54" i="15"/>
  <c r="IO54" i="15"/>
  <c r="IL54" i="15"/>
  <c r="II54" i="15"/>
  <c r="IF54" i="15"/>
  <c r="IC54" i="15"/>
  <c r="HZ54" i="15"/>
  <c r="HW54" i="15"/>
  <c r="HT54" i="15"/>
  <c r="HQ54" i="15"/>
  <c r="HN54" i="15"/>
  <c r="HK54" i="15"/>
  <c r="HH54" i="15"/>
  <c r="HE54" i="15"/>
  <c r="HB54" i="15"/>
  <c r="GY54" i="15"/>
  <c r="GV54" i="15"/>
  <c r="GS54" i="15"/>
  <c r="GP54" i="15"/>
  <c r="GM54" i="15"/>
  <c r="GJ54" i="15"/>
  <c r="GG54" i="15"/>
  <c r="GD54" i="15"/>
  <c r="GA54" i="15"/>
  <c r="FX54" i="15"/>
  <c r="FU54" i="15"/>
  <c r="FR54" i="15"/>
  <c r="FO54" i="15"/>
  <c r="FL54" i="15"/>
  <c r="FI54" i="15"/>
  <c r="FF54" i="15"/>
  <c r="FC54" i="15"/>
  <c r="EZ54" i="15"/>
  <c r="EW54" i="15"/>
  <c r="ET54" i="15"/>
  <c r="EQ54" i="15"/>
  <c r="EN54" i="15"/>
  <c r="EK54" i="15"/>
  <c r="EH54" i="15"/>
  <c r="EE54" i="15"/>
  <c r="EB54" i="15"/>
  <c r="DY54" i="15"/>
  <c r="DV54" i="15"/>
  <c r="DS54" i="15"/>
  <c r="DP54" i="15"/>
  <c r="DM54" i="15"/>
  <c r="DJ54" i="15"/>
  <c r="DG54" i="15"/>
  <c r="DD54" i="15"/>
  <c r="DA54" i="15"/>
  <c r="CX54" i="15"/>
  <c r="CU54" i="15"/>
  <c r="CR54" i="15"/>
  <c r="CO54" i="15"/>
  <c r="CL54" i="15"/>
  <c r="CI54" i="15"/>
  <c r="CF54" i="15"/>
  <c r="CC54" i="15"/>
  <c r="BZ54" i="15"/>
  <c r="BW54" i="15"/>
  <c r="BT54" i="15"/>
  <c r="BQ54" i="15"/>
  <c r="BN54" i="15"/>
  <c r="BK54" i="15"/>
  <c r="BH54" i="15"/>
  <c r="BE54" i="15"/>
  <c r="BB54" i="15"/>
  <c r="AY54" i="15"/>
  <c r="AV54" i="15"/>
  <c r="AS54" i="15"/>
  <c r="AP54" i="15"/>
  <c r="AM54" i="15"/>
  <c r="AJ54" i="15"/>
  <c r="AG54" i="15"/>
  <c r="AD54" i="15"/>
  <c r="AA54" i="15"/>
  <c r="X54" i="15"/>
  <c r="U54" i="15"/>
  <c r="R54" i="15"/>
  <c r="O54" i="15"/>
  <c r="L54" i="15"/>
  <c r="I54" i="15"/>
  <c r="F54" i="15"/>
  <c r="LL53" i="15"/>
  <c r="LI53" i="15"/>
  <c r="LF53" i="15"/>
  <c r="LC53" i="15"/>
  <c r="KZ53" i="15"/>
  <c r="KW53" i="15"/>
  <c r="KT53" i="15"/>
  <c r="KQ53" i="15"/>
  <c r="KN53" i="15"/>
  <c r="KK53" i="15"/>
  <c r="KH53" i="15"/>
  <c r="KE53" i="15"/>
  <c r="KB53" i="15"/>
  <c r="JY53" i="15"/>
  <c r="JV53" i="15"/>
  <c r="JS53" i="15"/>
  <c r="JP53" i="15"/>
  <c r="JM53" i="15"/>
  <c r="JJ53" i="15"/>
  <c r="JG53" i="15"/>
  <c r="JD53" i="15"/>
  <c r="JA53" i="15"/>
  <c r="IX53" i="15"/>
  <c r="IU53" i="15"/>
  <c r="IR53" i="15"/>
  <c r="IO53" i="15"/>
  <c r="IL53" i="15"/>
  <c r="II53" i="15"/>
  <c r="IF53" i="15"/>
  <c r="IC53" i="15"/>
  <c r="HZ53" i="15"/>
  <c r="HW53" i="15"/>
  <c r="HT53" i="15"/>
  <c r="HQ53" i="15"/>
  <c r="HN53" i="15"/>
  <c r="HK53" i="15"/>
  <c r="HH53" i="15"/>
  <c r="HE53" i="15"/>
  <c r="HB53" i="15"/>
  <c r="GY53" i="15"/>
  <c r="GV53" i="15"/>
  <c r="GS53" i="15"/>
  <c r="GP53" i="15"/>
  <c r="GM53" i="15"/>
  <c r="GJ53" i="15"/>
  <c r="GG53" i="15"/>
  <c r="GD53" i="15"/>
  <c r="GA53" i="15"/>
  <c r="FX53" i="15"/>
  <c r="FU53" i="15"/>
  <c r="FR53" i="15"/>
  <c r="FO53" i="15"/>
  <c r="FL53" i="15"/>
  <c r="FI53" i="15"/>
  <c r="FF53" i="15"/>
  <c r="FC53" i="15"/>
  <c r="EZ53" i="15"/>
  <c r="EW53" i="15"/>
  <c r="ET53" i="15"/>
  <c r="EQ53" i="15"/>
  <c r="EN53" i="15"/>
  <c r="EK53" i="15"/>
  <c r="EH53" i="15"/>
  <c r="EE53" i="15"/>
  <c r="EB53" i="15"/>
  <c r="DY53" i="15"/>
  <c r="DV53" i="15"/>
  <c r="DS53" i="15"/>
  <c r="DP53" i="15"/>
  <c r="DM53" i="15"/>
  <c r="DJ53" i="15"/>
  <c r="DG53" i="15"/>
  <c r="DD53" i="15"/>
  <c r="DA53" i="15"/>
  <c r="CX53" i="15"/>
  <c r="CU53" i="15"/>
  <c r="CR53" i="15"/>
  <c r="CO53" i="15"/>
  <c r="CL53" i="15"/>
  <c r="CI53" i="15"/>
  <c r="CF53" i="15"/>
  <c r="CC53" i="15"/>
  <c r="BZ53" i="15"/>
  <c r="BW53" i="15"/>
  <c r="BT53" i="15"/>
  <c r="BQ53" i="15"/>
  <c r="BN53" i="15"/>
  <c r="BK53" i="15"/>
  <c r="BH53" i="15"/>
  <c r="BE53" i="15"/>
  <c r="BB53" i="15"/>
  <c r="AY53" i="15"/>
  <c r="AV53" i="15"/>
  <c r="AS53" i="15"/>
  <c r="AP53" i="15"/>
  <c r="AM53" i="15"/>
  <c r="AJ53" i="15"/>
  <c r="AG53" i="15"/>
  <c r="AD53" i="15"/>
  <c r="AA53" i="15"/>
  <c r="X53" i="15"/>
  <c r="U53" i="15"/>
  <c r="R53" i="15"/>
  <c r="O53" i="15"/>
  <c r="L53" i="15"/>
  <c r="I53" i="15"/>
  <c r="F53" i="15"/>
  <c r="LL52" i="15"/>
  <c r="LI52" i="15"/>
  <c r="LF52" i="15"/>
  <c r="LC52" i="15"/>
  <c r="KZ52" i="15"/>
  <c r="KW52" i="15"/>
  <c r="KT52" i="15"/>
  <c r="KQ52" i="15"/>
  <c r="KN52" i="15"/>
  <c r="KK52" i="15"/>
  <c r="KH52" i="15"/>
  <c r="KE52" i="15"/>
  <c r="KB52" i="15"/>
  <c r="JY52" i="15"/>
  <c r="JV52" i="15"/>
  <c r="JS52" i="15"/>
  <c r="JP52" i="15"/>
  <c r="JM52" i="15"/>
  <c r="JJ52" i="15"/>
  <c r="JG52" i="15"/>
  <c r="JD52" i="15"/>
  <c r="JA52" i="15"/>
  <c r="IX52" i="15"/>
  <c r="IU52" i="15"/>
  <c r="IR52" i="15"/>
  <c r="IO52" i="15"/>
  <c r="IL52" i="15"/>
  <c r="II52" i="15"/>
  <c r="IF52" i="15"/>
  <c r="IC52" i="15"/>
  <c r="HZ52" i="15"/>
  <c r="HW52" i="15"/>
  <c r="HT52" i="15"/>
  <c r="HQ52" i="15"/>
  <c r="HN52" i="15"/>
  <c r="HK52" i="15"/>
  <c r="HH52" i="15"/>
  <c r="HE52" i="15"/>
  <c r="HB52" i="15"/>
  <c r="GY52" i="15"/>
  <c r="GV52" i="15"/>
  <c r="GS52" i="15"/>
  <c r="GP52" i="15"/>
  <c r="GM52" i="15"/>
  <c r="GJ52" i="15"/>
  <c r="GG52" i="15"/>
  <c r="GD52" i="15"/>
  <c r="GA52" i="15"/>
  <c r="FX52" i="15"/>
  <c r="FU52" i="15"/>
  <c r="FR52" i="15"/>
  <c r="FO52" i="15"/>
  <c r="FL52" i="15"/>
  <c r="FI52" i="15"/>
  <c r="FF52" i="15"/>
  <c r="FC52" i="15"/>
  <c r="EZ52" i="15"/>
  <c r="EW52" i="15"/>
  <c r="ET52" i="15"/>
  <c r="EQ52" i="15"/>
  <c r="EN52" i="15"/>
  <c r="EK52" i="15"/>
  <c r="EH52" i="15"/>
  <c r="EE52" i="15"/>
  <c r="EB52" i="15"/>
  <c r="DY52" i="15"/>
  <c r="DV52" i="15"/>
  <c r="DS52" i="15"/>
  <c r="DP52" i="15"/>
  <c r="DM52" i="15"/>
  <c r="DJ52" i="15"/>
  <c r="DG52" i="15"/>
  <c r="DD52" i="15"/>
  <c r="DA52" i="15"/>
  <c r="CX52" i="15"/>
  <c r="CU52" i="15"/>
  <c r="CR52" i="15"/>
  <c r="CO52" i="15"/>
  <c r="CL52" i="15"/>
  <c r="CI52" i="15"/>
  <c r="CF52" i="15"/>
  <c r="CC52" i="15"/>
  <c r="BZ52" i="15"/>
  <c r="BW52" i="15"/>
  <c r="BT52" i="15"/>
  <c r="BQ52" i="15"/>
  <c r="BN52" i="15"/>
  <c r="BK52" i="15"/>
  <c r="BH52" i="15"/>
  <c r="BE52" i="15"/>
  <c r="BB52" i="15"/>
  <c r="AY52" i="15"/>
  <c r="AV52" i="15"/>
  <c r="AS52" i="15"/>
  <c r="AP52" i="15"/>
  <c r="AM52" i="15"/>
  <c r="AJ52" i="15"/>
  <c r="AG52" i="15"/>
  <c r="AD52" i="15"/>
  <c r="AA52" i="15"/>
  <c r="X52" i="15"/>
  <c r="U52" i="15"/>
  <c r="R52" i="15"/>
  <c r="O52" i="15"/>
  <c r="L52" i="15"/>
  <c r="I52" i="15"/>
  <c r="F52" i="15"/>
  <c r="LL51" i="15"/>
  <c r="LI51" i="15"/>
  <c r="LF51" i="15"/>
  <c r="LC51" i="15"/>
  <c r="KZ51" i="15"/>
  <c r="KW51" i="15"/>
  <c r="KT51" i="15"/>
  <c r="KQ51" i="15"/>
  <c r="KN51" i="15"/>
  <c r="KK51" i="15"/>
  <c r="KH51" i="15"/>
  <c r="KE51" i="15"/>
  <c r="KB51" i="15"/>
  <c r="JY51" i="15"/>
  <c r="JV51" i="15"/>
  <c r="JS51" i="15"/>
  <c r="JP51" i="15"/>
  <c r="JM51" i="15"/>
  <c r="JJ51" i="15"/>
  <c r="JG51" i="15"/>
  <c r="JD51" i="15"/>
  <c r="JA51" i="15"/>
  <c r="IX51" i="15"/>
  <c r="IU51" i="15"/>
  <c r="IR51" i="15"/>
  <c r="IO51" i="15"/>
  <c r="IL51" i="15"/>
  <c r="II51" i="15"/>
  <c r="IF51" i="15"/>
  <c r="IC51" i="15"/>
  <c r="HZ51" i="15"/>
  <c r="HW51" i="15"/>
  <c r="HT51" i="15"/>
  <c r="HQ51" i="15"/>
  <c r="HN51" i="15"/>
  <c r="HK51" i="15"/>
  <c r="HH51" i="15"/>
  <c r="HE51" i="15"/>
  <c r="HB51" i="15"/>
  <c r="GY51" i="15"/>
  <c r="GV51" i="15"/>
  <c r="GS51" i="15"/>
  <c r="GP51" i="15"/>
  <c r="GM51" i="15"/>
  <c r="GJ51" i="15"/>
  <c r="GG51" i="15"/>
  <c r="GD51" i="15"/>
  <c r="GA51" i="15"/>
  <c r="FX51" i="15"/>
  <c r="FU51" i="15"/>
  <c r="FR51" i="15"/>
  <c r="FO51" i="15"/>
  <c r="FL51" i="15"/>
  <c r="FI51" i="15"/>
  <c r="FF51" i="15"/>
  <c r="FC51" i="15"/>
  <c r="EZ51" i="15"/>
  <c r="EW51" i="15"/>
  <c r="ET51" i="15"/>
  <c r="EQ51" i="15"/>
  <c r="EN51" i="15"/>
  <c r="EK51" i="15"/>
  <c r="EH51" i="15"/>
  <c r="EE51" i="15"/>
  <c r="EB51" i="15"/>
  <c r="DY51" i="15"/>
  <c r="DV51" i="15"/>
  <c r="DS51" i="15"/>
  <c r="DP51" i="15"/>
  <c r="DM51" i="15"/>
  <c r="DJ51" i="15"/>
  <c r="DG51" i="15"/>
  <c r="DD51" i="15"/>
  <c r="DA51" i="15"/>
  <c r="CX51" i="15"/>
  <c r="CU51" i="15"/>
  <c r="CR51" i="15"/>
  <c r="CO51" i="15"/>
  <c r="CL51" i="15"/>
  <c r="CI51" i="15"/>
  <c r="CF51" i="15"/>
  <c r="CC51" i="15"/>
  <c r="BZ51" i="15"/>
  <c r="BW51" i="15"/>
  <c r="BT51" i="15"/>
  <c r="BQ51" i="15"/>
  <c r="BN51" i="15"/>
  <c r="BK51" i="15"/>
  <c r="BH51" i="15"/>
  <c r="BE51" i="15"/>
  <c r="BB51" i="15"/>
  <c r="AY51" i="15"/>
  <c r="AV51" i="15"/>
  <c r="AS51" i="15"/>
  <c r="AP51" i="15"/>
  <c r="AM51" i="15"/>
  <c r="AJ51" i="15"/>
  <c r="AG51" i="15"/>
  <c r="AD51" i="15"/>
  <c r="AA51" i="15"/>
  <c r="X51" i="15"/>
  <c r="U51" i="15"/>
  <c r="R51" i="15"/>
  <c r="O51" i="15"/>
  <c r="L51" i="15"/>
  <c r="I51" i="15"/>
  <c r="F51" i="15"/>
  <c r="LL50" i="15"/>
  <c r="LI50" i="15"/>
  <c r="LF50" i="15"/>
  <c r="LC50" i="15"/>
  <c r="KZ50" i="15"/>
  <c r="KW50" i="15"/>
  <c r="KT50" i="15"/>
  <c r="KQ50" i="15"/>
  <c r="KN50" i="15"/>
  <c r="KK50" i="15"/>
  <c r="KH50" i="15"/>
  <c r="KE50" i="15"/>
  <c r="KB50" i="15"/>
  <c r="JY50" i="15"/>
  <c r="JV50" i="15"/>
  <c r="JS50" i="15"/>
  <c r="JP50" i="15"/>
  <c r="JM50" i="15"/>
  <c r="JJ50" i="15"/>
  <c r="JG50" i="15"/>
  <c r="JD50" i="15"/>
  <c r="JA50" i="15"/>
  <c r="IX50" i="15"/>
  <c r="IU50" i="15"/>
  <c r="IR50" i="15"/>
  <c r="IO50" i="15"/>
  <c r="IL50" i="15"/>
  <c r="II50" i="15"/>
  <c r="IF50" i="15"/>
  <c r="IC50" i="15"/>
  <c r="HZ50" i="15"/>
  <c r="HW50" i="15"/>
  <c r="HT50" i="15"/>
  <c r="HQ50" i="15"/>
  <c r="HN50" i="15"/>
  <c r="HK50" i="15"/>
  <c r="HH50" i="15"/>
  <c r="HE50" i="15"/>
  <c r="HB50" i="15"/>
  <c r="GY50" i="15"/>
  <c r="GV50" i="15"/>
  <c r="GS50" i="15"/>
  <c r="GP50" i="15"/>
  <c r="GM50" i="15"/>
  <c r="GJ50" i="15"/>
  <c r="GG50" i="15"/>
  <c r="GD50" i="15"/>
  <c r="GA50" i="15"/>
  <c r="FX50" i="15"/>
  <c r="FU50" i="15"/>
  <c r="FR50" i="15"/>
  <c r="FO50" i="15"/>
  <c r="FL50" i="15"/>
  <c r="FI50" i="15"/>
  <c r="FF50" i="15"/>
  <c r="FC50" i="15"/>
  <c r="EZ50" i="15"/>
  <c r="EW50" i="15"/>
  <c r="ET50" i="15"/>
  <c r="EQ50" i="15"/>
  <c r="EN50" i="15"/>
  <c r="EK50" i="15"/>
  <c r="EH50" i="15"/>
  <c r="EE50" i="15"/>
  <c r="EB50" i="15"/>
  <c r="DY50" i="15"/>
  <c r="DV50" i="15"/>
  <c r="DS50" i="15"/>
  <c r="DP50" i="15"/>
  <c r="DM50" i="15"/>
  <c r="DJ50" i="15"/>
  <c r="DG50" i="15"/>
  <c r="DD50" i="15"/>
  <c r="DA50" i="15"/>
  <c r="CX50" i="15"/>
  <c r="CU50" i="15"/>
  <c r="CR50" i="15"/>
  <c r="CO50" i="15"/>
  <c r="CL50" i="15"/>
  <c r="CI50" i="15"/>
  <c r="CF50" i="15"/>
  <c r="CC50" i="15"/>
  <c r="BZ50" i="15"/>
  <c r="BW50" i="15"/>
  <c r="BT50" i="15"/>
  <c r="BQ50" i="15"/>
  <c r="BN50" i="15"/>
  <c r="BK50" i="15"/>
  <c r="BH50" i="15"/>
  <c r="BE50" i="15"/>
  <c r="BB50" i="15"/>
  <c r="AY50" i="15"/>
  <c r="AV50" i="15"/>
  <c r="AS50" i="15"/>
  <c r="AP50" i="15"/>
  <c r="AM50" i="15"/>
  <c r="AJ50" i="15"/>
  <c r="AG50" i="15"/>
  <c r="AD50" i="15"/>
  <c r="AA50" i="15"/>
  <c r="X50" i="15"/>
  <c r="U50" i="15"/>
  <c r="R50" i="15"/>
  <c r="O50" i="15"/>
  <c r="L50" i="15"/>
  <c r="I50" i="15"/>
  <c r="F50" i="15"/>
  <c r="LL49" i="15"/>
  <c r="LI49" i="15"/>
  <c r="LF49" i="15"/>
  <c r="LC49" i="15"/>
  <c r="KZ49" i="15"/>
  <c r="KW49" i="15"/>
  <c r="KT49" i="15"/>
  <c r="KQ49" i="15"/>
  <c r="KN49" i="15"/>
  <c r="KK49" i="15"/>
  <c r="KH49" i="15"/>
  <c r="KE49" i="15"/>
  <c r="KB49" i="15"/>
  <c r="JY49" i="15"/>
  <c r="JV49" i="15"/>
  <c r="JS49" i="15"/>
  <c r="JP49" i="15"/>
  <c r="JM49" i="15"/>
  <c r="JJ49" i="15"/>
  <c r="JG49" i="15"/>
  <c r="JD49" i="15"/>
  <c r="JA49" i="15"/>
  <c r="IX49" i="15"/>
  <c r="IU49" i="15"/>
  <c r="IR49" i="15"/>
  <c r="IO49" i="15"/>
  <c r="IL49" i="15"/>
  <c r="II49" i="15"/>
  <c r="IF49" i="15"/>
  <c r="IC49" i="15"/>
  <c r="HZ49" i="15"/>
  <c r="HW49" i="15"/>
  <c r="HT49" i="15"/>
  <c r="HQ49" i="15"/>
  <c r="HN49" i="15"/>
  <c r="HK49" i="15"/>
  <c r="HH49" i="15"/>
  <c r="HE49" i="15"/>
  <c r="HB49" i="15"/>
  <c r="GY49" i="15"/>
  <c r="GV49" i="15"/>
  <c r="GS49" i="15"/>
  <c r="GP49" i="15"/>
  <c r="GM49" i="15"/>
  <c r="GJ49" i="15"/>
  <c r="GG49" i="15"/>
  <c r="GD49" i="15"/>
  <c r="GA49" i="15"/>
  <c r="FX49" i="15"/>
  <c r="FU49" i="15"/>
  <c r="FR49" i="15"/>
  <c r="FO49" i="15"/>
  <c r="FL49" i="15"/>
  <c r="FI49" i="15"/>
  <c r="FF49" i="15"/>
  <c r="FC49" i="15"/>
  <c r="EZ49" i="15"/>
  <c r="EW49" i="15"/>
  <c r="ET49" i="15"/>
  <c r="EQ49" i="15"/>
  <c r="EN49" i="15"/>
  <c r="EK49" i="15"/>
  <c r="EH49" i="15"/>
  <c r="EE49" i="15"/>
  <c r="EB49" i="15"/>
  <c r="DY49" i="15"/>
  <c r="DV49" i="15"/>
  <c r="DS49" i="15"/>
  <c r="DP49" i="15"/>
  <c r="DM49" i="15"/>
  <c r="DJ49" i="15"/>
  <c r="DG49" i="15"/>
  <c r="DD49" i="15"/>
  <c r="DA49" i="15"/>
  <c r="CX49" i="15"/>
  <c r="CU49" i="15"/>
  <c r="CR49" i="15"/>
  <c r="CO49" i="15"/>
  <c r="CL49" i="15"/>
  <c r="CI49" i="15"/>
  <c r="CF49" i="15"/>
  <c r="CC49" i="15"/>
  <c r="BZ49" i="15"/>
  <c r="BW49" i="15"/>
  <c r="BT49" i="15"/>
  <c r="BQ49" i="15"/>
  <c r="BN49" i="15"/>
  <c r="BK49" i="15"/>
  <c r="BH49" i="15"/>
  <c r="BE49" i="15"/>
  <c r="BB49" i="15"/>
  <c r="AY49" i="15"/>
  <c r="AV49" i="15"/>
  <c r="AS49" i="15"/>
  <c r="AP49" i="15"/>
  <c r="AM49" i="15"/>
  <c r="AJ49" i="15"/>
  <c r="AG49" i="15"/>
  <c r="AD49" i="15"/>
  <c r="AA49" i="15"/>
  <c r="X49" i="15"/>
  <c r="U49" i="15"/>
  <c r="R49" i="15"/>
  <c r="O49" i="15"/>
  <c r="L49" i="15"/>
  <c r="I49" i="15"/>
  <c r="F49" i="15"/>
  <c r="LL48" i="15"/>
  <c r="LI48" i="15"/>
  <c r="LF48" i="15"/>
  <c r="LC48" i="15"/>
  <c r="KZ48" i="15"/>
  <c r="KW48" i="15"/>
  <c r="KT48" i="15"/>
  <c r="KQ48" i="15"/>
  <c r="KN48" i="15"/>
  <c r="KK48" i="15"/>
  <c r="KH48" i="15"/>
  <c r="KE48" i="15"/>
  <c r="KB48" i="15"/>
  <c r="JY48" i="15"/>
  <c r="JV48" i="15"/>
  <c r="JS48" i="15"/>
  <c r="JP48" i="15"/>
  <c r="JM48" i="15"/>
  <c r="JJ48" i="15"/>
  <c r="JG48" i="15"/>
  <c r="JD48" i="15"/>
  <c r="JA48" i="15"/>
  <c r="IX48" i="15"/>
  <c r="IU48" i="15"/>
  <c r="IR48" i="15"/>
  <c r="IO48" i="15"/>
  <c r="IL48" i="15"/>
  <c r="II48" i="15"/>
  <c r="IF48" i="15"/>
  <c r="IC48" i="15"/>
  <c r="HZ48" i="15"/>
  <c r="HW48" i="15"/>
  <c r="HT48" i="15"/>
  <c r="HQ48" i="15"/>
  <c r="HN48" i="15"/>
  <c r="HK48" i="15"/>
  <c r="HH48" i="15"/>
  <c r="HE48" i="15"/>
  <c r="HB48" i="15"/>
  <c r="GY48" i="15"/>
  <c r="GV48" i="15"/>
  <c r="GS48" i="15"/>
  <c r="GP48" i="15"/>
  <c r="GM48" i="15"/>
  <c r="GJ48" i="15"/>
  <c r="GG48" i="15"/>
  <c r="GD48" i="15"/>
  <c r="GA48" i="15"/>
  <c r="FX48" i="15"/>
  <c r="FU48" i="15"/>
  <c r="FR48" i="15"/>
  <c r="FO48" i="15"/>
  <c r="FL48" i="15"/>
  <c r="FI48" i="15"/>
  <c r="FF48" i="15"/>
  <c r="FC48" i="15"/>
  <c r="EZ48" i="15"/>
  <c r="EW48" i="15"/>
  <c r="ET48" i="15"/>
  <c r="EQ48" i="15"/>
  <c r="EN48" i="15"/>
  <c r="EK48" i="15"/>
  <c r="EH48" i="15"/>
  <c r="EE48" i="15"/>
  <c r="EB48" i="15"/>
  <c r="DY48" i="15"/>
  <c r="DV48" i="15"/>
  <c r="DS48" i="15"/>
  <c r="DP48" i="15"/>
  <c r="DM48" i="15"/>
  <c r="DJ48" i="15"/>
  <c r="DG48" i="15"/>
  <c r="DD48" i="15"/>
  <c r="DA48" i="15"/>
  <c r="CX48" i="15"/>
  <c r="CU48" i="15"/>
  <c r="CR48" i="15"/>
  <c r="CO48" i="15"/>
  <c r="CL48" i="15"/>
  <c r="CI48" i="15"/>
  <c r="CF48" i="15"/>
  <c r="CC48" i="15"/>
  <c r="BZ48" i="15"/>
  <c r="BW48" i="15"/>
  <c r="BT48" i="15"/>
  <c r="BQ48" i="15"/>
  <c r="BN48" i="15"/>
  <c r="BK48" i="15"/>
  <c r="BH48" i="15"/>
  <c r="BE48" i="15"/>
  <c r="BB48" i="15"/>
  <c r="AY48" i="15"/>
  <c r="AV48" i="15"/>
  <c r="AS48" i="15"/>
  <c r="AP48" i="15"/>
  <c r="AM48" i="15"/>
  <c r="AJ48" i="15"/>
  <c r="AG48" i="15"/>
  <c r="AD48" i="15"/>
  <c r="AA48" i="15"/>
  <c r="X48" i="15"/>
  <c r="U48" i="15"/>
  <c r="R48" i="15"/>
  <c r="O48" i="15"/>
  <c r="L48" i="15"/>
  <c r="I48" i="15"/>
  <c r="F48" i="15"/>
  <c r="LL47" i="15"/>
  <c r="LI47" i="15"/>
  <c r="LF47" i="15"/>
  <c r="LC47" i="15"/>
  <c r="KZ47" i="15"/>
  <c r="KW47" i="15"/>
  <c r="KT47" i="15"/>
  <c r="KQ47" i="15"/>
  <c r="KN47" i="15"/>
  <c r="KK47" i="15"/>
  <c r="KH47" i="15"/>
  <c r="KE47" i="15"/>
  <c r="KB47" i="15"/>
  <c r="JY47" i="15"/>
  <c r="JV47" i="15"/>
  <c r="JS47" i="15"/>
  <c r="JP47" i="15"/>
  <c r="JM47" i="15"/>
  <c r="JJ47" i="15"/>
  <c r="JG47" i="15"/>
  <c r="JD47" i="15"/>
  <c r="JA47" i="15"/>
  <c r="IX47" i="15"/>
  <c r="IU47" i="15"/>
  <c r="IR47" i="15"/>
  <c r="IO47" i="15"/>
  <c r="IL47" i="15"/>
  <c r="II47" i="15"/>
  <c r="IF47" i="15"/>
  <c r="IC47" i="15"/>
  <c r="HZ47" i="15"/>
  <c r="HW47" i="15"/>
  <c r="HT47" i="15"/>
  <c r="HQ47" i="15"/>
  <c r="HN47" i="15"/>
  <c r="HK47" i="15"/>
  <c r="HH47" i="15"/>
  <c r="HE47" i="15"/>
  <c r="HB47" i="15"/>
  <c r="GY47" i="15"/>
  <c r="GV47" i="15"/>
  <c r="GS47" i="15"/>
  <c r="GP47" i="15"/>
  <c r="GM47" i="15"/>
  <c r="GJ47" i="15"/>
  <c r="GG47" i="15"/>
  <c r="GD47" i="15"/>
  <c r="GA47" i="15"/>
  <c r="FX47" i="15"/>
  <c r="FU47" i="15"/>
  <c r="FR47" i="15"/>
  <c r="FO47" i="15"/>
  <c r="FL47" i="15"/>
  <c r="FI47" i="15"/>
  <c r="FF47" i="15"/>
  <c r="FC47" i="15"/>
  <c r="EZ47" i="15"/>
  <c r="EW47" i="15"/>
  <c r="ET47" i="15"/>
  <c r="EQ47" i="15"/>
  <c r="EN47" i="15"/>
  <c r="EK47" i="15"/>
  <c r="EH47" i="15"/>
  <c r="EE47" i="15"/>
  <c r="EB47" i="15"/>
  <c r="DY47" i="15"/>
  <c r="DV47" i="15"/>
  <c r="DS47" i="15"/>
  <c r="DP47" i="15"/>
  <c r="DM47" i="15"/>
  <c r="DJ47" i="15"/>
  <c r="DG47" i="15"/>
  <c r="DD47" i="15"/>
  <c r="DA47" i="15"/>
  <c r="CX47" i="15"/>
  <c r="CU47" i="15"/>
  <c r="CR47" i="15"/>
  <c r="CO47" i="15"/>
  <c r="CL47" i="15"/>
  <c r="CI47" i="15"/>
  <c r="CF47" i="15"/>
  <c r="CC47" i="15"/>
  <c r="BZ47" i="15"/>
  <c r="BW47" i="15"/>
  <c r="BT47" i="15"/>
  <c r="BQ47" i="15"/>
  <c r="BN47" i="15"/>
  <c r="BK47" i="15"/>
  <c r="BH47" i="15"/>
  <c r="BE47" i="15"/>
  <c r="BB47" i="15"/>
  <c r="AY47" i="15"/>
  <c r="AV47" i="15"/>
  <c r="AS47" i="15"/>
  <c r="AP47" i="15"/>
  <c r="AM47" i="15"/>
  <c r="AJ47" i="15"/>
  <c r="AG47" i="15"/>
  <c r="AD47" i="15"/>
  <c r="AA47" i="15"/>
  <c r="X47" i="15"/>
  <c r="U47" i="15"/>
  <c r="R47" i="15"/>
  <c r="O47" i="15"/>
  <c r="L47" i="15"/>
  <c r="I47" i="15"/>
  <c r="F47" i="15"/>
  <c r="LL46" i="15"/>
  <c r="LI46" i="15"/>
  <c r="LF46" i="15"/>
  <c r="LC46" i="15"/>
  <c r="KZ46" i="15"/>
  <c r="KW46" i="15"/>
  <c r="KT46" i="15"/>
  <c r="KQ46" i="15"/>
  <c r="KN46" i="15"/>
  <c r="KK46" i="15"/>
  <c r="KH46" i="15"/>
  <c r="KE46" i="15"/>
  <c r="KB46" i="15"/>
  <c r="JY46" i="15"/>
  <c r="JV46" i="15"/>
  <c r="JS46" i="15"/>
  <c r="JP46" i="15"/>
  <c r="JM46" i="15"/>
  <c r="JJ46" i="15"/>
  <c r="JG46" i="15"/>
  <c r="JD46" i="15"/>
  <c r="JA46" i="15"/>
  <c r="IX46" i="15"/>
  <c r="IU46" i="15"/>
  <c r="IR46" i="15"/>
  <c r="IO46" i="15"/>
  <c r="IL46" i="15"/>
  <c r="II46" i="15"/>
  <c r="IF46" i="15"/>
  <c r="IC46" i="15"/>
  <c r="HZ46" i="15"/>
  <c r="HW46" i="15"/>
  <c r="HT46" i="15"/>
  <c r="HQ46" i="15"/>
  <c r="HN46" i="15"/>
  <c r="HK46" i="15"/>
  <c r="HH46" i="15"/>
  <c r="HE46" i="15"/>
  <c r="HB46" i="15"/>
  <c r="GY46" i="15"/>
  <c r="GV46" i="15"/>
  <c r="GS46" i="15"/>
  <c r="GP46" i="15"/>
  <c r="GM46" i="15"/>
  <c r="GJ46" i="15"/>
  <c r="GG46" i="15"/>
  <c r="GD46" i="15"/>
  <c r="GA46" i="15"/>
  <c r="FX46" i="15"/>
  <c r="FU46" i="15"/>
  <c r="FR46" i="15"/>
  <c r="FO46" i="15"/>
  <c r="FL46" i="15"/>
  <c r="FI46" i="15"/>
  <c r="FF46" i="15"/>
  <c r="FC46" i="15"/>
  <c r="EZ46" i="15"/>
  <c r="EW46" i="15"/>
  <c r="ET46" i="15"/>
  <c r="EQ46" i="15"/>
  <c r="EN46" i="15"/>
  <c r="EK46" i="15"/>
  <c r="EH46" i="15"/>
  <c r="EE46" i="15"/>
  <c r="EB46" i="15"/>
  <c r="DY46" i="15"/>
  <c r="DV46" i="15"/>
  <c r="DS46" i="15"/>
  <c r="DP46" i="15"/>
  <c r="DM46" i="15"/>
  <c r="DJ46" i="15"/>
  <c r="DG46" i="15"/>
  <c r="DD46" i="15"/>
  <c r="DA46" i="15"/>
  <c r="CX46" i="15"/>
  <c r="CU46" i="15"/>
  <c r="CR46" i="15"/>
  <c r="CO46" i="15"/>
  <c r="CL46" i="15"/>
  <c r="CI46" i="15"/>
  <c r="CF46" i="15"/>
  <c r="CC46" i="15"/>
  <c r="BZ46" i="15"/>
  <c r="BW46" i="15"/>
  <c r="BT46" i="15"/>
  <c r="BQ46" i="15"/>
  <c r="BN46" i="15"/>
  <c r="BK46" i="15"/>
  <c r="BH46" i="15"/>
  <c r="BE46" i="15"/>
  <c r="BB46" i="15"/>
  <c r="AY46" i="15"/>
  <c r="AV46" i="15"/>
  <c r="AS46" i="15"/>
  <c r="AP46" i="15"/>
  <c r="AM46" i="15"/>
  <c r="AJ46" i="15"/>
  <c r="AG46" i="15"/>
  <c r="AD46" i="15"/>
  <c r="AA46" i="15"/>
  <c r="X46" i="15"/>
  <c r="U46" i="15"/>
  <c r="R46" i="15"/>
  <c r="O46" i="15"/>
  <c r="L46" i="15"/>
  <c r="I46" i="15"/>
  <c r="F46" i="15"/>
  <c r="LL45" i="15"/>
  <c r="LI45" i="15"/>
  <c r="LF45" i="15"/>
  <c r="LC45" i="15"/>
  <c r="KZ45" i="15"/>
  <c r="KW45" i="15"/>
  <c r="KT45" i="15"/>
  <c r="KQ45" i="15"/>
  <c r="KN45" i="15"/>
  <c r="KK45" i="15"/>
  <c r="KH45" i="15"/>
  <c r="KE45" i="15"/>
  <c r="KB45" i="15"/>
  <c r="JY45" i="15"/>
  <c r="JV45" i="15"/>
  <c r="JS45" i="15"/>
  <c r="JP45" i="15"/>
  <c r="JM45" i="15"/>
  <c r="JJ45" i="15"/>
  <c r="JG45" i="15"/>
  <c r="JD45" i="15"/>
  <c r="JA45" i="15"/>
  <c r="IX45" i="15"/>
  <c r="IU45" i="15"/>
  <c r="IR45" i="15"/>
  <c r="IO45" i="15"/>
  <c r="IL45" i="15"/>
  <c r="II45" i="15"/>
  <c r="IF45" i="15"/>
  <c r="IC45" i="15"/>
  <c r="HZ45" i="15"/>
  <c r="HW45" i="15"/>
  <c r="HT45" i="15"/>
  <c r="HQ45" i="15"/>
  <c r="HN45" i="15"/>
  <c r="HK45" i="15"/>
  <c r="HH45" i="15"/>
  <c r="HE45" i="15"/>
  <c r="HB45" i="15"/>
  <c r="GY45" i="15"/>
  <c r="GV45" i="15"/>
  <c r="GS45" i="15"/>
  <c r="GP45" i="15"/>
  <c r="GM45" i="15"/>
  <c r="GJ45" i="15"/>
  <c r="GG45" i="15"/>
  <c r="GD45" i="15"/>
  <c r="GA45" i="15"/>
  <c r="FX45" i="15"/>
  <c r="FU45" i="15"/>
  <c r="FR45" i="15"/>
  <c r="FO45" i="15"/>
  <c r="FL45" i="15"/>
  <c r="FI45" i="15"/>
  <c r="FF45" i="15"/>
  <c r="FC45" i="15"/>
  <c r="EZ45" i="15"/>
  <c r="EW45" i="15"/>
  <c r="ET45" i="15"/>
  <c r="EQ45" i="15"/>
  <c r="EN45" i="15"/>
  <c r="EK45" i="15"/>
  <c r="EH45" i="15"/>
  <c r="EE45" i="15"/>
  <c r="EB45" i="15"/>
  <c r="DY45" i="15"/>
  <c r="DV45" i="15"/>
  <c r="DS45" i="15"/>
  <c r="DP45" i="15"/>
  <c r="DM45" i="15"/>
  <c r="DJ45" i="15"/>
  <c r="DG45" i="15"/>
  <c r="DD45" i="15"/>
  <c r="DA45" i="15"/>
  <c r="CX45" i="15"/>
  <c r="CU45" i="15"/>
  <c r="CR45" i="15"/>
  <c r="CO45" i="15"/>
  <c r="CL45" i="15"/>
  <c r="CI45" i="15"/>
  <c r="CF45" i="15"/>
  <c r="CC45" i="15"/>
  <c r="BZ45" i="15"/>
  <c r="BW45" i="15"/>
  <c r="BT45" i="15"/>
  <c r="BQ45" i="15"/>
  <c r="BN45" i="15"/>
  <c r="BK45" i="15"/>
  <c r="BH45" i="15"/>
  <c r="BE45" i="15"/>
  <c r="BB45" i="15"/>
  <c r="AY45" i="15"/>
  <c r="AV45" i="15"/>
  <c r="AS45" i="15"/>
  <c r="AP45" i="15"/>
  <c r="AM45" i="15"/>
  <c r="AJ45" i="15"/>
  <c r="AG45" i="15"/>
  <c r="AD45" i="15"/>
  <c r="AA45" i="15"/>
  <c r="X45" i="15"/>
  <c r="U45" i="15"/>
  <c r="R45" i="15"/>
  <c r="O45" i="15"/>
  <c r="L45" i="15"/>
  <c r="I45" i="15"/>
  <c r="F45" i="15"/>
  <c r="LL44" i="15"/>
  <c r="LI44" i="15"/>
  <c r="LF44" i="15"/>
  <c r="LC44" i="15"/>
  <c r="KZ44" i="15"/>
  <c r="KW44" i="15"/>
  <c r="KT44" i="15"/>
  <c r="KQ44" i="15"/>
  <c r="KN44" i="15"/>
  <c r="KK44" i="15"/>
  <c r="KH44" i="15"/>
  <c r="KE44" i="15"/>
  <c r="KB44" i="15"/>
  <c r="JY44" i="15"/>
  <c r="JV44" i="15"/>
  <c r="JS44" i="15"/>
  <c r="JP44" i="15"/>
  <c r="JM44" i="15"/>
  <c r="JJ44" i="15"/>
  <c r="JG44" i="15"/>
  <c r="JD44" i="15"/>
  <c r="JA44" i="15"/>
  <c r="IX44" i="15"/>
  <c r="IU44" i="15"/>
  <c r="IR44" i="15"/>
  <c r="IO44" i="15"/>
  <c r="IL44" i="15"/>
  <c r="II44" i="15"/>
  <c r="IF44" i="15"/>
  <c r="IC44" i="15"/>
  <c r="HZ44" i="15"/>
  <c r="HW44" i="15"/>
  <c r="HT44" i="15"/>
  <c r="HQ44" i="15"/>
  <c r="HN44" i="15"/>
  <c r="HK44" i="15"/>
  <c r="HH44" i="15"/>
  <c r="HE44" i="15"/>
  <c r="HB44" i="15"/>
  <c r="GY44" i="15"/>
  <c r="GV44" i="15"/>
  <c r="GS44" i="15"/>
  <c r="GP44" i="15"/>
  <c r="GM44" i="15"/>
  <c r="GJ44" i="15"/>
  <c r="GG44" i="15"/>
  <c r="GD44" i="15"/>
  <c r="GA44" i="15"/>
  <c r="FX44" i="15"/>
  <c r="FU44" i="15"/>
  <c r="FR44" i="15"/>
  <c r="FO44" i="15"/>
  <c r="FL44" i="15"/>
  <c r="FI44" i="15"/>
  <c r="FF44" i="15"/>
  <c r="FC44" i="15"/>
  <c r="EZ44" i="15"/>
  <c r="EW44" i="15"/>
  <c r="ET44" i="15"/>
  <c r="EQ44" i="15"/>
  <c r="EN44" i="15"/>
  <c r="EK44" i="15"/>
  <c r="EH44" i="15"/>
  <c r="EE44" i="15"/>
  <c r="EB44" i="15"/>
  <c r="DY44" i="15"/>
  <c r="DV44" i="15"/>
  <c r="DS44" i="15"/>
  <c r="DP44" i="15"/>
  <c r="DM44" i="15"/>
  <c r="DJ44" i="15"/>
  <c r="DG44" i="15"/>
  <c r="DD44" i="15"/>
  <c r="DA44" i="15"/>
  <c r="CX44" i="15"/>
  <c r="CU44" i="15"/>
  <c r="CR44" i="15"/>
  <c r="CO44" i="15"/>
  <c r="CL44" i="15"/>
  <c r="CI44" i="15"/>
  <c r="CF44" i="15"/>
  <c r="CC44" i="15"/>
  <c r="BZ44" i="15"/>
  <c r="BW44" i="15"/>
  <c r="BT44" i="15"/>
  <c r="BQ44" i="15"/>
  <c r="BN44" i="15"/>
  <c r="BK44" i="15"/>
  <c r="BH44" i="15"/>
  <c r="BE44" i="15"/>
  <c r="BB44" i="15"/>
  <c r="AY44" i="15"/>
  <c r="AV44" i="15"/>
  <c r="AS44" i="15"/>
  <c r="AP44" i="15"/>
  <c r="AM44" i="15"/>
  <c r="AJ44" i="15"/>
  <c r="AG44" i="15"/>
  <c r="AD44" i="15"/>
  <c r="AA44" i="15"/>
  <c r="X44" i="15"/>
  <c r="U44" i="15"/>
  <c r="R44" i="15"/>
  <c r="O44" i="15"/>
  <c r="L44" i="15"/>
  <c r="I44" i="15"/>
  <c r="F44" i="15"/>
  <c r="LL43" i="15"/>
  <c r="LI43" i="15"/>
  <c r="LF43" i="15"/>
  <c r="LC43" i="15"/>
  <c r="KZ43" i="15"/>
  <c r="KW43" i="15"/>
  <c r="KT43" i="15"/>
  <c r="KQ43" i="15"/>
  <c r="KN43" i="15"/>
  <c r="KK43" i="15"/>
  <c r="KH43" i="15"/>
  <c r="KE43" i="15"/>
  <c r="KB43" i="15"/>
  <c r="JY43" i="15"/>
  <c r="JV43" i="15"/>
  <c r="JS43" i="15"/>
  <c r="JP43" i="15"/>
  <c r="JM43" i="15"/>
  <c r="JJ43" i="15"/>
  <c r="JG43" i="15"/>
  <c r="JD43" i="15"/>
  <c r="JA43" i="15"/>
  <c r="IX43" i="15"/>
  <c r="IU43" i="15"/>
  <c r="IR43" i="15"/>
  <c r="IO43" i="15"/>
  <c r="IL43" i="15"/>
  <c r="II43" i="15"/>
  <c r="IF43" i="15"/>
  <c r="IC43" i="15"/>
  <c r="HZ43" i="15"/>
  <c r="HW43" i="15"/>
  <c r="HT43" i="15"/>
  <c r="HQ43" i="15"/>
  <c r="HN43" i="15"/>
  <c r="HK43" i="15"/>
  <c r="HH43" i="15"/>
  <c r="HE43" i="15"/>
  <c r="HB43" i="15"/>
  <c r="GY43" i="15"/>
  <c r="GV43" i="15"/>
  <c r="GS43" i="15"/>
  <c r="GP43" i="15"/>
  <c r="GM43" i="15"/>
  <c r="GJ43" i="15"/>
  <c r="GG43" i="15"/>
  <c r="GD43" i="15"/>
  <c r="GA43" i="15"/>
  <c r="FX43" i="15"/>
  <c r="FU43" i="15"/>
  <c r="FR43" i="15"/>
  <c r="FO43" i="15"/>
  <c r="FL43" i="15"/>
  <c r="FI43" i="15"/>
  <c r="FF43" i="15"/>
  <c r="FC43" i="15"/>
  <c r="EZ43" i="15"/>
  <c r="EW43" i="15"/>
  <c r="ET43" i="15"/>
  <c r="EQ43" i="15"/>
  <c r="EN43" i="15"/>
  <c r="EK43" i="15"/>
  <c r="EH43" i="15"/>
  <c r="EE43" i="15"/>
  <c r="EB43" i="15"/>
  <c r="DY43" i="15"/>
  <c r="DV43" i="15"/>
  <c r="DS43" i="15"/>
  <c r="DP43" i="15"/>
  <c r="DM43" i="15"/>
  <c r="DJ43" i="15"/>
  <c r="DG43" i="15"/>
  <c r="DD43" i="15"/>
  <c r="DA43" i="15"/>
  <c r="CX43" i="15"/>
  <c r="CU43" i="15"/>
  <c r="CR43" i="15"/>
  <c r="CO43" i="15"/>
  <c r="CL43" i="15"/>
  <c r="CI43" i="15"/>
  <c r="CF43" i="15"/>
  <c r="CC43" i="15"/>
  <c r="BZ43" i="15"/>
  <c r="BW43" i="15"/>
  <c r="BT43" i="15"/>
  <c r="BQ43" i="15"/>
  <c r="BN43" i="15"/>
  <c r="BK43" i="15"/>
  <c r="BH43" i="15"/>
  <c r="BE43" i="15"/>
  <c r="BB43" i="15"/>
  <c r="AY43" i="15"/>
  <c r="AV43" i="15"/>
  <c r="AS43" i="15"/>
  <c r="AP43" i="15"/>
  <c r="AM43" i="15"/>
  <c r="AJ43" i="15"/>
  <c r="AG43" i="15"/>
  <c r="AD43" i="15"/>
  <c r="AA43" i="15"/>
  <c r="X43" i="15"/>
  <c r="U43" i="15"/>
  <c r="R43" i="15"/>
  <c r="O43" i="15"/>
  <c r="L43" i="15"/>
  <c r="I43" i="15"/>
  <c r="F43" i="15"/>
  <c r="LL42" i="15"/>
  <c r="LI42" i="15"/>
  <c r="LF42" i="15"/>
  <c r="LC42" i="15"/>
  <c r="KZ42" i="15"/>
  <c r="KW42" i="15"/>
  <c r="KT42" i="15"/>
  <c r="KQ42" i="15"/>
  <c r="KN42" i="15"/>
  <c r="KK42" i="15"/>
  <c r="KH42" i="15"/>
  <c r="KE42" i="15"/>
  <c r="KB42" i="15"/>
  <c r="JY42" i="15"/>
  <c r="JV42" i="15"/>
  <c r="JS42" i="15"/>
  <c r="JP42" i="15"/>
  <c r="JM42" i="15"/>
  <c r="JJ42" i="15"/>
  <c r="JG42" i="15"/>
  <c r="JD42" i="15"/>
  <c r="JA42" i="15"/>
  <c r="IX42" i="15"/>
  <c r="IU42" i="15"/>
  <c r="IR42" i="15"/>
  <c r="IO42" i="15"/>
  <c r="IL42" i="15"/>
  <c r="II42" i="15"/>
  <c r="IF42" i="15"/>
  <c r="IC42" i="15"/>
  <c r="HZ42" i="15"/>
  <c r="HW42" i="15"/>
  <c r="HT42" i="15"/>
  <c r="HQ42" i="15"/>
  <c r="HN42" i="15"/>
  <c r="HK42" i="15"/>
  <c r="HH42" i="15"/>
  <c r="HE42" i="15"/>
  <c r="HB42" i="15"/>
  <c r="GY42" i="15"/>
  <c r="GV42" i="15"/>
  <c r="GS42" i="15"/>
  <c r="GP42" i="15"/>
  <c r="GM42" i="15"/>
  <c r="GJ42" i="15"/>
  <c r="GG42" i="15"/>
  <c r="GD42" i="15"/>
  <c r="GA42" i="15"/>
  <c r="FX42" i="15"/>
  <c r="FU42" i="15"/>
  <c r="FR42" i="15"/>
  <c r="FO42" i="15"/>
  <c r="FL42" i="15"/>
  <c r="FI42" i="15"/>
  <c r="FF42" i="15"/>
  <c r="FC42" i="15"/>
  <c r="EZ42" i="15"/>
  <c r="EW42" i="15"/>
  <c r="ET42" i="15"/>
  <c r="EQ42" i="15"/>
  <c r="EN42" i="15"/>
  <c r="EK42" i="15"/>
  <c r="EH42" i="15"/>
  <c r="EE42" i="15"/>
  <c r="EB42" i="15"/>
  <c r="DY42" i="15"/>
  <c r="DV42" i="15"/>
  <c r="DS42" i="15"/>
  <c r="DP42" i="15"/>
  <c r="DM42" i="15"/>
  <c r="DJ42" i="15"/>
  <c r="DG42" i="15"/>
  <c r="DD42" i="15"/>
  <c r="DA42" i="15"/>
  <c r="CX42" i="15"/>
  <c r="CU42" i="15"/>
  <c r="CR42" i="15"/>
  <c r="CO42" i="15"/>
  <c r="CL42" i="15"/>
  <c r="CI42" i="15"/>
  <c r="CF42" i="15"/>
  <c r="CC42" i="15"/>
  <c r="BZ42" i="15"/>
  <c r="BW42" i="15"/>
  <c r="BT42" i="15"/>
  <c r="BQ42" i="15"/>
  <c r="BN42" i="15"/>
  <c r="BK42" i="15"/>
  <c r="BH42" i="15"/>
  <c r="BE42" i="15"/>
  <c r="BB42" i="15"/>
  <c r="AY42" i="15"/>
  <c r="AV42" i="15"/>
  <c r="AS42" i="15"/>
  <c r="AP42" i="15"/>
  <c r="AM42" i="15"/>
  <c r="AJ42" i="15"/>
  <c r="AG42" i="15"/>
  <c r="AD42" i="15"/>
  <c r="AA42" i="15"/>
  <c r="X42" i="15"/>
  <c r="U42" i="15"/>
  <c r="R42" i="15"/>
  <c r="O42" i="15"/>
  <c r="L42" i="15"/>
  <c r="I42" i="15"/>
  <c r="F42" i="15"/>
  <c r="LL41" i="15"/>
  <c r="LI41" i="15"/>
  <c r="LF41" i="15"/>
  <c r="LC41" i="15"/>
  <c r="KZ41" i="15"/>
  <c r="KW41" i="15"/>
  <c r="KT41" i="15"/>
  <c r="KQ41" i="15"/>
  <c r="KN41" i="15"/>
  <c r="KK41" i="15"/>
  <c r="KH41" i="15"/>
  <c r="KE41" i="15"/>
  <c r="KB41" i="15"/>
  <c r="JY41" i="15"/>
  <c r="JV41" i="15"/>
  <c r="JS41" i="15"/>
  <c r="JP41" i="15"/>
  <c r="JM41" i="15"/>
  <c r="JJ41" i="15"/>
  <c r="JG41" i="15"/>
  <c r="JD41" i="15"/>
  <c r="JA41" i="15"/>
  <c r="IX41" i="15"/>
  <c r="IU41" i="15"/>
  <c r="IR41" i="15"/>
  <c r="IO41" i="15"/>
  <c r="IL41" i="15"/>
  <c r="II41" i="15"/>
  <c r="IF41" i="15"/>
  <c r="IC41" i="15"/>
  <c r="HZ41" i="15"/>
  <c r="HW41" i="15"/>
  <c r="HT41" i="15"/>
  <c r="HQ41" i="15"/>
  <c r="HN41" i="15"/>
  <c r="HK41" i="15"/>
  <c r="HH41" i="15"/>
  <c r="HE41" i="15"/>
  <c r="HB41" i="15"/>
  <c r="GY41" i="15"/>
  <c r="GV41" i="15"/>
  <c r="GS41" i="15"/>
  <c r="GP41" i="15"/>
  <c r="GM41" i="15"/>
  <c r="GJ41" i="15"/>
  <c r="GG41" i="15"/>
  <c r="GD41" i="15"/>
  <c r="GA41" i="15"/>
  <c r="FX41" i="15"/>
  <c r="FU41" i="15"/>
  <c r="FR41" i="15"/>
  <c r="FO41" i="15"/>
  <c r="FL41" i="15"/>
  <c r="FI41" i="15"/>
  <c r="FF41" i="15"/>
  <c r="FC41" i="15"/>
  <c r="EZ41" i="15"/>
  <c r="EW41" i="15"/>
  <c r="ET41" i="15"/>
  <c r="EQ41" i="15"/>
  <c r="EN41" i="15"/>
  <c r="EK41" i="15"/>
  <c r="EH41" i="15"/>
  <c r="EE41" i="15"/>
  <c r="EB41" i="15"/>
  <c r="DY41" i="15"/>
  <c r="DV41" i="15"/>
  <c r="DS41" i="15"/>
  <c r="DP41" i="15"/>
  <c r="DM41" i="15"/>
  <c r="DJ41" i="15"/>
  <c r="DG41" i="15"/>
  <c r="DD41" i="15"/>
  <c r="DA41" i="15"/>
  <c r="CX41" i="15"/>
  <c r="CU41" i="15"/>
  <c r="CR41" i="15"/>
  <c r="CO41" i="15"/>
  <c r="CL41" i="15"/>
  <c r="CI41" i="15"/>
  <c r="CF41" i="15"/>
  <c r="CC41" i="15"/>
  <c r="BZ41" i="15"/>
  <c r="BW41" i="15"/>
  <c r="BT41" i="15"/>
  <c r="BQ41" i="15"/>
  <c r="BN41" i="15"/>
  <c r="BK41" i="15"/>
  <c r="BH41" i="15"/>
  <c r="BE41" i="15"/>
  <c r="BB41" i="15"/>
  <c r="AY41" i="15"/>
  <c r="AV41" i="15"/>
  <c r="AS41" i="15"/>
  <c r="AP41" i="15"/>
  <c r="AM41" i="15"/>
  <c r="AJ41" i="15"/>
  <c r="AG41" i="15"/>
  <c r="AD41" i="15"/>
  <c r="AA41" i="15"/>
  <c r="X41" i="15"/>
  <c r="U41" i="15"/>
  <c r="R41" i="15"/>
  <c r="O41" i="15"/>
  <c r="L41" i="15"/>
  <c r="I41" i="15"/>
  <c r="F41" i="15"/>
  <c r="LL40" i="15"/>
  <c r="LI40" i="15"/>
  <c r="LF40" i="15"/>
  <c r="LC40" i="15"/>
  <c r="KZ40" i="15"/>
  <c r="KW40" i="15"/>
  <c r="KT40" i="15"/>
  <c r="KQ40" i="15"/>
  <c r="KN40" i="15"/>
  <c r="KK40" i="15"/>
  <c r="KH40" i="15"/>
  <c r="KE40" i="15"/>
  <c r="KB40" i="15"/>
  <c r="JY40" i="15"/>
  <c r="JV40" i="15"/>
  <c r="JS40" i="15"/>
  <c r="JP40" i="15"/>
  <c r="JM40" i="15"/>
  <c r="JJ40" i="15"/>
  <c r="JG40" i="15"/>
  <c r="JD40" i="15"/>
  <c r="JA40" i="15"/>
  <c r="IX40" i="15"/>
  <c r="IU40" i="15"/>
  <c r="IR40" i="15"/>
  <c r="IO40" i="15"/>
  <c r="IL40" i="15"/>
  <c r="II40" i="15"/>
  <c r="IF40" i="15"/>
  <c r="IC40" i="15"/>
  <c r="HZ40" i="15"/>
  <c r="HW40" i="15"/>
  <c r="HT40" i="15"/>
  <c r="HQ40" i="15"/>
  <c r="HN40" i="15"/>
  <c r="HK40" i="15"/>
  <c r="HH40" i="15"/>
  <c r="HE40" i="15"/>
  <c r="HB40" i="15"/>
  <c r="GY40" i="15"/>
  <c r="GV40" i="15"/>
  <c r="GS40" i="15"/>
  <c r="GP40" i="15"/>
  <c r="GM40" i="15"/>
  <c r="GJ40" i="15"/>
  <c r="GG40" i="15"/>
  <c r="GD40" i="15"/>
  <c r="GA40" i="15"/>
  <c r="FX40" i="15"/>
  <c r="FU40" i="15"/>
  <c r="FR40" i="15"/>
  <c r="FO40" i="15"/>
  <c r="FL40" i="15"/>
  <c r="FI40" i="15"/>
  <c r="FF40" i="15"/>
  <c r="FC40" i="15"/>
  <c r="EZ40" i="15"/>
  <c r="EW40" i="15"/>
  <c r="ET40" i="15"/>
  <c r="EQ40" i="15"/>
  <c r="EN40" i="15"/>
  <c r="EK40" i="15"/>
  <c r="EH40" i="15"/>
  <c r="EE40" i="15"/>
  <c r="EB40" i="15"/>
  <c r="DY40" i="15"/>
  <c r="DV40" i="15"/>
  <c r="DS40" i="15"/>
  <c r="DP40" i="15"/>
  <c r="DM40" i="15"/>
  <c r="DJ40" i="15"/>
  <c r="DG40" i="15"/>
  <c r="DD40" i="15"/>
  <c r="DA40" i="15"/>
  <c r="CX40" i="15"/>
  <c r="CU40" i="15"/>
  <c r="CR40" i="15"/>
  <c r="CO40" i="15"/>
  <c r="CL40" i="15"/>
  <c r="CI40" i="15"/>
  <c r="CF40" i="15"/>
  <c r="CC40" i="15"/>
  <c r="BZ40" i="15"/>
  <c r="BW40" i="15"/>
  <c r="BT40" i="15"/>
  <c r="BQ40" i="15"/>
  <c r="BN40" i="15"/>
  <c r="BK40" i="15"/>
  <c r="BH40" i="15"/>
  <c r="BE40" i="15"/>
  <c r="BB40" i="15"/>
  <c r="AY40" i="15"/>
  <c r="AV40" i="15"/>
  <c r="AS40" i="15"/>
  <c r="AP40" i="15"/>
  <c r="AM40" i="15"/>
  <c r="AJ40" i="15"/>
  <c r="AG40" i="15"/>
  <c r="AD40" i="15"/>
  <c r="AA40" i="15"/>
  <c r="X40" i="15"/>
  <c r="U40" i="15"/>
  <c r="R40" i="15"/>
  <c r="O40" i="15"/>
  <c r="L40" i="15"/>
  <c r="I40" i="15"/>
  <c r="F40" i="15"/>
  <c r="LL39" i="15"/>
  <c r="LI39" i="15"/>
  <c r="LF39" i="15"/>
  <c r="LC39" i="15"/>
  <c r="KZ39" i="15"/>
  <c r="KW39" i="15"/>
  <c r="KT39" i="15"/>
  <c r="KQ39" i="15"/>
  <c r="KN39" i="15"/>
  <c r="KK39" i="15"/>
  <c r="KH39" i="15"/>
  <c r="KE39" i="15"/>
  <c r="KB39" i="15"/>
  <c r="JY39" i="15"/>
  <c r="JV39" i="15"/>
  <c r="JS39" i="15"/>
  <c r="JP39" i="15"/>
  <c r="JM39" i="15"/>
  <c r="JJ39" i="15"/>
  <c r="JG39" i="15"/>
  <c r="JD39" i="15"/>
  <c r="JA39" i="15"/>
  <c r="IX39" i="15"/>
  <c r="IU39" i="15"/>
  <c r="IR39" i="15"/>
  <c r="IO39" i="15"/>
  <c r="IL39" i="15"/>
  <c r="II39" i="15"/>
  <c r="IF39" i="15"/>
  <c r="IC39" i="15"/>
  <c r="HZ39" i="15"/>
  <c r="HW39" i="15"/>
  <c r="HT39" i="15"/>
  <c r="HQ39" i="15"/>
  <c r="HN39" i="15"/>
  <c r="HK39" i="15"/>
  <c r="HH39" i="15"/>
  <c r="HE39" i="15"/>
  <c r="HB39" i="15"/>
  <c r="GY39" i="15"/>
  <c r="GV39" i="15"/>
  <c r="GS39" i="15"/>
  <c r="GP39" i="15"/>
  <c r="GM39" i="15"/>
  <c r="GJ39" i="15"/>
  <c r="GG39" i="15"/>
  <c r="GD39" i="15"/>
  <c r="GA39" i="15"/>
  <c r="FX39" i="15"/>
  <c r="FU39" i="15"/>
  <c r="FR39" i="15"/>
  <c r="FO39" i="15"/>
  <c r="FL39" i="15"/>
  <c r="FI39" i="15"/>
  <c r="FF39" i="15"/>
  <c r="FC39" i="15"/>
  <c r="EZ39" i="15"/>
  <c r="EW39" i="15"/>
  <c r="ET39" i="15"/>
  <c r="EQ39" i="15"/>
  <c r="EN39" i="15"/>
  <c r="EK39" i="15"/>
  <c r="EH39" i="15"/>
  <c r="EE39" i="15"/>
  <c r="EB39" i="15"/>
  <c r="DY39" i="15"/>
  <c r="DV39" i="15"/>
  <c r="DS39" i="15"/>
  <c r="DP39" i="15"/>
  <c r="DM39" i="15"/>
  <c r="DJ39" i="15"/>
  <c r="DG39" i="15"/>
  <c r="DD39" i="15"/>
  <c r="DA39" i="15"/>
  <c r="CX39" i="15"/>
  <c r="CU39" i="15"/>
  <c r="CR39" i="15"/>
  <c r="CO39" i="15"/>
  <c r="CL39" i="15"/>
  <c r="CI39" i="15"/>
  <c r="CF39" i="15"/>
  <c r="CC39" i="15"/>
  <c r="BZ39" i="15"/>
  <c r="BW39" i="15"/>
  <c r="BT39" i="15"/>
  <c r="BQ39" i="15"/>
  <c r="BN39" i="15"/>
  <c r="BK39" i="15"/>
  <c r="BH39" i="15"/>
  <c r="BE39" i="15"/>
  <c r="BB39" i="15"/>
  <c r="AY39" i="15"/>
  <c r="AV39" i="15"/>
  <c r="AS39" i="15"/>
  <c r="AP39" i="15"/>
  <c r="AM39" i="15"/>
  <c r="AJ39" i="15"/>
  <c r="AG39" i="15"/>
  <c r="AD39" i="15"/>
  <c r="AA39" i="15"/>
  <c r="X39" i="15"/>
  <c r="U39" i="15"/>
  <c r="R39" i="15"/>
  <c r="O39" i="15"/>
  <c r="L39" i="15"/>
  <c r="I39" i="15"/>
  <c r="F39" i="15"/>
  <c r="LL38" i="15"/>
  <c r="LI38" i="15"/>
  <c r="LF38" i="15"/>
  <c r="LC38" i="15"/>
  <c r="KZ38" i="15"/>
  <c r="KW38" i="15"/>
  <c r="KT38" i="15"/>
  <c r="KQ38" i="15"/>
  <c r="KN38" i="15"/>
  <c r="KK38" i="15"/>
  <c r="KH38" i="15"/>
  <c r="KE38" i="15"/>
  <c r="KB38" i="15"/>
  <c r="JY38" i="15"/>
  <c r="JV38" i="15"/>
  <c r="JS38" i="15"/>
  <c r="JP38" i="15"/>
  <c r="JM38" i="15"/>
  <c r="JJ38" i="15"/>
  <c r="JG38" i="15"/>
  <c r="JD38" i="15"/>
  <c r="JA38" i="15"/>
  <c r="IX38" i="15"/>
  <c r="IU38" i="15"/>
  <c r="IR38" i="15"/>
  <c r="IO38" i="15"/>
  <c r="IL38" i="15"/>
  <c r="II38" i="15"/>
  <c r="IF38" i="15"/>
  <c r="IC38" i="15"/>
  <c r="HZ38" i="15"/>
  <c r="HW38" i="15"/>
  <c r="HT38" i="15"/>
  <c r="HQ38" i="15"/>
  <c r="HN38" i="15"/>
  <c r="HK38" i="15"/>
  <c r="HH38" i="15"/>
  <c r="HE38" i="15"/>
  <c r="HB38" i="15"/>
  <c r="GY38" i="15"/>
  <c r="GV38" i="15"/>
  <c r="GS38" i="15"/>
  <c r="GP38" i="15"/>
  <c r="GM38" i="15"/>
  <c r="GJ38" i="15"/>
  <c r="GG38" i="15"/>
  <c r="GD38" i="15"/>
  <c r="GA38" i="15"/>
  <c r="FX38" i="15"/>
  <c r="FU38" i="15"/>
  <c r="FR38" i="15"/>
  <c r="FO38" i="15"/>
  <c r="FL38" i="15"/>
  <c r="FI38" i="15"/>
  <c r="FF38" i="15"/>
  <c r="FC38" i="15"/>
  <c r="EZ38" i="15"/>
  <c r="EW38" i="15"/>
  <c r="ET38" i="15"/>
  <c r="EQ38" i="15"/>
  <c r="EN38" i="15"/>
  <c r="EK38" i="15"/>
  <c r="EH38" i="15"/>
  <c r="EE38" i="15"/>
  <c r="EB38" i="15"/>
  <c r="DY38" i="15"/>
  <c r="DV38" i="15"/>
  <c r="DS38" i="15"/>
  <c r="DP38" i="15"/>
  <c r="DM38" i="15"/>
  <c r="DJ38" i="15"/>
  <c r="DG38" i="15"/>
  <c r="DD38" i="15"/>
  <c r="DA38" i="15"/>
  <c r="CX38" i="15"/>
  <c r="CU38" i="15"/>
  <c r="CR38" i="15"/>
  <c r="CO38" i="15"/>
  <c r="CL38" i="15"/>
  <c r="CI38" i="15"/>
  <c r="CF38" i="15"/>
  <c r="CC38" i="15"/>
  <c r="BZ38" i="15"/>
  <c r="BW38" i="15"/>
  <c r="BT38" i="15"/>
  <c r="BQ38" i="15"/>
  <c r="BN38" i="15"/>
  <c r="BK38" i="15"/>
  <c r="BH38" i="15"/>
  <c r="BE38" i="15"/>
  <c r="BB38" i="15"/>
  <c r="AY38" i="15"/>
  <c r="AV38" i="15"/>
  <c r="AS38" i="15"/>
  <c r="AP38" i="15"/>
  <c r="AM38" i="15"/>
  <c r="AJ38" i="15"/>
  <c r="AG38" i="15"/>
  <c r="AD38" i="15"/>
  <c r="AA38" i="15"/>
  <c r="X38" i="15"/>
  <c r="U38" i="15"/>
  <c r="R38" i="15"/>
  <c r="O38" i="15"/>
  <c r="L38" i="15"/>
  <c r="I38" i="15"/>
  <c r="F38" i="15"/>
  <c r="LL37" i="15"/>
  <c r="LI37" i="15"/>
  <c r="LF37" i="15"/>
  <c r="LC37" i="15"/>
  <c r="KZ37" i="15"/>
  <c r="KW37" i="15"/>
  <c r="KT37" i="15"/>
  <c r="KQ37" i="15"/>
  <c r="KN37" i="15"/>
  <c r="KK37" i="15"/>
  <c r="KH37" i="15"/>
  <c r="KE37" i="15"/>
  <c r="KB37" i="15"/>
  <c r="JY37" i="15"/>
  <c r="JV37" i="15"/>
  <c r="JS37" i="15"/>
  <c r="JP37" i="15"/>
  <c r="JM37" i="15"/>
  <c r="JJ37" i="15"/>
  <c r="JG37" i="15"/>
  <c r="JD37" i="15"/>
  <c r="JA37" i="15"/>
  <c r="IX37" i="15"/>
  <c r="IU37" i="15"/>
  <c r="IR37" i="15"/>
  <c r="IO37" i="15"/>
  <c r="IL37" i="15"/>
  <c r="II37" i="15"/>
  <c r="IF37" i="15"/>
  <c r="IC37" i="15"/>
  <c r="HZ37" i="15"/>
  <c r="HW37" i="15"/>
  <c r="HT37" i="15"/>
  <c r="HQ37" i="15"/>
  <c r="HN37" i="15"/>
  <c r="HK37" i="15"/>
  <c r="HH37" i="15"/>
  <c r="HE37" i="15"/>
  <c r="HB37" i="15"/>
  <c r="GY37" i="15"/>
  <c r="GV37" i="15"/>
  <c r="GS37" i="15"/>
  <c r="GP37" i="15"/>
  <c r="GM37" i="15"/>
  <c r="GJ37" i="15"/>
  <c r="GG37" i="15"/>
  <c r="GD37" i="15"/>
  <c r="GA37" i="15"/>
  <c r="FX37" i="15"/>
  <c r="FU37" i="15"/>
  <c r="FR37" i="15"/>
  <c r="FO37" i="15"/>
  <c r="FL37" i="15"/>
  <c r="FI37" i="15"/>
  <c r="FF37" i="15"/>
  <c r="FC37" i="15"/>
  <c r="EZ37" i="15"/>
  <c r="EW37" i="15"/>
  <c r="ET37" i="15"/>
  <c r="EQ37" i="15"/>
  <c r="EN37" i="15"/>
  <c r="EK37" i="15"/>
  <c r="EH37" i="15"/>
  <c r="EE37" i="15"/>
  <c r="EB37" i="15"/>
  <c r="DY37" i="15"/>
  <c r="DV37" i="15"/>
  <c r="DS37" i="15"/>
  <c r="DP37" i="15"/>
  <c r="DM37" i="15"/>
  <c r="DJ37" i="15"/>
  <c r="DG37" i="15"/>
  <c r="DD37" i="15"/>
  <c r="DA37" i="15"/>
  <c r="CX37" i="15"/>
  <c r="CU37" i="15"/>
  <c r="CR37" i="15"/>
  <c r="CO37" i="15"/>
  <c r="CL37" i="15"/>
  <c r="CI37" i="15"/>
  <c r="CF37" i="15"/>
  <c r="CC37" i="15"/>
  <c r="BZ37" i="15"/>
  <c r="BW37" i="15"/>
  <c r="BT37" i="15"/>
  <c r="BQ37" i="15"/>
  <c r="BN37" i="15"/>
  <c r="BK37" i="15"/>
  <c r="BH37" i="15"/>
  <c r="BE37" i="15"/>
  <c r="BB37" i="15"/>
  <c r="AY37" i="15"/>
  <c r="AV37" i="15"/>
  <c r="AS37" i="15"/>
  <c r="AP37" i="15"/>
  <c r="AM37" i="15"/>
  <c r="AJ37" i="15"/>
  <c r="AG37" i="15"/>
  <c r="AD37" i="15"/>
  <c r="AA37" i="15"/>
  <c r="X37" i="15"/>
  <c r="U37" i="15"/>
  <c r="R37" i="15"/>
  <c r="O37" i="15"/>
  <c r="L37" i="15"/>
  <c r="I37" i="15"/>
  <c r="F37" i="15"/>
  <c r="LL36" i="15"/>
  <c r="LI36" i="15"/>
  <c r="LF36" i="15"/>
  <c r="LC36" i="15"/>
  <c r="KZ36" i="15"/>
  <c r="KW36" i="15"/>
  <c r="KT36" i="15"/>
  <c r="KQ36" i="15"/>
  <c r="KN36" i="15"/>
  <c r="KK36" i="15"/>
  <c r="KH36" i="15"/>
  <c r="KE36" i="15"/>
  <c r="KB36" i="15"/>
  <c r="JY36" i="15"/>
  <c r="JV36" i="15"/>
  <c r="JS36" i="15"/>
  <c r="JP36" i="15"/>
  <c r="JM36" i="15"/>
  <c r="JJ36" i="15"/>
  <c r="JG36" i="15"/>
  <c r="JD36" i="15"/>
  <c r="JA36" i="15"/>
  <c r="IX36" i="15"/>
  <c r="IU36" i="15"/>
  <c r="IR36" i="15"/>
  <c r="IO36" i="15"/>
  <c r="IL36" i="15"/>
  <c r="II36" i="15"/>
  <c r="IF36" i="15"/>
  <c r="IC36" i="15"/>
  <c r="HZ36" i="15"/>
  <c r="HW36" i="15"/>
  <c r="HT36" i="15"/>
  <c r="HQ36" i="15"/>
  <c r="HN36" i="15"/>
  <c r="HK36" i="15"/>
  <c r="HH36" i="15"/>
  <c r="HE36" i="15"/>
  <c r="HB36" i="15"/>
  <c r="GY36" i="15"/>
  <c r="GV36" i="15"/>
  <c r="GS36" i="15"/>
  <c r="GP36" i="15"/>
  <c r="GM36" i="15"/>
  <c r="GJ36" i="15"/>
  <c r="GG36" i="15"/>
  <c r="GD36" i="15"/>
  <c r="GA36" i="15"/>
  <c r="FX36" i="15"/>
  <c r="FU36" i="15"/>
  <c r="FR36" i="15"/>
  <c r="FO36" i="15"/>
  <c r="FL36" i="15"/>
  <c r="FI36" i="15"/>
  <c r="FF36" i="15"/>
  <c r="FC36" i="15"/>
  <c r="EZ36" i="15"/>
  <c r="EW36" i="15"/>
  <c r="ET36" i="15"/>
  <c r="EQ36" i="15"/>
  <c r="EN36" i="15"/>
  <c r="EK36" i="15"/>
  <c r="EH36" i="15"/>
  <c r="EE36" i="15"/>
  <c r="EB36" i="15"/>
  <c r="DY36" i="15"/>
  <c r="DV36" i="15"/>
  <c r="DS36" i="15"/>
  <c r="DP36" i="15"/>
  <c r="DM36" i="15"/>
  <c r="DJ36" i="15"/>
  <c r="DG36" i="15"/>
  <c r="DD36" i="15"/>
  <c r="DA36" i="15"/>
  <c r="CX36" i="15"/>
  <c r="CU36" i="15"/>
  <c r="CR36" i="15"/>
  <c r="CO36" i="15"/>
  <c r="CL36" i="15"/>
  <c r="CI36" i="15"/>
  <c r="CF36" i="15"/>
  <c r="CC36" i="15"/>
  <c r="BZ36" i="15"/>
  <c r="BW36" i="15"/>
  <c r="BT36" i="15"/>
  <c r="BQ36" i="15"/>
  <c r="BN36" i="15"/>
  <c r="BK36" i="15"/>
  <c r="BH36" i="15"/>
  <c r="BE36" i="15"/>
  <c r="BB36" i="15"/>
  <c r="AY36" i="15"/>
  <c r="AV36" i="15"/>
  <c r="AS36" i="15"/>
  <c r="AP36" i="15"/>
  <c r="AM36" i="15"/>
  <c r="AJ36" i="15"/>
  <c r="AG36" i="15"/>
  <c r="AD36" i="15"/>
  <c r="AA36" i="15"/>
  <c r="X36" i="15"/>
  <c r="U36" i="15"/>
  <c r="R36" i="15"/>
  <c r="O36" i="15"/>
  <c r="L36" i="15"/>
  <c r="I36" i="15"/>
  <c r="F36" i="15"/>
  <c r="LL35" i="15"/>
  <c r="LI35" i="15"/>
  <c r="LF35" i="15"/>
  <c r="LC35" i="15"/>
  <c r="KZ35" i="15"/>
  <c r="KW35" i="15"/>
  <c r="KT35" i="15"/>
  <c r="KQ35" i="15"/>
  <c r="KN35" i="15"/>
  <c r="KK35" i="15"/>
  <c r="KH35" i="15"/>
  <c r="KE35" i="15"/>
  <c r="KB35" i="15"/>
  <c r="JY35" i="15"/>
  <c r="JV35" i="15"/>
  <c r="JS35" i="15"/>
  <c r="JP35" i="15"/>
  <c r="JM35" i="15"/>
  <c r="JJ35" i="15"/>
  <c r="JG35" i="15"/>
  <c r="JD35" i="15"/>
  <c r="JA35" i="15"/>
  <c r="IX35" i="15"/>
  <c r="IU35" i="15"/>
  <c r="IR35" i="15"/>
  <c r="IO35" i="15"/>
  <c r="IL35" i="15"/>
  <c r="II35" i="15"/>
  <c r="IF35" i="15"/>
  <c r="IC35" i="15"/>
  <c r="HZ35" i="15"/>
  <c r="HW35" i="15"/>
  <c r="HT35" i="15"/>
  <c r="HQ35" i="15"/>
  <c r="HN35" i="15"/>
  <c r="HK35" i="15"/>
  <c r="HH35" i="15"/>
  <c r="HE35" i="15"/>
  <c r="HB35" i="15"/>
  <c r="GY35" i="15"/>
  <c r="GV35" i="15"/>
  <c r="GS35" i="15"/>
  <c r="GP35" i="15"/>
  <c r="GM35" i="15"/>
  <c r="GJ35" i="15"/>
  <c r="GG35" i="15"/>
  <c r="GD35" i="15"/>
  <c r="GA35" i="15"/>
  <c r="FX35" i="15"/>
  <c r="FU35" i="15"/>
  <c r="FR35" i="15"/>
  <c r="FO35" i="15"/>
  <c r="FL35" i="15"/>
  <c r="FI35" i="15"/>
  <c r="FF35" i="15"/>
  <c r="FC35" i="15"/>
  <c r="EZ35" i="15"/>
  <c r="EW35" i="15"/>
  <c r="ET35" i="15"/>
  <c r="EQ35" i="15"/>
  <c r="EN35" i="15"/>
  <c r="EK35" i="15"/>
  <c r="EH35" i="15"/>
  <c r="EE35" i="15"/>
  <c r="EB35" i="15"/>
  <c r="DY35" i="15"/>
  <c r="DV35" i="15"/>
  <c r="DS35" i="15"/>
  <c r="DP35" i="15"/>
  <c r="DM35" i="15"/>
  <c r="DJ35" i="15"/>
  <c r="DG35" i="15"/>
  <c r="DD35" i="15"/>
  <c r="DA35" i="15"/>
  <c r="CX35" i="15"/>
  <c r="CU35" i="15"/>
  <c r="CR35" i="15"/>
  <c r="CO35" i="15"/>
  <c r="CL35" i="15"/>
  <c r="CI35" i="15"/>
  <c r="CF35" i="15"/>
  <c r="CC35" i="15"/>
  <c r="BZ35" i="15"/>
  <c r="BW35" i="15"/>
  <c r="BT35" i="15"/>
  <c r="BQ35" i="15"/>
  <c r="BN35" i="15"/>
  <c r="BK35" i="15"/>
  <c r="BH35" i="15"/>
  <c r="BE35" i="15"/>
  <c r="BB35" i="15"/>
  <c r="AY35" i="15"/>
  <c r="AV35" i="15"/>
  <c r="AS35" i="15"/>
  <c r="AP35" i="15"/>
  <c r="AM35" i="15"/>
  <c r="AJ35" i="15"/>
  <c r="AG35" i="15"/>
  <c r="AD35" i="15"/>
  <c r="AA35" i="15"/>
  <c r="X35" i="15"/>
  <c r="U35" i="15"/>
  <c r="R35" i="15"/>
  <c r="O35" i="15"/>
  <c r="L35" i="15"/>
  <c r="I35" i="15"/>
  <c r="F35" i="15"/>
  <c r="LL34" i="15"/>
  <c r="LI34" i="15"/>
  <c r="LF34" i="15"/>
  <c r="LC34" i="15"/>
  <c r="KZ34" i="15"/>
  <c r="KW34" i="15"/>
  <c r="KT34" i="15"/>
  <c r="KQ34" i="15"/>
  <c r="KN34" i="15"/>
  <c r="KK34" i="15"/>
  <c r="KH34" i="15"/>
  <c r="KE34" i="15"/>
  <c r="KB34" i="15"/>
  <c r="JY34" i="15"/>
  <c r="JV34" i="15"/>
  <c r="JS34" i="15"/>
  <c r="JP34" i="15"/>
  <c r="JM34" i="15"/>
  <c r="JJ34" i="15"/>
  <c r="JG34" i="15"/>
  <c r="JD34" i="15"/>
  <c r="JA34" i="15"/>
  <c r="IX34" i="15"/>
  <c r="IU34" i="15"/>
  <c r="IR34" i="15"/>
  <c r="IO34" i="15"/>
  <c r="IL34" i="15"/>
  <c r="II34" i="15"/>
  <c r="IF34" i="15"/>
  <c r="IC34" i="15"/>
  <c r="HZ34" i="15"/>
  <c r="HW34" i="15"/>
  <c r="HT34" i="15"/>
  <c r="HQ34" i="15"/>
  <c r="HN34" i="15"/>
  <c r="HK34" i="15"/>
  <c r="HH34" i="15"/>
  <c r="HE34" i="15"/>
  <c r="HB34" i="15"/>
  <c r="GY34" i="15"/>
  <c r="GV34" i="15"/>
  <c r="GS34" i="15"/>
  <c r="GP34" i="15"/>
  <c r="GM34" i="15"/>
  <c r="GJ34" i="15"/>
  <c r="GG34" i="15"/>
  <c r="GD34" i="15"/>
  <c r="GA34" i="15"/>
  <c r="FX34" i="15"/>
  <c r="FU34" i="15"/>
  <c r="FR34" i="15"/>
  <c r="FO34" i="15"/>
  <c r="FL34" i="15"/>
  <c r="FI34" i="15"/>
  <c r="FF34" i="15"/>
  <c r="FC34" i="15"/>
  <c r="EZ34" i="15"/>
  <c r="EW34" i="15"/>
  <c r="ET34" i="15"/>
  <c r="EQ34" i="15"/>
  <c r="EN34" i="15"/>
  <c r="EK34" i="15"/>
  <c r="EH34" i="15"/>
  <c r="EE34" i="15"/>
  <c r="EB34" i="15"/>
  <c r="DY34" i="15"/>
  <c r="DV34" i="15"/>
  <c r="DS34" i="15"/>
  <c r="DP34" i="15"/>
  <c r="DM34" i="15"/>
  <c r="DJ34" i="15"/>
  <c r="DG34" i="15"/>
  <c r="DD34" i="15"/>
  <c r="DA34" i="15"/>
  <c r="CX34" i="15"/>
  <c r="CU34" i="15"/>
  <c r="CR34" i="15"/>
  <c r="CO34" i="15"/>
  <c r="CL34" i="15"/>
  <c r="CI34" i="15"/>
  <c r="CF34" i="15"/>
  <c r="CC34" i="15"/>
  <c r="BZ34" i="15"/>
  <c r="BW34" i="15"/>
  <c r="BT34" i="15"/>
  <c r="BQ34" i="15"/>
  <c r="BN34" i="15"/>
  <c r="BK34" i="15"/>
  <c r="BH34" i="15"/>
  <c r="BE34" i="15"/>
  <c r="BB34" i="15"/>
  <c r="AY34" i="15"/>
  <c r="AV34" i="15"/>
  <c r="AS34" i="15"/>
  <c r="AP34" i="15"/>
  <c r="AM34" i="15"/>
  <c r="AJ34" i="15"/>
  <c r="AG34" i="15"/>
  <c r="AD34" i="15"/>
  <c r="AA34" i="15"/>
  <c r="X34" i="15"/>
  <c r="U34" i="15"/>
  <c r="R34" i="15"/>
  <c r="O34" i="15"/>
  <c r="L34" i="15"/>
  <c r="I34" i="15"/>
  <c r="F34" i="15"/>
  <c r="LL33" i="15"/>
  <c r="LI33" i="15"/>
  <c r="LF33" i="15"/>
  <c r="LC33" i="15"/>
  <c r="KZ33" i="15"/>
  <c r="KW33" i="15"/>
  <c r="KT33" i="15"/>
  <c r="KQ33" i="15"/>
  <c r="KN33" i="15"/>
  <c r="KK33" i="15"/>
  <c r="KH33" i="15"/>
  <c r="KE33" i="15"/>
  <c r="KB33" i="15"/>
  <c r="JY33" i="15"/>
  <c r="JV33" i="15"/>
  <c r="JS33" i="15"/>
  <c r="JP33" i="15"/>
  <c r="JM33" i="15"/>
  <c r="JJ33" i="15"/>
  <c r="JG33" i="15"/>
  <c r="JD33" i="15"/>
  <c r="JA33" i="15"/>
  <c r="IX33" i="15"/>
  <c r="IU33" i="15"/>
  <c r="IR33" i="15"/>
  <c r="IO33" i="15"/>
  <c r="IL33" i="15"/>
  <c r="II33" i="15"/>
  <c r="IF33" i="15"/>
  <c r="IC33" i="15"/>
  <c r="HZ33" i="15"/>
  <c r="HW33" i="15"/>
  <c r="HT33" i="15"/>
  <c r="HQ33" i="15"/>
  <c r="HN33" i="15"/>
  <c r="HK33" i="15"/>
  <c r="HH33" i="15"/>
  <c r="HE33" i="15"/>
  <c r="HB33" i="15"/>
  <c r="GY33" i="15"/>
  <c r="GV33" i="15"/>
  <c r="GS33" i="15"/>
  <c r="GP33" i="15"/>
  <c r="GM33" i="15"/>
  <c r="GJ33" i="15"/>
  <c r="GG33" i="15"/>
  <c r="GD33" i="15"/>
  <c r="GA33" i="15"/>
  <c r="FX33" i="15"/>
  <c r="FU33" i="15"/>
  <c r="FR33" i="15"/>
  <c r="FO33" i="15"/>
  <c r="FL33" i="15"/>
  <c r="FI33" i="15"/>
  <c r="FF33" i="15"/>
  <c r="FC33" i="15"/>
  <c r="EZ33" i="15"/>
  <c r="EW33" i="15"/>
  <c r="ET33" i="15"/>
  <c r="EQ33" i="15"/>
  <c r="EN33" i="15"/>
  <c r="EK33" i="15"/>
  <c r="EH33" i="15"/>
  <c r="EE33" i="15"/>
  <c r="EB33" i="15"/>
  <c r="DY33" i="15"/>
  <c r="DV33" i="15"/>
  <c r="DS33" i="15"/>
  <c r="DP33" i="15"/>
  <c r="DM33" i="15"/>
  <c r="DJ33" i="15"/>
  <c r="DG33" i="15"/>
  <c r="DD33" i="15"/>
  <c r="DA33" i="15"/>
  <c r="CX33" i="15"/>
  <c r="CU33" i="15"/>
  <c r="CR33" i="15"/>
  <c r="CO33" i="15"/>
  <c r="CL33" i="15"/>
  <c r="CI33" i="15"/>
  <c r="CF33" i="15"/>
  <c r="CC33" i="15"/>
  <c r="BZ33" i="15"/>
  <c r="BW33" i="15"/>
  <c r="BT33" i="15"/>
  <c r="BQ33" i="15"/>
  <c r="BN33" i="15"/>
  <c r="BK33" i="15"/>
  <c r="BH33" i="15"/>
  <c r="BE33" i="15"/>
  <c r="BB33" i="15"/>
  <c r="AY33" i="15"/>
  <c r="AV33" i="15"/>
  <c r="AS33" i="15"/>
  <c r="AP33" i="15"/>
  <c r="AM33" i="15"/>
  <c r="AJ33" i="15"/>
  <c r="AG33" i="15"/>
  <c r="AD33" i="15"/>
  <c r="AA33" i="15"/>
  <c r="X33" i="15"/>
  <c r="U33" i="15"/>
  <c r="R33" i="15"/>
  <c r="O33" i="15"/>
  <c r="L33" i="15"/>
  <c r="I33" i="15"/>
  <c r="F33" i="15"/>
  <c r="LL32" i="15"/>
  <c r="LI32" i="15"/>
  <c r="LF32" i="15"/>
  <c r="LC32" i="15"/>
  <c r="KZ32" i="15"/>
  <c r="KW32" i="15"/>
  <c r="KT32" i="15"/>
  <c r="KQ32" i="15"/>
  <c r="KN32" i="15"/>
  <c r="KK32" i="15"/>
  <c r="KH32" i="15"/>
  <c r="KE32" i="15"/>
  <c r="KB32" i="15"/>
  <c r="JY32" i="15"/>
  <c r="JV32" i="15"/>
  <c r="JS32" i="15"/>
  <c r="JP32" i="15"/>
  <c r="JM32" i="15"/>
  <c r="JJ32" i="15"/>
  <c r="JG32" i="15"/>
  <c r="JD32" i="15"/>
  <c r="JA32" i="15"/>
  <c r="IX32" i="15"/>
  <c r="IU32" i="15"/>
  <c r="IR32" i="15"/>
  <c r="IO32" i="15"/>
  <c r="IL32" i="15"/>
  <c r="II32" i="15"/>
  <c r="IF32" i="15"/>
  <c r="IC32" i="15"/>
  <c r="HZ32" i="15"/>
  <c r="HW32" i="15"/>
  <c r="HT32" i="15"/>
  <c r="HQ32" i="15"/>
  <c r="HN32" i="15"/>
  <c r="HK32" i="15"/>
  <c r="HH32" i="15"/>
  <c r="HE32" i="15"/>
  <c r="HB32" i="15"/>
  <c r="GY32" i="15"/>
  <c r="GV32" i="15"/>
  <c r="GS32" i="15"/>
  <c r="GP32" i="15"/>
  <c r="GM32" i="15"/>
  <c r="GJ32" i="15"/>
  <c r="GG32" i="15"/>
  <c r="GD32" i="15"/>
  <c r="GA32" i="15"/>
  <c r="FX32" i="15"/>
  <c r="FU32" i="15"/>
  <c r="FR32" i="15"/>
  <c r="FO32" i="15"/>
  <c r="FL32" i="15"/>
  <c r="FI32" i="15"/>
  <c r="FF32" i="15"/>
  <c r="FC32" i="15"/>
  <c r="EZ32" i="15"/>
  <c r="EW32" i="15"/>
  <c r="ET32" i="15"/>
  <c r="EQ32" i="15"/>
  <c r="EN32" i="15"/>
  <c r="EK32" i="15"/>
  <c r="EH32" i="15"/>
  <c r="EE32" i="15"/>
  <c r="EB32" i="15"/>
  <c r="DY32" i="15"/>
  <c r="DV32" i="15"/>
  <c r="DS32" i="15"/>
  <c r="DP32" i="15"/>
  <c r="DM32" i="15"/>
  <c r="DJ32" i="15"/>
  <c r="DG32" i="15"/>
  <c r="DD32" i="15"/>
  <c r="DA32" i="15"/>
  <c r="CX32" i="15"/>
  <c r="CU32" i="15"/>
  <c r="CR32" i="15"/>
  <c r="CO32" i="15"/>
  <c r="CL32" i="15"/>
  <c r="CI32" i="15"/>
  <c r="CF32" i="15"/>
  <c r="CC32" i="15"/>
  <c r="BZ32" i="15"/>
  <c r="BW32" i="15"/>
  <c r="BT32" i="15"/>
  <c r="BQ32" i="15"/>
  <c r="BN32" i="15"/>
  <c r="BK32" i="15"/>
  <c r="BH32" i="15"/>
  <c r="BE32" i="15"/>
  <c r="BB32" i="15"/>
  <c r="AY32" i="15"/>
  <c r="AV32" i="15"/>
  <c r="AS32" i="15"/>
  <c r="AP32" i="15"/>
  <c r="AM32" i="15"/>
  <c r="AJ32" i="15"/>
  <c r="AG32" i="15"/>
  <c r="AD32" i="15"/>
  <c r="AA32" i="15"/>
  <c r="X32" i="15"/>
  <c r="U32" i="15"/>
  <c r="R32" i="15"/>
  <c r="O32" i="15"/>
  <c r="L32" i="15"/>
  <c r="I32" i="15"/>
  <c r="F32" i="15"/>
  <c r="LL31" i="15"/>
  <c r="LI31" i="15"/>
  <c r="LF31" i="15"/>
  <c r="LC31" i="15"/>
  <c r="KZ31" i="15"/>
  <c r="KW31" i="15"/>
  <c r="KT31" i="15"/>
  <c r="KQ31" i="15"/>
  <c r="KN31" i="15"/>
  <c r="KK31" i="15"/>
  <c r="KH31" i="15"/>
  <c r="KE31" i="15"/>
  <c r="KB31" i="15"/>
  <c r="JY31" i="15"/>
  <c r="JV31" i="15"/>
  <c r="JS31" i="15"/>
  <c r="JP31" i="15"/>
  <c r="JM31" i="15"/>
  <c r="JJ31" i="15"/>
  <c r="JG31" i="15"/>
  <c r="JD31" i="15"/>
  <c r="JA31" i="15"/>
  <c r="IX31" i="15"/>
  <c r="IU31" i="15"/>
  <c r="IR31" i="15"/>
  <c r="IO31" i="15"/>
  <c r="IL31" i="15"/>
  <c r="II31" i="15"/>
  <c r="IF31" i="15"/>
  <c r="IC31" i="15"/>
  <c r="HZ31" i="15"/>
  <c r="HW31" i="15"/>
  <c r="HT31" i="15"/>
  <c r="HQ31" i="15"/>
  <c r="HN31" i="15"/>
  <c r="HK31" i="15"/>
  <c r="HH31" i="15"/>
  <c r="HE31" i="15"/>
  <c r="HB31" i="15"/>
  <c r="GY31" i="15"/>
  <c r="GV31" i="15"/>
  <c r="GS31" i="15"/>
  <c r="GP31" i="15"/>
  <c r="GM31" i="15"/>
  <c r="GJ31" i="15"/>
  <c r="GG31" i="15"/>
  <c r="GD31" i="15"/>
  <c r="GA31" i="15"/>
  <c r="FX31" i="15"/>
  <c r="FU31" i="15"/>
  <c r="FR31" i="15"/>
  <c r="FO31" i="15"/>
  <c r="FL31" i="15"/>
  <c r="FI31" i="15"/>
  <c r="FF31" i="15"/>
  <c r="FC31" i="15"/>
  <c r="EZ31" i="15"/>
  <c r="EW31" i="15"/>
  <c r="ET31" i="15"/>
  <c r="EQ31" i="15"/>
  <c r="EN31" i="15"/>
  <c r="EK31" i="15"/>
  <c r="EH31" i="15"/>
  <c r="EE31" i="15"/>
  <c r="EB31" i="15"/>
  <c r="DY31" i="15"/>
  <c r="DV31" i="15"/>
  <c r="DS31" i="15"/>
  <c r="DP31" i="15"/>
  <c r="DM31" i="15"/>
  <c r="DJ31" i="15"/>
  <c r="DG31" i="15"/>
  <c r="DD31" i="15"/>
  <c r="DA31" i="15"/>
  <c r="CX31" i="15"/>
  <c r="CU31" i="15"/>
  <c r="CR31" i="15"/>
  <c r="CO31" i="15"/>
  <c r="CL31" i="15"/>
  <c r="CI31" i="15"/>
  <c r="CF31" i="15"/>
  <c r="CC31" i="15"/>
  <c r="BZ31" i="15"/>
  <c r="BW31" i="15"/>
  <c r="BT31" i="15"/>
  <c r="BQ31" i="15"/>
  <c r="BN31" i="15"/>
  <c r="BK31" i="15"/>
  <c r="BH31" i="15"/>
  <c r="BE31" i="15"/>
  <c r="BB31" i="15"/>
  <c r="AY31" i="15"/>
  <c r="AV31" i="15"/>
  <c r="AS31" i="15"/>
  <c r="AP31" i="15"/>
  <c r="AM31" i="15"/>
  <c r="AJ31" i="15"/>
  <c r="AG31" i="15"/>
  <c r="AD31" i="15"/>
  <c r="AA31" i="15"/>
  <c r="X31" i="15"/>
  <c r="U31" i="15"/>
  <c r="R31" i="15"/>
  <c r="O31" i="15"/>
  <c r="L31" i="15"/>
  <c r="I31" i="15"/>
  <c r="F31" i="15"/>
  <c r="LL30" i="15"/>
  <c r="LI30" i="15"/>
  <c r="LF30" i="15"/>
  <c r="LC30" i="15"/>
  <c r="KZ30" i="15"/>
  <c r="KW30" i="15"/>
  <c r="KT30" i="15"/>
  <c r="KQ30" i="15"/>
  <c r="KN30" i="15"/>
  <c r="KK30" i="15"/>
  <c r="KH30" i="15"/>
  <c r="KE30" i="15"/>
  <c r="KB30" i="15"/>
  <c r="JY30" i="15"/>
  <c r="JV30" i="15"/>
  <c r="JS30" i="15"/>
  <c r="JP30" i="15"/>
  <c r="JM30" i="15"/>
  <c r="JJ30" i="15"/>
  <c r="JG30" i="15"/>
  <c r="JD30" i="15"/>
  <c r="JA30" i="15"/>
  <c r="IX30" i="15"/>
  <c r="IU30" i="15"/>
  <c r="IR30" i="15"/>
  <c r="IO30" i="15"/>
  <c r="IL30" i="15"/>
  <c r="II30" i="15"/>
  <c r="IF30" i="15"/>
  <c r="IC30" i="15"/>
  <c r="HZ30" i="15"/>
  <c r="HW30" i="15"/>
  <c r="HT30" i="15"/>
  <c r="HQ30" i="15"/>
  <c r="HN30" i="15"/>
  <c r="HK30" i="15"/>
  <c r="HH30" i="15"/>
  <c r="HE30" i="15"/>
  <c r="HB30" i="15"/>
  <c r="GY30" i="15"/>
  <c r="GV30" i="15"/>
  <c r="GS30" i="15"/>
  <c r="GP30" i="15"/>
  <c r="GM30" i="15"/>
  <c r="GJ30" i="15"/>
  <c r="GG30" i="15"/>
  <c r="GD30" i="15"/>
  <c r="GA30" i="15"/>
  <c r="FX30" i="15"/>
  <c r="FU30" i="15"/>
  <c r="FR30" i="15"/>
  <c r="FO30" i="15"/>
  <c r="FL30" i="15"/>
  <c r="FI30" i="15"/>
  <c r="FF30" i="15"/>
  <c r="FC30" i="15"/>
  <c r="EZ30" i="15"/>
  <c r="EW30" i="15"/>
  <c r="ET30" i="15"/>
  <c r="EQ30" i="15"/>
  <c r="EN30" i="15"/>
  <c r="EK30" i="15"/>
  <c r="EH30" i="15"/>
  <c r="EE30" i="15"/>
  <c r="EB30" i="15"/>
  <c r="DY30" i="15"/>
  <c r="DV30" i="15"/>
  <c r="DS30" i="15"/>
  <c r="DP30" i="15"/>
  <c r="DM30" i="15"/>
  <c r="DJ30" i="15"/>
  <c r="DG30" i="15"/>
  <c r="DD30" i="15"/>
  <c r="DA30" i="15"/>
  <c r="CX30" i="15"/>
  <c r="CU30" i="15"/>
  <c r="CR30" i="15"/>
  <c r="CO30" i="15"/>
  <c r="CL30" i="15"/>
  <c r="CI30" i="15"/>
  <c r="CF30" i="15"/>
  <c r="CC30" i="15"/>
  <c r="BZ30" i="15"/>
  <c r="BW30" i="15"/>
  <c r="BT30" i="15"/>
  <c r="BQ30" i="15"/>
  <c r="BN30" i="15"/>
  <c r="BK30" i="15"/>
  <c r="BH30" i="15"/>
  <c r="BE30" i="15"/>
  <c r="BB30" i="15"/>
  <c r="AY30" i="15"/>
  <c r="AV30" i="15"/>
  <c r="AS30" i="15"/>
  <c r="AP30" i="15"/>
  <c r="AM30" i="15"/>
  <c r="AJ30" i="15"/>
  <c r="AG30" i="15"/>
  <c r="AD30" i="15"/>
  <c r="AA30" i="15"/>
  <c r="X30" i="15"/>
  <c r="U30" i="15"/>
  <c r="R30" i="15"/>
  <c r="O30" i="15"/>
  <c r="L30" i="15"/>
  <c r="I30" i="15"/>
  <c r="F30" i="15"/>
  <c r="LL29" i="15"/>
  <c r="LI29" i="15"/>
  <c r="LF29" i="15"/>
  <c r="LC29" i="15"/>
  <c r="KZ29" i="15"/>
  <c r="KW29" i="15"/>
  <c r="KT29" i="15"/>
  <c r="KQ29" i="15"/>
  <c r="KN29" i="15"/>
  <c r="KK29" i="15"/>
  <c r="KH29" i="15"/>
  <c r="KE29" i="15"/>
  <c r="KB29" i="15"/>
  <c r="JY29" i="15"/>
  <c r="JV29" i="15"/>
  <c r="JS29" i="15"/>
  <c r="JP29" i="15"/>
  <c r="JM29" i="15"/>
  <c r="JJ29" i="15"/>
  <c r="JG29" i="15"/>
  <c r="JD29" i="15"/>
  <c r="JA29" i="15"/>
  <c r="IX29" i="15"/>
  <c r="IU29" i="15"/>
  <c r="IR29" i="15"/>
  <c r="IO29" i="15"/>
  <c r="IL29" i="15"/>
  <c r="II29" i="15"/>
  <c r="IF29" i="15"/>
  <c r="IC29" i="15"/>
  <c r="HZ29" i="15"/>
  <c r="HW29" i="15"/>
  <c r="HT29" i="15"/>
  <c r="HQ29" i="15"/>
  <c r="HN29" i="15"/>
  <c r="HK29" i="15"/>
  <c r="HH29" i="15"/>
  <c r="HE29" i="15"/>
  <c r="HB29" i="15"/>
  <c r="GY29" i="15"/>
  <c r="GV29" i="15"/>
  <c r="GS29" i="15"/>
  <c r="GP29" i="15"/>
  <c r="GM29" i="15"/>
  <c r="GJ29" i="15"/>
  <c r="GG29" i="15"/>
  <c r="GD29" i="15"/>
  <c r="GA29" i="15"/>
  <c r="FX29" i="15"/>
  <c r="FU29" i="15"/>
  <c r="FR29" i="15"/>
  <c r="FO29" i="15"/>
  <c r="FL29" i="15"/>
  <c r="FI29" i="15"/>
  <c r="FF29" i="15"/>
  <c r="FC29" i="15"/>
  <c r="EZ29" i="15"/>
  <c r="EW29" i="15"/>
  <c r="ET29" i="15"/>
  <c r="EQ29" i="15"/>
  <c r="EN29" i="15"/>
  <c r="EK29" i="15"/>
  <c r="EH29" i="15"/>
  <c r="EE29" i="15"/>
  <c r="EB29" i="15"/>
  <c r="DY29" i="15"/>
  <c r="DV29" i="15"/>
  <c r="DS29" i="15"/>
  <c r="DP29" i="15"/>
  <c r="DM29" i="15"/>
  <c r="DJ29" i="15"/>
  <c r="DG29" i="15"/>
  <c r="DD29" i="15"/>
  <c r="DA29" i="15"/>
  <c r="CX29" i="15"/>
  <c r="CU29" i="15"/>
  <c r="CR29" i="15"/>
  <c r="CO29" i="15"/>
  <c r="CL29" i="15"/>
  <c r="CI29" i="15"/>
  <c r="CF29" i="15"/>
  <c r="CC29" i="15"/>
  <c r="BZ29" i="15"/>
  <c r="BW29" i="15"/>
  <c r="BT29" i="15"/>
  <c r="BQ29" i="15"/>
  <c r="BN29" i="15"/>
  <c r="BK29" i="15"/>
  <c r="BH29" i="15"/>
  <c r="BE29" i="15"/>
  <c r="BB29" i="15"/>
  <c r="AY29" i="15"/>
  <c r="AV29" i="15"/>
  <c r="AS29" i="15"/>
  <c r="AP29" i="15"/>
  <c r="AM29" i="15"/>
  <c r="AJ29" i="15"/>
  <c r="AG29" i="15"/>
  <c r="AD29" i="15"/>
  <c r="AA29" i="15"/>
  <c r="X29" i="15"/>
  <c r="U29" i="15"/>
  <c r="R29" i="15"/>
  <c r="O29" i="15"/>
  <c r="L29" i="15"/>
  <c r="I29" i="15"/>
  <c r="F29" i="15"/>
  <c r="LL28" i="15"/>
  <c r="LI28" i="15"/>
  <c r="LF28" i="15"/>
  <c r="LC28" i="15"/>
  <c r="KZ28" i="15"/>
  <c r="KW28" i="15"/>
  <c r="KT28" i="15"/>
  <c r="KQ28" i="15"/>
  <c r="KN28" i="15"/>
  <c r="KK28" i="15"/>
  <c r="KH28" i="15"/>
  <c r="KE28" i="15"/>
  <c r="KB28" i="15"/>
  <c r="JY28" i="15"/>
  <c r="JV28" i="15"/>
  <c r="JS28" i="15"/>
  <c r="JP28" i="15"/>
  <c r="JM28" i="15"/>
  <c r="JJ28" i="15"/>
  <c r="JG28" i="15"/>
  <c r="JD28" i="15"/>
  <c r="JA28" i="15"/>
  <c r="IX28" i="15"/>
  <c r="IU28" i="15"/>
  <c r="IR28" i="15"/>
  <c r="IO28" i="15"/>
  <c r="IL28" i="15"/>
  <c r="II28" i="15"/>
  <c r="IF28" i="15"/>
  <c r="IC28" i="15"/>
  <c r="HZ28" i="15"/>
  <c r="HW28" i="15"/>
  <c r="HT28" i="15"/>
  <c r="HQ28" i="15"/>
  <c r="HN28" i="15"/>
  <c r="HK28" i="15"/>
  <c r="HH28" i="15"/>
  <c r="HE28" i="15"/>
  <c r="HB28" i="15"/>
  <c r="GY28" i="15"/>
  <c r="GV28" i="15"/>
  <c r="GS28" i="15"/>
  <c r="GP28" i="15"/>
  <c r="GM28" i="15"/>
  <c r="GJ28" i="15"/>
  <c r="GG28" i="15"/>
  <c r="GD28" i="15"/>
  <c r="GA28" i="15"/>
  <c r="FX28" i="15"/>
  <c r="FU28" i="15"/>
  <c r="FR28" i="15"/>
  <c r="FO28" i="15"/>
  <c r="FL28" i="15"/>
  <c r="FI28" i="15"/>
  <c r="FF28" i="15"/>
  <c r="FC28" i="15"/>
  <c r="EZ28" i="15"/>
  <c r="EW28" i="15"/>
  <c r="ET28" i="15"/>
  <c r="EQ28" i="15"/>
  <c r="EN28" i="15"/>
  <c r="EK28" i="15"/>
  <c r="EH28" i="15"/>
  <c r="EE28" i="15"/>
  <c r="EB28" i="15"/>
  <c r="DY28" i="15"/>
  <c r="DV28" i="15"/>
  <c r="DS28" i="15"/>
  <c r="DP28" i="15"/>
  <c r="DM28" i="15"/>
  <c r="DJ28" i="15"/>
  <c r="DG28" i="15"/>
  <c r="DD28" i="15"/>
  <c r="DA28" i="15"/>
  <c r="CX28" i="15"/>
  <c r="CU28" i="15"/>
  <c r="CR28" i="15"/>
  <c r="CO28" i="15"/>
  <c r="CL28" i="15"/>
  <c r="CI28" i="15"/>
  <c r="CF28" i="15"/>
  <c r="CC28" i="15"/>
  <c r="BZ28" i="15"/>
  <c r="BW28" i="15"/>
  <c r="BT28" i="15"/>
  <c r="BQ28" i="15"/>
  <c r="BN28" i="15"/>
  <c r="BK28" i="15"/>
  <c r="BH28" i="15"/>
  <c r="BE28" i="15"/>
  <c r="BB28" i="15"/>
  <c r="AY28" i="15"/>
  <c r="AV28" i="15"/>
  <c r="AS28" i="15"/>
  <c r="AP28" i="15"/>
  <c r="AM28" i="15"/>
  <c r="AJ28" i="15"/>
  <c r="AG28" i="15"/>
  <c r="AD28" i="15"/>
  <c r="AA28" i="15"/>
  <c r="X28" i="15"/>
  <c r="U28" i="15"/>
  <c r="R28" i="15"/>
  <c r="O28" i="15"/>
  <c r="L28" i="15"/>
  <c r="I28" i="15"/>
  <c r="F28" i="15"/>
  <c r="LL27" i="15"/>
  <c r="LI27" i="15"/>
  <c r="LF27" i="15"/>
  <c r="LC27" i="15"/>
  <c r="KZ27" i="15"/>
  <c r="KW27" i="15"/>
  <c r="KT27" i="15"/>
  <c r="KQ27" i="15"/>
  <c r="KN27" i="15"/>
  <c r="KK27" i="15"/>
  <c r="KH27" i="15"/>
  <c r="KE27" i="15"/>
  <c r="KB27" i="15"/>
  <c r="JY27" i="15"/>
  <c r="JV27" i="15"/>
  <c r="JS27" i="15"/>
  <c r="JP27" i="15"/>
  <c r="JM27" i="15"/>
  <c r="JJ27" i="15"/>
  <c r="JG27" i="15"/>
  <c r="JD27" i="15"/>
  <c r="JA27" i="15"/>
  <c r="IX27" i="15"/>
  <c r="IU27" i="15"/>
  <c r="IR27" i="15"/>
  <c r="IO27" i="15"/>
  <c r="IL27" i="15"/>
  <c r="II27" i="15"/>
  <c r="IF27" i="15"/>
  <c r="IC27" i="15"/>
  <c r="HZ27" i="15"/>
  <c r="HW27" i="15"/>
  <c r="HT27" i="15"/>
  <c r="HQ27" i="15"/>
  <c r="HN27" i="15"/>
  <c r="HK27" i="15"/>
  <c r="HH27" i="15"/>
  <c r="HE27" i="15"/>
  <c r="HB27" i="15"/>
  <c r="GY27" i="15"/>
  <c r="GV27" i="15"/>
  <c r="GS27" i="15"/>
  <c r="GP27" i="15"/>
  <c r="GM27" i="15"/>
  <c r="GJ27" i="15"/>
  <c r="GG27" i="15"/>
  <c r="GD27" i="15"/>
  <c r="GA27" i="15"/>
  <c r="FX27" i="15"/>
  <c r="FU27" i="15"/>
  <c r="FR27" i="15"/>
  <c r="FO27" i="15"/>
  <c r="FL27" i="15"/>
  <c r="FI27" i="15"/>
  <c r="FF27" i="15"/>
  <c r="FC27" i="15"/>
  <c r="EZ27" i="15"/>
  <c r="EW27" i="15"/>
  <c r="ET27" i="15"/>
  <c r="EQ27" i="15"/>
  <c r="EN27" i="15"/>
  <c r="EK27" i="15"/>
  <c r="EH27" i="15"/>
  <c r="EE27" i="15"/>
  <c r="EB27" i="15"/>
  <c r="DY27" i="15"/>
  <c r="DV27" i="15"/>
  <c r="DS27" i="15"/>
  <c r="DP27" i="15"/>
  <c r="DM27" i="15"/>
  <c r="DJ27" i="15"/>
  <c r="DG27" i="15"/>
  <c r="DD27" i="15"/>
  <c r="DA27" i="15"/>
  <c r="CX27" i="15"/>
  <c r="CU27" i="15"/>
  <c r="CR27" i="15"/>
  <c r="CO27" i="15"/>
  <c r="CL27" i="15"/>
  <c r="CI27" i="15"/>
  <c r="CF27" i="15"/>
  <c r="CC27" i="15"/>
  <c r="BZ27" i="15"/>
  <c r="BW27" i="15"/>
  <c r="BT27" i="15"/>
  <c r="BQ27" i="15"/>
  <c r="BN27" i="15"/>
  <c r="BK27" i="15"/>
  <c r="BH27" i="15"/>
  <c r="BE27" i="15"/>
  <c r="BB27" i="15"/>
  <c r="AY27" i="15"/>
  <c r="AV27" i="15"/>
  <c r="AS27" i="15"/>
  <c r="AP27" i="15"/>
  <c r="AM27" i="15"/>
  <c r="AJ27" i="15"/>
  <c r="AG27" i="15"/>
  <c r="AD27" i="15"/>
  <c r="AA27" i="15"/>
  <c r="X27" i="15"/>
  <c r="U27" i="15"/>
  <c r="R27" i="15"/>
  <c r="O27" i="15"/>
  <c r="L27" i="15"/>
  <c r="I27" i="15"/>
  <c r="F27" i="15"/>
  <c r="LL26" i="15"/>
  <c r="LI26" i="15"/>
  <c r="LF26" i="15"/>
  <c r="LC26" i="15"/>
  <c r="KZ26" i="15"/>
  <c r="KW26" i="15"/>
  <c r="KT26" i="15"/>
  <c r="KQ26" i="15"/>
  <c r="KN26" i="15"/>
  <c r="KK26" i="15"/>
  <c r="KH26" i="15"/>
  <c r="KE26" i="15"/>
  <c r="KB26" i="15"/>
  <c r="JY26" i="15"/>
  <c r="JV26" i="15"/>
  <c r="JS26" i="15"/>
  <c r="JP26" i="15"/>
  <c r="JM26" i="15"/>
  <c r="JJ26" i="15"/>
  <c r="JG26" i="15"/>
  <c r="JD26" i="15"/>
  <c r="JA26" i="15"/>
  <c r="IX26" i="15"/>
  <c r="IU26" i="15"/>
  <c r="IR26" i="15"/>
  <c r="IO26" i="15"/>
  <c r="IL26" i="15"/>
  <c r="II26" i="15"/>
  <c r="IF26" i="15"/>
  <c r="IC26" i="15"/>
  <c r="HZ26" i="15"/>
  <c r="HW26" i="15"/>
  <c r="HT26" i="15"/>
  <c r="HQ26" i="15"/>
  <c r="HN26" i="15"/>
  <c r="HK26" i="15"/>
  <c r="HH26" i="15"/>
  <c r="HE26" i="15"/>
  <c r="HB26" i="15"/>
  <c r="GY26" i="15"/>
  <c r="GV26" i="15"/>
  <c r="GS26" i="15"/>
  <c r="GP26" i="15"/>
  <c r="GM26" i="15"/>
  <c r="GJ26" i="15"/>
  <c r="GG26" i="15"/>
  <c r="GD26" i="15"/>
  <c r="GA26" i="15"/>
  <c r="FX26" i="15"/>
  <c r="FU26" i="15"/>
  <c r="FR26" i="15"/>
  <c r="FO26" i="15"/>
  <c r="FL26" i="15"/>
  <c r="FI26" i="15"/>
  <c r="FF26" i="15"/>
  <c r="FC26" i="15"/>
  <c r="EZ26" i="15"/>
  <c r="EW26" i="15"/>
  <c r="ET26" i="15"/>
  <c r="EQ26" i="15"/>
  <c r="EN26" i="15"/>
  <c r="EK26" i="15"/>
  <c r="EH26" i="15"/>
  <c r="EE26" i="15"/>
  <c r="EB26" i="15"/>
  <c r="DY26" i="15"/>
  <c r="DV26" i="15"/>
  <c r="DS26" i="15"/>
  <c r="DP26" i="15"/>
  <c r="DM26" i="15"/>
  <c r="DJ26" i="15"/>
  <c r="DG26" i="15"/>
  <c r="DD26" i="15"/>
  <c r="DA26" i="15"/>
  <c r="CX26" i="15"/>
  <c r="CU26" i="15"/>
  <c r="CR26" i="15"/>
  <c r="CO26" i="15"/>
  <c r="CL26" i="15"/>
  <c r="CI26" i="15"/>
  <c r="CF26" i="15"/>
  <c r="CC26" i="15"/>
  <c r="BZ26" i="15"/>
  <c r="BW26" i="15"/>
  <c r="BT26" i="15"/>
  <c r="BQ26" i="15"/>
  <c r="BN26" i="15"/>
  <c r="BK26" i="15"/>
  <c r="BH26" i="15"/>
  <c r="BE26" i="15"/>
  <c r="BB26" i="15"/>
  <c r="AY26" i="15"/>
  <c r="AV26" i="15"/>
  <c r="AS26" i="15"/>
  <c r="AP26" i="15"/>
  <c r="AM26" i="15"/>
  <c r="AJ26" i="15"/>
  <c r="AG26" i="15"/>
  <c r="AD26" i="15"/>
  <c r="AA26" i="15"/>
  <c r="X26" i="15"/>
  <c r="U26" i="15"/>
  <c r="R26" i="15"/>
  <c r="O26" i="15"/>
  <c r="L26" i="15"/>
  <c r="I26" i="15"/>
  <c r="F26" i="15"/>
  <c r="LL25" i="15"/>
  <c r="LI25" i="15"/>
  <c r="LF25" i="15"/>
  <c r="LC25" i="15"/>
  <c r="KZ25" i="15"/>
  <c r="KW25" i="15"/>
  <c r="KT25" i="15"/>
  <c r="KQ25" i="15"/>
  <c r="KN25" i="15"/>
  <c r="KK25" i="15"/>
  <c r="KH25" i="15"/>
  <c r="KE25" i="15"/>
  <c r="KB25" i="15"/>
  <c r="JY25" i="15"/>
  <c r="JV25" i="15"/>
  <c r="JS25" i="15"/>
  <c r="JP25" i="15"/>
  <c r="JM25" i="15"/>
  <c r="JJ25" i="15"/>
  <c r="JG25" i="15"/>
  <c r="JD25" i="15"/>
  <c r="JA25" i="15"/>
  <c r="IX25" i="15"/>
  <c r="IU25" i="15"/>
  <c r="IR25" i="15"/>
  <c r="IO25" i="15"/>
  <c r="IL25" i="15"/>
  <c r="II25" i="15"/>
  <c r="IF25" i="15"/>
  <c r="IC25" i="15"/>
  <c r="HZ25" i="15"/>
  <c r="HW25" i="15"/>
  <c r="HT25" i="15"/>
  <c r="HQ25" i="15"/>
  <c r="HN25" i="15"/>
  <c r="HK25" i="15"/>
  <c r="HH25" i="15"/>
  <c r="HE25" i="15"/>
  <c r="HB25" i="15"/>
  <c r="GY25" i="15"/>
  <c r="GV25" i="15"/>
  <c r="GS25" i="15"/>
  <c r="GP25" i="15"/>
  <c r="GM25" i="15"/>
  <c r="GJ25" i="15"/>
  <c r="GG25" i="15"/>
  <c r="GD25" i="15"/>
  <c r="GA25" i="15"/>
  <c r="FX25" i="15"/>
  <c r="FU25" i="15"/>
  <c r="FR25" i="15"/>
  <c r="FO25" i="15"/>
  <c r="FL25" i="15"/>
  <c r="FI25" i="15"/>
  <c r="FF25" i="15"/>
  <c r="FC25" i="15"/>
  <c r="EZ25" i="15"/>
  <c r="EW25" i="15"/>
  <c r="ET25" i="15"/>
  <c r="EQ25" i="15"/>
  <c r="EN25" i="15"/>
  <c r="EK25" i="15"/>
  <c r="EH25" i="15"/>
  <c r="EE25" i="15"/>
  <c r="EB25" i="15"/>
  <c r="DY25" i="15"/>
  <c r="DV25" i="15"/>
  <c r="DS25" i="15"/>
  <c r="DP25" i="15"/>
  <c r="DM25" i="15"/>
  <c r="DJ25" i="15"/>
  <c r="DG25" i="15"/>
  <c r="DD25" i="15"/>
  <c r="DA25" i="15"/>
  <c r="CX25" i="15"/>
  <c r="CU25" i="15"/>
  <c r="CR25" i="15"/>
  <c r="CO25" i="15"/>
  <c r="CL25" i="15"/>
  <c r="CI25" i="15"/>
  <c r="CF25" i="15"/>
  <c r="CC25" i="15"/>
  <c r="BZ25" i="15"/>
  <c r="BW25" i="15"/>
  <c r="BT25" i="15"/>
  <c r="BQ25" i="15"/>
  <c r="BN25" i="15"/>
  <c r="BK25" i="15"/>
  <c r="BH25" i="15"/>
  <c r="BE25" i="15"/>
  <c r="BB25" i="15"/>
  <c r="AY25" i="15"/>
  <c r="AV25" i="15"/>
  <c r="AS25" i="15"/>
  <c r="AP25" i="15"/>
  <c r="AM25" i="15"/>
  <c r="AJ25" i="15"/>
  <c r="AG25" i="15"/>
  <c r="AD25" i="15"/>
  <c r="AA25" i="15"/>
  <c r="X25" i="15"/>
  <c r="U25" i="15"/>
  <c r="R25" i="15"/>
  <c r="O25" i="15"/>
  <c r="L25" i="15"/>
  <c r="I25" i="15"/>
  <c r="F25" i="15"/>
  <c r="LL24" i="15"/>
  <c r="LI24" i="15"/>
  <c r="LF24" i="15"/>
  <c r="LC24" i="15"/>
  <c r="KZ24" i="15"/>
  <c r="KW24" i="15"/>
  <c r="KT24" i="15"/>
  <c r="KQ24" i="15"/>
  <c r="KN24" i="15"/>
  <c r="KK24" i="15"/>
  <c r="KH24" i="15"/>
  <c r="KE24" i="15"/>
  <c r="KB24" i="15"/>
  <c r="JY24" i="15"/>
  <c r="JV24" i="15"/>
  <c r="JS24" i="15"/>
  <c r="JP24" i="15"/>
  <c r="JM24" i="15"/>
  <c r="JJ24" i="15"/>
  <c r="JG24" i="15"/>
  <c r="JD24" i="15"/>
  <c r="JA24" i="15"/>
  <c r="IX24" i="15"/>
  <c r="IU24" i="15"/>
  <c r="IR24" i="15"/>
  <c r="IO24" i="15"/>
  <c r="IL24" i="15"/>
  <c r="II24" i="15"/>
  <c r="IF24" i="15"/>
  <c r="IC24" i="15"/>
  <c r="HZ24" i="15"/>
  <c r="HW24" i="15"/>
  <c r="HT24" i="15"/>
  <c r="HQ24" i="15"/>
  <c r="HN24" i="15"/>
  <c r="HK24" i="15"/>
  <c r="HH24" i="15"/>
  <c r="HE24" i="15"/>
  <c r="HB24" i="15"/>
  <c r="GY24" i="15"/>
  <c r="GV24" i="15"/>
  <c r="GS24" i="15"/>
  <c r="GP24" i="15"/>
  <c r="GM24" i="15"/>
  <c r="GJ24" i="15"/>
  <c r="GG24" i="15"/>
  <c r="GD24" i="15"/>
  <c r="GA24" i="15"/>
  <c r="FX24" i="15"/>
  <c r="FU24" i="15"/>
  <c r="FR24" i="15"/>
  <c r="FO24" i="15"/>
  <c r="FL24" i="15"/>
  <c r="FI24" i="15"/>
  <c r="FF24" i="15"/>
  <c r="FC24" i="15"/>
  <c r="EZ24" i="15"/>
  <c r="EW24" i="15"/>
  <c r="ET24" i="15"/>
  <c r="EQ24" i="15"/>
  <c r="EN24" i="15"/>
  <c r="EK24" i="15"/>
  <c r="EH24" i="15"/>
  <c r="EE24" i="15"/>
  <c r="EB24" i="15"/>
  <c r="DY24" i="15"/>
  <c r="DV24" i="15"/>
  <c r="DS24" i="15"/>
  <c r="DP24" i="15"/>
  <c r="DM24" i="15"/>
  <c r="DJ24" i="15"/>
  <c r="DG24" i="15"/>
  <c r="DD24" i="15"/>
  <c r="DA24" i="15"/>
  <c r="CX24" i="15"/>
  <c r="CU24" i="15"/>
  <c r="CR24" i="15"/>
  <c r="CO24" i="15"/>
  <c r="CL24" i="15"/>
  <c r="CI24" i="15"/>
  <c r="CF24" i="15"/>
  <c r="CC24" i="15"/>
  <c r="BZ24" i="15"/>
  <c r="BW24" i="15"/>
  <c r="BT24" i="15"/>
  <c r="BQ24" i="15"/>
  <c r="BN24" i="15"/>
  <c r="BK24" i="15"/>
  <c r="BH24" i="15"/>
  <c r="BE24" i="15"/>
  <c r="BB24" i="15"/>
  <c r="AY24" i="15"/>
  <c r="AV24" i="15"/>
  <c r="AS24" i="15"/>
  <c r="AP24" i="15"/>
  <c r="AM24" i="15"/>
  <c r="AJ24" i="15"/>
  <c r="AG24" i="15"/>
  <c r="AD24" i="15"/>
  <c r="AA24" i="15"/>
  <c r="X24" i="15"/>
  <c r="U24" i="15"/>
  <c r="R24" i="15"/>
  <c r="O24" i="15"/>
  <c r="L24" i="15"/>
  <c r="I24" i="15"/>
  <c r="F24" i="15"/>
  <c r="LL23" i="15"/>
  <c r="LI23" i="15"/>
  <c r="LF23" i="15"/>
  <c r="LC23" i="15"/>
  <c r="KZ23" i="15"/>
  <c r="KW23" i="15"/>
  <c r="KT23" i="15"/>
  <c r="KQ23" i="15"/>
  <c r="KN23" i="15"/>
  <c r="KK23" i="15"/>
  <c r="KH23" i="15"/>
  <c r="KE23" i="15"/>
  <c r="KB23" i="15"/>
  <c r="JY23" i="15"/>
  <c r="JV23" i="15"/>
  <c r="JS23" i="15"/>
  <c r="JP23" i="15"/>
  <c r="JM23" i="15"/>
  <c r="JJ23" i="15"/>
  <c r="JG23" i="15"/>
  <c r="JD23" i="15"/>
  <c r="JA23" i="15"/>
  <c r="IX23" i="15"/>
  <c r="IU23" i="15"/>
  <c r="IR23" i="15"/>
  <c r="IO23" i="15"/>
  <c r="IL23" i="15"/>
  <c r="II23" i="15"/>
  <c r="IF23" i="15"/>
  <c r="IC23" i="15"/>
  <c r="HZ23" i="15"/>
  <c r="HW23" i="15"/>
  <c r="HT23" i="15"/>
  <c r="HQ23" i="15"/>
  <c r="HN23" i="15"/>
  <c r="HK23" i="15"/>
  <c r="HH23" i="15"/>
  <c r="HE23" i="15"/>
  <c r="HB23" i="15"/>
  <c r="GY23" i="15"/>
  <c r="GV23" i="15"/>
  <c r="GS23" i="15"/>
  <c r="GP23" i="15"/>
  <c r="GM23" i="15"/>
  <c r="GJ23" i="15"/>
  <c r="GG23" i="15"/>
  <c r="GD23" i="15"/>
  <c r="GA23" i="15"/>
  <c r="FX23" i="15"/>
  <c r="FU23" i="15"/>
  <c r="FR23" i="15"/>
  <c r="FO23" i="15"/>
  <c r="FL23" i="15"/>
  <c r="FI23" i="15"/>
  <c r="FF23" i="15"/>
  <c r="FC23" i="15"/>
  <c r="EZ23" i="15"/>
  <c r="EW23" i="15"/>
  <c r="ET23" i="15"/>
  <c r="EQ23" i="15"/>
  <c r="EN23" i="15"/>
  <c r="EK23" i="15"/>
  <c r="EH23" i="15"/>
  <c r="EE23" i="15"/>
  <c r="EB23" i="15"/>
  <c r="DY23" i="15"/>
  <c r="DV23" i="15"/>
  <c r="DS23" i="15"/>
  <c r="DP23" i="15"/>
  <c r="DM23" i="15"/>
  <c r="DJ23" i="15"/>
  <c r="DG23" i="15"/>
  <c r="DD23" i="15"/>
  <c r="DA23" i="15"/>
  <c r="CX23" i="15"/>
  <c r="CU23" i="15"/>
  <c r="CR23" i="15"/>
  <c r="CO23" i="15"/>
  <c r="CL23" i="15"/>
  <c r="CI23" i="15"/>
  <c r="CF23" i="15"/>
  <c r="CC23" i="15"/>
  <c r="BZ23" i="15"/>
  <c r="BW23" i="15"/>
  <c r="BT23" i="15"/>
  <c r="BQ23" i="15"/>
  <c r="BN23" i="15"/>
  <c r="BK23" i="15"/>
  <c r="BH23" i="15"/>
  <c r="BE23" i="15"/>
  <c r="BB23" i="15"/>
  <c r="AY23" i="15"/>
  <c r="AV23" i="15"/>
  <c r="AS23" i="15"/>
  <c r="AP23" i="15"/>
  <c r="AM23" i="15"/>
  <c r="AJ23" i="15"/>
  <c r="AG23" i="15"/>
  <c r="AD23" i="15"/>
  <c r="AA23" i="15"/>
  <c r="X23" i="15"/>
  <c r="U23" i="15"/>
  <c r="R23" i="15"/>
  <c r="O23" i="15"/>
  <c r="L23" i="15"/>
  <c r="I23" i="15"/>
  <c r="F23" i="15"/>
  <c r="LL22" i="15"/>
  <c r="LI22" i="15"/>
  <c r="LF22" i="15"/>
  <c r="LC22" i="15"/>
  <c r="KZ22" i="15"/>
  <c r="KW22" i="15"/>
  <c r="KT22" i="15"/>
  <c r="KQ22" i="15"/>
  <c r="KN22" i="15"/>
  <c r="KK22" i="15"/>
  <c r="KH22" i="15"/>
  <c r="KE22" i="15"/>
  <c r="KB22" i="15"/>
  <c r="JY22" i="15"/>
  <c r="JV22" i="15"/>
  <c r="JS22" i="15"/>
  <c r="JP22" i="15"/>
  <c r="JM22" i="15"/>
  <c r="JJ22" i="15"/>
  <c r="JG22" i="15"/>
  <c r="JD22" i="15"/>
  <c r="JA22" i="15"/>
  <c r="IX22" i="15"/>
  <c r="IU22" i="15"/>
  <c r="IR22" i="15"/>
  <c r="IO22" i="15"/>
  <c r="IL22" i="15"/>
  <c r="II22" i="15"/>
  <c r="IF22" i="15"/>
  <c r="IC22" i="15"/>
  <c r="HZ22" i="15"/>
  <c r="HW22" i="15"/>
  <c r="HT22" i="15"/>
  <c r="HQ22" i="15"/>
  <c r="HN22" i="15"/>
  <c r="HK22" i="15"/>
  <c r="HH22" i="15"/>
  <c r="HE22" i="15"/>
  <c r="HB22" i="15"/>
  <c r="GY22" i="15"/>
  <c r="GV22" i="15"/>
  <c r="GS22" i="15"/>
  <c r="GP22" i="15"/>
  <c r="GM22" i="15"/>
  <c r="GJ22" i="15"/>
  <c r="GG22" i="15"/>
  <c r="GD22" i="15"/>
  <c r="GA22" i="15"/>
  <c r="FX22" i="15"/>
  <c r="FU22" i="15"/>
  <c r="FR22" i="15"/>
  <c r="FO22" i="15"/>
  <c r="FL22" i="15"/>
  <c r="FI22" i="15"/>
  <c r="FF22" i="15"/>
  <c r="FC22" i="15"/>
  <c r="EZ22" i="15"/>
  <c r="EW22" i="15"/>
  <c r="ET22" i="15"/>
  <c r="EQ22" i="15"/>
  <c r="EN22" i="15"/>
  <c r="EK22" i="15"/>
  <c r="EH22" i="15"/>
  <c r="EE22" i="15"/>
  <c r="EB22" i="15"/>
  <c r="DY22" i="15"/>
  <c r="DV22" i="15"/>
  <c r="DS22" i="15"/>
  <c r="DP22" i="15"/>
  <c r="DM22" i="15"/>
  <c r="DJ22" i="15"/>
  <c r="DG22" i="15"/>
  <c r="DD22" i="15"/>
  <c r="DA22" i="15"/>
  <c r="CX22" i="15"/>
  <c r="CU22" i="15"/>
  <c r="CR22" i="15"/>
  <c r="CO22" i="15"/>
  <c r="CL22" i="15"/>
  <c r="CI22" i="15"/>
  <c r="CF22" i="15"/>
  <c r="CC22" i="15"/>
  <c r="BZ22" i="15"/>
  <c r="BW22" i="15"/>
  <c r="BT22" i="15"/>
  <c r="BQ22" i="15"/>
  <c r="BN22" i="15"/>
  <c r="BK22" i="15"/>
  <c r="BH22" i="15"/>
  <c r="BE22" i="15"/>
  <c r="BB22" i="15"/>
  <c r="AY22" i="15"/>
  <c r="AV22" i="15"/>
  <c r="AS22" i="15"/>
  <c r="AP22" i="15"/>
  <c r="AM22" i="15"/>
  <c r="AJ22" i="15"/>
  <c r="AG22" i="15"/>
  <c r="AD22" i="15"/>
  <c r="AA22" i="15"/>
  <c r="X22" i="15"/>
  <c r="U22" i="15"/>
  <c r="R22" i="15"/>
  <c r="O22" i="15"/>
  <c r="L22" i="15"/>
  <c r="I22" i="15"/>
  <c r="F22" i="15"/>
  <c r="LL21" i="15"/>
  <c r="LI21" i="15"/>
  <c r="LF21" i="15"/>
  <c r="LC21" i="15"/>
  <c r="KZ21" i="15"/>
  <c r="KW21" i="15"/>
  <c r="KT21" i="15"/>
  <c r="KQ21" i="15"/>
  <c r="KN21" i="15"/>
  <c r="KK21" i="15"/>
  <c r="KH21" i="15"/>
  <c r="KE21" i="15"/>
  <c r="KB21" i="15"/>
  <c r="JY21" i="15"/>
  <c r="JV21" i="15"/>
  <c r="JS21" i="15"/>
  <c r="JP21" i="15"/>
  <c r="JM21" i="15"/>
  <c r="JJ21" i="15"/>
  <c r="JG21" i="15"/>
  <c r="JD21" i="15"/>
  <c r="JA21" i="15"/>
  <c r="IX21" i="15"/>
  <c r="IU21" i="15"/>
  <c r="IR21" i="15"/>
  <c r="IO21" i="15"/>
  <c r="IL21" i="15"/>
  <c r="II21" i="15"/>
  <c r="IF21" i="15"/>
  <c r="IC21" i="15"/>
  <c r="HZ21" i="15"/>
  <c r="HW21" i="15"/>
  <c r="HT21" i="15"/>
  <c r="HQ21" i="15"/>
  <c r="HN21" i="15"/>
  <c r="HK21" i="15"/>
  <c r="HH21" i="15"/>
  <c r="HE21" i="15"/>
  <c r="HB21" i="15"/>
  <c r="GY21" i="15"/>
  <c r="GV21" i="15"/>
  <c r="GS21" i="15"/>
  <c r="GP21" i="15"/>
  <c r="GM21" i="15"/>
  <c r="GJ21" i="15"/>
  <c r="GG21" i="15"/>
  <c r="GD21" i="15"/>
  <c r="GA21" i="15"/>
  <c r="FX21" i="15"/>
  <c r="FU21" i="15"/>
  <c r="FR21" i="15"/>
  <c r="FO21" i="15"/>
  <c r="FL21" i="15"/>
  <c r="FI21" i="15"/>
  <c r="FF21" i="15"/>
  <c r="FC21" i="15"/>
  <c r="EZ21" i="15"/>
  <c r="EW21" i="15"/>
  <c r="ET21" i="15"/>
  <c r="EQ21" i="15"/>
  <c r="EN21" i="15"/>
  <c r="EK21" i="15"/>
  <c r="EH21" i="15"/>
  <c r="EE21" i="15"/>
  <c r="EB21" i="15"/>
  <c r="DY21" i="15"/>
  <c r="DV21" i="15"/>
  <c r="DS21" i="15"/>
  <c r="DP21" i="15"/>
  <c r="DM21" i="15"/>
  <c r="DJ21" i="15"/>
  <c r="DG21" i="15"/>
  <c r="DD21" i="15"/>
  <c r="DA21" i="15"/>
  <c r="CX21" i="15"/>
  <c r="CU21" i="15"/>
  <c r="CR21" i="15"/>
  <c r="CO21" i="15"/>
  <c r="CL21" i="15"/>
  <c r="CI21" i="15"/>
  <c r="CF21" i="15"/>
  <c r="CC21" i="15"/>
  <c r="BZ21" i="15"/>
  <c r="BW21" i="15"/>
  <c r="BT21" i="15"/>
  <c r="BQ21" i="15"/>
  <c r="BN21" i="15"/>
  <c r="BK21" i="15"/>
  <c r="BH21" i="15"/>
  <c r="BE21" i="15"/>
  <c r="BB21" i="15"/>
  <c r="AY21" i="15"/>
  <c r="AV21" i="15"/>
  <c r="AS21" i="15"/>
  <c r="AP21" i="15"/>
  <c r="AM21" i="15"/>
  <c r="AJ21" i="15"/>
  <c r="AG21" i="15"/>
  <c r="AD21" i="15"/>
  <c r="AA21" i="15"/>
  <c r="X21" i="15"/>
  <c r="U21" i="15"/>
  <c r="R21" i="15"/>
  <c r="O21" i="15"/>
  <c r="L21" i="15"/>
  <c r="I21" i="15"/>
  <c r="F21" i="15"/>
  <c r="LL20" i="15"/>
  <c r="LI20" i="15"/>
  <c r="LF20" i="15"/>
  <c r="LC20" i="15"/>
  <c r="KZ20" i="15"/>
  <c r="KW20" i="15"/>
  <c r="KT20" i="15"/>
  <c r="KQ20" i="15"/>
  <c r="KN20" i="15"/>
  <c r="KK20" i="15"/>
  <c r="KH20" i="15"/>
  <c r="KE20" i="15"/>
  <c r="KB20" i="15"/>
  <c r="JY20" i="15"/>
  <c r="JV20" i="15"/>
  <c r="JS20" i="15"/>
  <c r="JP20" i="15"/>
  <c r="JM20" i="15"/>
  <c r="JJ20" i="15"/>
  <c r="JG20" i="15"/>
  <c r="JD20" i="15"/>
  <c r="JA20" i="15"/>
  <c r="IX20" i="15"/>
  <c r="IU20" i="15"/>
  <c r="IR20" i="15"/>
  <c r="IO20" i="15"/>
  <c r="IL20" i="15"/>
  <c r="II20" i="15"/>
  <c r="IF20" i="15"/>
  <c r="IC20" i="15"/>
  <c r="HZ20" i="15"/>
  <c r="HW20" i="15"/>
  <c r="HT20" i="15"/>
  <c r="HQ20" i="15"/>
  <c r="HN20" i="15"/>
  <c r="HK20" i="15"/>
  <c r="HH20" i="15"/>
  <c r="HE20" i="15"/>
  <c r="HB20" i="15"/>
  <c r="GY20" i="15"/>
  <c r="GV20" i="15"/>
  <c r="GS20" i="15"/>
  <c r="GP20" i="15"/>
  <c r="GM20" i="15"/>
  <c r="GJ20" i="15"/>
  <c r="GG20" i="15"/>
  <c r="GD20" i="15"/>
  <c r="GA20" i="15"/>
  <c r="FX20" i="15"/>
  <c r="FU20" i="15"/>
  <c r="FR20" i="15"/>
  <c r="FO20" i="15"/>
  <c r="FL20" i="15"/>
  <c r="FI20" i="15"/>
  <c r="FF20" i="15"/>
  <c r="FC20" i="15"/>
  <c r="EZ20" i="15"/>
  <c r="EW20" i="15"/>
  <c r="ET20" i="15"/>
  <c r="EQ20" i="15"/>
  <c r="EN20" i="15"/>
  <c r="EK20" i="15"/>
  <c r="EH20" i="15"/>
  <c r="EE20" i="15"/>
  <c r="EB20" i="15"/>
  <c r="DY20" i="15"/>
  <c r="DV20" i="15"/>
  <c r="DS20" i="15"/>
  <c r="DP20" i="15"/>
  <c r="DM20" i="15"/>
  <c r="DJ20" i="15"/>
  <c r="DG20" i="15"/>
  <c r="DD20" i="15"/>
  <c r="DA20" i="15"/>
  <c r="CX20" i="15"/>
  <c r="CU20" i="15"/>
  <c r="CR20" i="15"/>
  <c r="CO20" i="15"/>
  <c r="CL20" i="15"/>
  <c r="CI20" i="15"/>
  <c r="CF20" i="15"/>
  <c r="CC20" i="15"/>
  <c r="BZ20" i="15"/>
  <c r="BW20" i="15"/>
  <c r="BT20" i="15"/>
  <c r="BQ20" i="15"/>
  <c r="BN20" i="15"/>
  <c r="BK20" i="15"/>
  <c r="BH20" i="15"/>
  <c r="BE20" i="15"/>
  <c r="BB20" i="15"/>
  <c r="AY20" i="15"/>
  <c r="AV20" i="15"/>
  <c r="AS20" i="15"/>
  <c r="AP20" i="15"/>
  <c r="AM20" i="15"/>
  <c r="AJ20" i="15"/>
  <c r="AG20" i="15"/>
  <c r="AD20" i="15"/>
  <c r="AA20" i="15"/>
  <c r="X20" i="15"/>
  <c r="U20" i="15"/>
  <c r="R20" i="15"/>
  <c r="O20" i="15"/>
  <c r="L20" i="15"/>
  <c r="I20" i="15"/>
  <c r="F20" i="15"/>
  <c r="LL19" i="15"/>
  <c r="LI19" i="15"/>
  <c r="LF19" i="15"/>
  <c r="LC19" i="15"/>
  <c r="KZ19" i="15"/>
  <c r="KW19" i="15"/>
  <c r="KT19" i="15"/>
  <c r="KQ19" i="15"/>
  <c r="KN19" i="15"/>
  <c r="KK19" i="15"/>
  <c r="KH19" i="15"/>
  <c r="KE19" i="15"/>
  <c r="KB19" i="15"/>
  <c r="JY19" i="15"/>
  <c r="JV19" i="15"/>
  <c r="JS19" i="15"/>
  <c r="JP19" i="15"/>
  <c r="JM19" i="15"/>
  <c r="JJ19" i="15"/>
  <c r="JG19" i="15"/>
  <c r="JD19" i="15"/>
  <c r="JA19" i="15"/>
  <c r="IX19" i="15"/>
  <c r="IU19" i="15"/>
  <c r="IR19" i="15"/>
  <c r="IO19" i="15"/>
  <c r="IL19" i="15"/>
  <c r="II19" i="15"/>
  <c r="IF19" i="15"/>
  <c r="IC19" i="15"/>
  <c r="HZ19" i="15"/>
  <c r="HW19" i="15"/>
  <c r="HT19" i="15"/>
  <c r="HQ19" i="15"/>
  <c r="HN19" i="15"/>
  <c r="HK19" i="15"/>
  <c r="HH19" i="15"/>
  <c r="HE19" i="15"/>
  <c r="HB19" i="15"/>
  <c r="GY19" i="15"/>
  <c r="GV19" i="15"/>
  <c r="GS19" i="15"/>
  <c r="GP19" i="15"/>
  <c r="GM19" i="15"/>
  <c r="GJ19" i="15"/>
  <c r="GG19" i="15"/>
  <c r="GD19" i="15"/>
  <c r="GA19" i="15"/>
  <c r="FX19" i="15"/>
  <c r="FU19" i="15"/>
  <c r="FR19" i="15"/>
  <c r="FO19" i="15"/>
  <c r="FL19" i="15"/>
  <c r="FI19" i="15"/>
  <c r="FF19" i="15"/>
  <c r="FC19" i="15"/>
  <c r="EZ19" i="15"/>
  <c r="EW19" i="15"/>
  <c r="ET19" i="15"/>
  <c r="EQ19" i="15"/>
  <c r="EN19" i="15"/>
  <c r="EK19" i="15"/>
  <c r="EH19" i="15"/>
  <c r="EE19" i="15"/>
  <c r="EB19" i="15"/>
  <c r="DY19" i="15"/>
  <c r="DV19" i="15"/>
  <c r="DS19" i="15"/>
  <c r="DP19" i="15"/>
  <c r="DM19" i="15"/>
  <c r="DJ19" i="15"/>
  <c r="DG19" i="15"/>
  <c r="DD19" i="15"/>
  <c r="DA19" i="15"/>
  <c r="CX19" i="15"/>
  <c r="CU19" i="15"/>
  <c r="CR19" i="15"/>
  <c r="CO19" i="15"/>
  <c r="CL19" i="15"/>
  <c r="CI19" i="15"/>
  <c r="CF19" i="15"/>
  <c r="CC19" i="15"/>
  <c r="BZ19" i="15"/>
  <c r="BW19" i="15"/>
  <c r="BT19" i="15"/>
  <c r="BQ19" i="15"/>
  <c r="BN19" i="15"/>
  <c r="BK19" i="15"/>
  <c r="BH19" i="15"/>
  <c r="BE19" i="15"/>
  <c r="BB19" i="15"/>
  <c r="AY19" i="15"/>
  <c r="AV19" i="15"/>
  <c r="AS19" i="15"/>
  <c r="AP19" i="15"/>
  <c r="AM19" i="15"/>
  <c r="AJ19" i="15"/>
  <c r="AG19" i="15"/>
  <c r="AD19" i="15"/>
  <c r="AA19" i="15"/>
  <c r="X19" i="15"/>
  <c r="U19" i="15"/>
  <c r="R19" i="15"/>
  <c r="O19" i="15"/>
  <c r="L19" i="15"/>
  <c r="I19" i="15"/>
  <c r="F19" i="15"/>
  <c r="LL18" i="15"/>
  <c r="LI18" i="15"/>
  <c r="LF18" i="15"/>
  <c r="LC18" i="15"/>
  <c r="KZ18" i="15"/>
  <c r="KW18" i="15"/>
  <c r="KT18" i="15"/>
  <c r="KQ18" i="15"/>
  <c r="KN18" i="15"/>
  <c r="KK18" i="15"/>
  <c r="KH18" i="15"/>
  <c r="KE18" i="15"/>
  <c r="KB18" i="15"/>
  <c r="JY18" i="15"/>
  <c r="JV18" i="15"/>
  <c r="JS18" i="15"/>
  <c r="JP18" i="15"/>
  <c r="JM18" i="15"/>
  <c r="JJ18" i="15"/>
  <c r="JG18" i="15"/>
  <c r="JD18" i="15"/>
  <c r="JA18" i="15"/>
  <c r="IX18" i="15"/>
  <c r="IU18" i="15"/>
  <c r="IR18" i="15"/>
  <c r="IO18" i="15"/>
  <c r="IL18" i="15"/>
  <c r="II18" i="15"/>
  <c r="IF18" i="15"/>
  <c r="IC18" i="15"/>
  <c r="HZ18" i="15"/>
  <c r="HW18" i="15"/>
  <c r="HT18" i="15"/>
  <c r="HQ18" i="15"/>
  <c r="HN18" i="15"/>
  <c r="HK18" i="15"/>
  <c r="HH18" i="15"/>
  <c r="HE18" i="15"/>
  <c r="HB18" i="15"/>
  <c r="GY18" i="15"/>
  <c r="GV18" i="15"/>
  <c r="GS18" i="15"/>
  <c r="GP18" i="15"/>
  <c r="GM18" i="15"/>
  <c r="GJ18" i="15"/>
  <c r="GG18" i="15"/>
  <c r="GD18" i="15"/>
  <c r="GA18" i="15"/>
  <c r="FX18" i="15"/>
  <c r="FU18" i="15"/>
  <c r="FR18" i="15"/>
  <c r="FO18" i="15"/>
  <c r="FL18" i="15"/>
  <c r="FI18" i="15"/>
  <c r="FF18" i="15"/>
  <c r="FC18" i="15"/>
  <c r="EZ18" i="15"/>
  <c r="EW18" i="15"/>
  <c r="ET18" i="15"/>
  <c r="EQ18" i="15"/>
  <c r="EN18" i="15"/>
  <c r="EK18" i="15"/>
  <c r="EH18" i="15"/>
  <c r="EE18" i="15"/>
  <c r="EB18" i="15"/>
  <c r="DY18" i="15"/>
  <c r="DV18" i="15"/>
  <c r="DS18" i="15"/>
  <c r="DP18" i="15"/>
  <c r="DM18" i="15"/>
  <c r="DJ18" i="15"/>
  <c r="DG18" i="15"/>
  <c r="DD18" i="15"/>
  <c r="DA18" i="15"/>
  <c r="CX18" i="15"/>
  <c r="CU18" i="15"/>
  <c r="CR18" i="15"/>
  <c r="CO18" i="15"/>
  <c r="CL18" i="15"/>
  <c r="CI18" i="15"/>
  <c r="CF18" i="15"/>
  <c r="CC18" i="15"/>
  <c r="BZ18" i="15"/>
  <c r="BW18" i="15"/>
  <c r="BT18" i="15"/>
  <c r="BQ18" i="15"/>
  <c r="BN18" i="15"/>
  <c r="BK18" i="15"/>
  <c r="BH18" i="15"/>
  <c r="BE18" i="15"/>
  <c r="BB18" i="15"/>
  <c r="AY18" i="15"/>
  <c r="AV18" i="15"/>
  <c r="AS18" i="15"/>
  <c r="AP18" i="15"/>
  <c r="AM18" i="15"/>
  <c r="AJ18" i="15"/>
  <c r="AG18" i="15"/>
  <c r="AD18" i="15"/>
  <c r="AA18" i="15"/>
  <c r="X18" i="15"/>
  <c r="U18" i="15"/>
  <c r="R18" i="15"/>
  <c r="O18" i="15"/>
  <c r="L18" i="15"/>
  <c r="I18" i="15"/>
  <c r="F18" i="15"/>
  <c r="LL17" i="15"/>
  <c r="LI17" i="15"/>
  <c r="LF17" i="15"/>
  <c r="LC17" i="15"/>
  <c r="KZ17" i="15"/>
  <c r="KW17" i="15"/>
  <c r="KT17" i="15"/>
  <c r="KQ17" i="15"/>
  <c r="KN17" i="15"/>
  <c r="KK17" i="15"/>
  <c r="KH17" i="15"/>
  <c r="KE17" i="15"/>
  <c r="KB17" i="15"/>
  <c r="JY17" i="15"/>
  <c r="JV17" i="15"/>
  <c r="JS17" i="15"/>
  <c r="JP17" i="15"/>
  <c r="JM17" i="15"/>
  <c r="JJ17" i="15"/>
  <c r="JG17" i="15"/>
  <c r="JD17" i="15"/>
  <c r="JA17" i="15"/>
  <c r="IX17" i="15"/>
  <c r="IU17" i="15"/>
  <c r="IR17" i="15"/>
  <c r="IO17" i="15"/>
  <c r="IL17" i="15"/>
  <c r="II17" i="15"/>
  <c r="IF17" i="15"/>
  <c r="IC17" i="15"/>
  <c r="HZ17" i="15"/>
  <c r="HW17" i="15"/>
  <c r="HT17" i="15"/>
  <c r="HQ17" i="15"/>
  <c r="HN17" i="15"/>
  <c r="HK17" i="15"/>
  <c r="HH17" i="15"/>
  <c r="HE17" i="15"/>
  <c r="HB17" i="15"/>
  <c r="GY17" i="15"/>
  <c r="GV17" i="15"/>
  <c r="GS17" i="15"/>
  <c r="GP17" i="15"/>
  <c r="GM17" i="15"/>
  <c r="GJ17" i="15"/>
  <c r="GG17" i="15"/>
  <c r="GD17" i="15"/>
  <c r="GA17" i="15"/>
  <c r="FX17" i="15"/>
  <c r="FU17" i="15"/>
  <c r="FR17" i="15"/>
  <c r="FO17" i="15"/>
  <c r="FL17" i="15"/>
  <c r="FI17" i="15"/>
  <c r="FF17" i="15"/>
  <c r="FC17" i="15"/>
  <c r="EZ17" i="15"/>
  <c r="EW17" i="15"/>
  <c r="ET17" i="15"/>
  <c r="EQ17" i="15"/>
  <c r="EN17" i="15"/>
  <c r="EK17" i="15"/>
  <c r="EH17" i="15"/>
  <c r="EE17" i="15"/>
  <c r="EB17" i="15"/>
  <c r="DY17" i="15"/>
  <c r="DV17" i="15"/>
  <c r="DS17" i="15"/>
  <c r="DP17" i="15"/>
  <c r="DM17" i="15"/>
  <c r="DJ17" i="15"/>
  <c r="DG17" i="15"/>
  <c r="DD17" i="15"/>
  <c r="DA17" i="15"/>
  <c r="CX17" i="15"/>
  <c r="CU17" i="15"/>
  <c r="CR17" i="15"/>
  <c r="CO17" i="15"/>
  <c r="CL17" i="15"/>
  <c r="CI17" i="15"/>
  <c r="CF17" i="15"/>
  <c r="CC17" i="15"/>
  <c r="BZ17" i="15"/>
  <c r="BW17" i="15"/>
  <c r="BT17" i="15"/>
  <c r="BQ17" i="15"/>
  <c r="BN17" i="15"/>
  <c r="BK17" i="15"/>
  <c r="BH17" i="15"/>
  <c r="BE17" i="15"/>
  <c r="BB17" i="15"/>
  <c r="AY17" i="15"/>
  <c r="AV17" i="15"/>
  <c r="AS17" i="15"/>
  <c r="AP17" i="15"/>
  <c r="AM17" i="15"/>
  <c r="AJ17" i="15"/>
  <c r="AG17" i="15"/>
  <c r="AD17" i="15"/>
  <c r="AA17" i="15"/>
  <c r="X17" i="15"/>
  <c r="U17" i="15"/>
  <c r="R17" i="15"/>
  <c r="O17" i="15"/>
  <c r="L17" i="15"/>
  <c r="I17" i="15"/>
  <c r="F17" i="15"/>
  <c r="LL16" i="15"/>
  <c r="LI16" i="15"/>
  <c r="LF16" i="15"/>
  <c r="LC16" i="15"/>
  <c r="KZ16" i="15"/>
  <c r="KW16" i="15"/>
  <c r="KT16" i="15"/>
  <c r="KQ16" i="15"/>
  <c r="KN16" i="15"/>
  <c r="KK16" i="15"/>
  <c r="KH16" i="15"/>
  <c r="KE16" i="15"/>
  <c r="KB16" i="15"/>
  <c r="JY16" i="15"/>
  <c r="JV16" i="15"/>
  <c r="JS16" i="15"/>
  <c r="JP16" i="15"/>
  <c r="JM16" i="15"/>
  <c r="JJ16" i="15"/>
  <c r="JG16" i="15"/>
  <c r="JD16" i="15"/>
  <c r="JA16" i="15"/>
  <c r="IX16" i="15"/>
  <c r="IU16" i="15"/>
  <c r="IR16" i="15"/>
  <c r="IO16" i="15"/>
  <c r="IL16" i="15"/>
  <c r="II16" i="15"/>
  <c r="IF16" i="15"/>
  <c r="IC16" i="15"/>
  <c r="HZ16" i="15"/>
  <c r="HW16" i="15"/>
  <c r="HT16" i="15"/>
  <c r="HQ16" i="15"/>
  <c r="HN16" i="15"/>
  <c r="HK16" i="15"/>
  <c r="HH16" i="15"/>
  <c r="HE16" i="15"/>
  <c r="HB16" i="15"/>
  <c r="GY16" i="15"/>
  <c r="GV16" i="15"/>
  <c r="GS16" i="15"/>
  <c r="GP16" i="15"/>
  <c r="GM16" i="15"/>
  <c r="GJ16" i="15"/>
  <c r="GG16" i="15"/>
  <c r="GD16" i="15"/>
  <c r="GA16" i="15"/>
  <c r="FX16" i="15"/>
  <c r="FU16" i="15"/>
  <c r="FR16" i="15"/>
  <c r="FO16" i="15"/>
  <c r="FL16" i="15"/>
  <c r="FI16" i="15"/>
  <c r="FF16" i="15"/>
  <c r="FC16" i="15"/>
  <c r="EZ16" i="15"/>
  <c r="EW16" i="15"/>
  <c r="ET16" i="15"/>
  <c r="EQ16" i="15"/>
  <c r="EN16" i="15"/>
  <c r="EK16" i="15"/>
  <c r="EH16" i="15"/>
  <c r="EE16" i="15"/>
  <c r="EB16" i="15"/>
  <c r="DY16" i="15"/>
  <c r="DV16" i="15"/>
  <c r="DS16" i="15"/>
  <c r="DP16" i="15"/>
  <c r="DM16" i="15"/>
  <c r="DJ16" i="15"/>
  <c r="DG16" i="15"/>
  <c r="DD16" i="15"/>
  <c r="DA16" i="15"/>
  <c r="CX16" i="15"/>
  <c r="CU16" i="15"/>
  <c r="CR16" i="15"/>
  <c r="CO16" i="15"/>
  <c r="CL16" i="15"/>
  <c r="CI16" i="15"/>
  <c r="CF16" i="15"/>
  <c r="CC16" i="15"/>
  <c r="BZ16" i="15"/>
  <c r="BW16" i="15"/>
  <c r="BT16" i="15"/>
  <c r="BQ16" i="15"/>
  <c r="BN16" i="15"/>
  <c r="BK16" i="15"/>
  <c r="BH16" i="15"/>
  <c r="BE16" i="15"/>
  <c r="BB16" i="15"/>
  <c r="AY16" i="15"/>
  <c r="AV16" i="15"/>
  <c r="AS16" i="15"/>
  <c r="AP16" i="15"/>
  <c r="AM16" i="15"/>
  <c r="AJ16" i="15"/>
  <c r="AG16" i="15"/>
  <c r="AD16" i="15"/>
  <c r="AA16" i="15"/>
  <c r="X16" i="15"/>
  <c r="U16" i="15"/>
  <c r="R16" i="15"/>
  <c r="O16" i="15"/>
  <c r="L16" i="15"/>
  <c r="I16" i="15"/>
  <c r="F16" i="15"/>
  <c r="LL15" i="15"/>
  <c r="LI15" i="15"/>
  <c r="LF15" i="15"/>
  <c r="LC15" i="15"/>
  <c r="KZ15" i="15"/>
  <c r="KW15" i="15"/>
  <c r="KT15" i="15"/>
  <c r="KQ15" i="15"/>
  <c r="KN15" i="15"/>
  <c r="KK15" i="15"/>
  <c r="KH15" i="15"/>
  <c r="KE15" i="15"/>
  <c r="KB15" i="15"/>
  <c r="JY15" i="15"/>
  <c r="JV15" i="15"/>
  <c r="JS15" i="15"/>
  <c r="JP15" i="15"/>
  <c r="JM15" i="15"/>
  <c r="JJ15" i="15"/>
  <c r="JG15" i="15"/>
  <c r="JD15" i="15"/>
  <c r="JA15" i="15"/>
  <c r="IX15" i="15"/>
  <c r="IU15" i="15"/>
  <c r="IR15" i="15"/>
  <c r="IO15" i="15"/>
  <c r="IL15" i="15"/>
  <c r="II15" i="15"/>
  <c r="IF15" i="15"/>
  <c r="IC15" i="15"/>
  <c r="HZ15" i="15"/>
  <c r="HW15" i="15"/>
  <c r="HT15" i="15"/>
  <c r="HQ15" i="15"/>
  <c r="HN15" i="15"/>
  <c r="HK15" i="15"/>
  <c r="HH15" i="15"/>
  <c r="HE15" i="15"/>
  <c r="HB15" i="15"/>
  <c r="GY15" i="15"/>
  <c r="GV15" i="15"/>
  <c r="GS15" i="15"/>
  <c r="GP15" i="15"/>
  <c r="GM15" i="15"/>
  <c r="GJ15" i="15"/>
  <c r="GG15" i="15"/>
  <c r="GD15" i="15"/>
  <c r="GA15" i="15"/>
  <c r="FX15" i="15"/>
  <c r="FU15" i="15"/>
  <c r="FR15" i="15"/>
  <c r="FO15" i="15"/>
  <c r="FL15" i="15"/>
  <c r="FI15" i="15"/>
  <c r="FF15" i="15"/>
  <c r="FC15" i="15"/>
  <c r="EZ15" i="15"/>
  <c r="EW15" i="15"/>
  <c r="ET15" i="15"/>
  <c r="EQ15" i="15"/>
  <c r="EN15" i="15"/>
  <c r="EK15" i="15"/>
  <c r="EH15" i="15"/>
  <c r="EE15" i="15"/>
  <c r="EB15" i="15"/>
  <c r="DY15" i="15"/>
  <c r="DV15" i="15"/>
  <c r="DS15" i="15"/>
  <c r="DP15" i="15"/>
  <c r="DM15" i="15"/>
  <c r="DJ15" i="15"/>
  <c r="DG15" i="15"/>
  <c r="DD15" i="15"/>
  <c r="DA15" i="15"/>
  <c r="CX15" i="15"/>
  <c r="CU15" i="15"/>
  <c r="CR15" i="15"/>
  <c r="CO15" i="15"/>
  <c r="CL15" i="15"/>
  <c r="CI15" i="15"/>
  <c r="CF15" i="15"/>
  <c r="CC15" i="15"/>
  <c r="BZ15" i="15"/>
  <c r="BW15" i="15"/>
  <c r="BT15" i="15"/>
  <c r="BQ15" i="15"/>
  <c r="BN15" i="15"/>
  <c r="BK15" i="15"/>
  <c r="BH15" i="15"/>
  <c r="BE15" i="15"/>
  <c r="BB15" i="15"/>
  <c r="AY15" i="15"/>
  <c r="AV15" i="15"/>
  <c r="AS15" i="15"/>
  <c r="AP15" i="15"/>
  <c r="AM15" i="15"/>
  <c r="AJ15" i="15"/>
  <c r="AG15" i="15"/>
  <c r="AD15" i="15"/>
  <c r="AA15" i="15"/>
  <c r="X15" i="15"/>
  <c r="U15" i="15"/>
  <c r="R15" i="15"/>
  <c r="O15" i="15"/>
  <c r="L15" i="15"/>
  <c r="I15" i="15"/>
  <c r="F15" i="15"/>
  <c r="LL14" i="15"/>
  <c r="LI14" i="15"/>
  <c r="LF14" i="15"/>
  <c r="LC14" i="15"/>
  <c r="KZ14" i="15"/>
  <c r="KW14" i="15"/>
  <c r="KT14" i="15"/>
  <c r="KQ14" i="15"/>
  <c r="KN14" i="15"/>
  <c r="KK14" i="15"/>
  <c r="KH14" i="15"/>
  <c r="KE14" i="15"/>
  <c r="KB14" i="15"/>
  <c r="JY14" i="15"/>
  <c r="JV14" i="15"/>
  <c r="JS14" i="15"/>
  <c r="JP14" i="15"/>
  <c r="JM14" i="15"/>
  <c r="JJ14" i="15"/>
  <c r="JG14" i="15"/>
  <c r="JD14" i="15"/>
  <c r="JA14" i="15"/>
  <c r="IX14" i="15"/>
  <c r="IU14" i="15"/>
  <c r="IR14" i="15"/>
  <c r="IO14" i="15"/>
  <c r="IL14" i="15"/>
  <c r="II14" i="15"/>
  <c r="IF14" i="15"/>
  <c r="IC14" i="15"/>
  <c r="HZ14" i="15"/>
  <c r="HW14" i="15"/>
  <c r="HT14" i="15"/>
  <c r="HQ14" i="15"/>
  <c r="HN14" i="15"/>
  <c r="HK14" i="15"/>
  <c r="HH14" i="15"/>
  <c r="HE14" i="15"/>
  <c r="HB14" i="15"/>
  <c r="GY14" i="15"/>
  <c r="GV14" i="15"/>
  <c r="GS14" i="15"/>
  <c r="GP14" i="15"/>
  <c r="GM14" i="15"/>
  <c r="GJ14" i="15"/>
  <c r="GG14" i="15"/>
  <c r="GD14" i="15"/>
  <c r="GA14" i="15"/>
  <c r="FX14" i="15"/>
  <c r="FU14" i="15"/>
  <c r="FR14" i="15"/>
  <c r="FO14" i="15"/>
  <c r="FL14" i="15"/>
  <c r="FI14" i="15"/>
  <c r="FF14" i="15"/>
  <c r="FC14" i="15"/>
  <c r="EZ14" i="15"/>
  <c r="EW14" i="15"/>
  <c r="ET14" i="15"/>
  <c r="EQ14" i="15"/>
  <c r="EN14" i="15"/>
  <c r="EK14" i="15"/>
  <c r="EH14" i="15"/>
  <c r="EE14" i="15"/>
  <c r="EB14" i="15"/>
  <c r="DY14" i="15"/>
  <c r="DV14" i="15"/>
  <c r="DS14" i="15"/>
  <c r="DP14" i="15"/>
  <c r="DM14" i="15"/>
  <c r="DJ14" i="15"/>
  <c r="DG14" i="15"/>
  <c r="DD14" i="15"/>
  <c r="DA14" i="15"/>
  <c r="CX14" i="15"/>
  <c r="CU14" i="15"/>
  <c r="CR14" i="15"/>
  <c r="CO14" i="15"/>
  <c r="CL14" i="15"/>
  <c r="CI14" i="15"/>
  <c r="CF14" i="15"/>
  <c r="CC14" i="15"/>
  <c r="BZ14" i="15"/>
  <c r="BW14" i="15"/>
  <c r="BT14" i="15"/>
  <c r="BQ14" i="15"/>
  <c r="BN14" i="15"/>
  <c r="BK14" i="15"/>
  <c r="BH14" i="15"/>
  <c r="BE14" i="15"/>
  <c r="BB14" i="15"/>
  <c r="AY14" i="15"/>
  <c r="AV14" i="15"/>
  <c r="AS14" i="15"/>
  <c r="AP14" i="15"/>
  <c r="AM14" i="15"/>
  <c r="AJ14" i="15"/>
  <c r="AG14" i="15"/>
  <c r="AD14" i="15"/>
  <c r="AA14" i="15"/>
  <c r="X14" i="15"/>
  <c r="U14" i="15"/>
  <c r="R14" i="15"/>
  <c r="O14" i="15"/>
  <c r="L14" i="15"/>
  <c r="I14" i="15"/>
  <c r="F14" i="15"/>
  <c r="LL13" i="15"/>
  <c r="LI13" i="15"/>
  <c r="LF13" i="15"/>
  <c r="LC13" i="15"/>
  <c r="KZ13" i="15"/>
  <c r="KW13" i="15"/>
  <c r="KT13" i="15"/>
  <c r="KQ13" i="15"/>
  <c r="KN13" i="15"/>
  <c r="KK13" i="15"/>
  <c r="KH13" i="15"/>
  <c r="KE13" i="15"/>
  <c r="KB13" i="15"/>
  <c r="JY13" i="15"/>
  <c r="JV13" i="15"/>
  <c r="JS13" i="15"/>
  <c r="JP13" i="15"/>
  <c r="JM13" i="15"/>
  <c r="JJ13" i="15"/>
  <c r="JG13" i="15"/>
  <c r="JD13" i="15"/>
  <c r="JA13" i="15"/>
  <c r="IX13" i="15"/>
  <c r="IU13" i="15"/>
  <c r="IR13" i="15"/>
  <c r="IO13" i="15"/>
  <c r="IL13" i="15"/>
  <c r="II13" i="15"/>
  <c r="IF13" i="15"/>
  <c r="IC13" i="15"/>
  <c r="HZ13" i="15"/>
  <c r="HW13" i="15"/>
  <c r="HT13" i="15"/>
  <c r="HQ13" i="15"/>
  <c r="HN13" i="15"/>
  <c r="HK13" i="15"/>
  <c r="HH13" i="15"/>
  <c r="HE13" i="15"/>
  <c r="HB13" i="15"/>
  <c r="GY13" i="15"/>
  <c r="GV13" i="15"/>
  <c r="GS13" i="15"/>
  <c r="GP13" i="15"/>
  <c r="GM13" i="15"/>
  <c r="GJ13" i="15"/>
  <c r="GG13" i="15"/>
  <c r="GD13" i="15"/>
  <c r="GA13" i="15"/>
  <c r="FX13" i="15"/>
  <c r="FU13" i="15"/>
  <c r="FR13" i="15"/>
  <c r="FO13" i="15"/>
  <c r="FL13" i="15"/>
  <c r="FI13" i="15"/>
  <c r="FF13" i="15"/>
  <c r="FC13" i="15"/>
  <c r="EZ13" i="15"/>
  <c r="EW13" i="15"/>
  <c r="ET13" i="15"/>
  <c r="EQ13" i="15"/>
  <c r="EN13" i="15"/>
  <c r="EK13" i="15"/>
  <c r="EH13" i="15"/>
  <c r="EE13" i="15"/>
  <c r="EB13" i="15"/>
  <c r="DY13" i="15"/>
  <c r="DV13" i="15"/>
  <c r="DS13" i="15"/>
  <c r="DP13" i="15"/>
  <c r="DM13" i="15"/>
  <c r="DJ13" i="15"/>
  <c r="DG13" i="15"/>
  <c r="DD13" i="15"/>
  <c r="DA13" i="15"/>
  <c r="CX13" i="15"/>
  <c r="CU13" i="15"/>
  <c r="CR13" i="15"/>
  <c r="CO13" i="15"/>
  <c r="CL13" i="15"/>
  <c r="CI13" i="15"/>
  <c r="CF13" i="15"/>
  <c r="CC13" i="15"/>
  <c r="BZ13" i="15"/>
  <c r="BW13" i="15"/>
  <c r="BT13" i="15"/>
  <c r="BQ13" i="15"/>
  <c r="BN13" i="15"/>
  <c r="BK13" i="15"/>
  <c r="BH13" i="15"/>
  <c r="BE13" i="15"/>
  <c r="BB13" i="15"/>
  <c r="AY13" i="15"/>
  <c r="AV13" i="15"/>
  <c r="AS13" i="15"/>
  <c r="AP13" i="15"/>
  <c r="AM13" i="15"/>
  <c r="AJ13" i="15"/>
  <c r="AG13" i="15"/>
  <c r="AD13" i="15"/>
  <c r="AA13" i="15"/>
  <c r="X13" i="15"/>
  <c r="U13" i="15"/>
  <c r="R13" i="15"/>
  <c r="O13" i="15"/>
  <c r="L13" i="15"/>
  <c r="I13" i="15"/>
  <c r="F13" i="15"/>
  <c r="LL12" i="15"/>
  <c r="LI12" i="15"/>
  <c r="LF12" i="15"/>
  <c r="LC12" i="15"/>
  <c r="KZ12" i="15"/>
  <c r="KW12" i="15"/>
  <c r="KT12" i="15"/>
  <c r="KQ12" i="15"/>
  <c r="KN12" i="15"/>
  <c r="KK12" i="15"/>
  <c r="KH12" i="15"/>
  <c r="KE12" i="15"/>
  <c r="KB12" i="15"/>
  <c r="JY12" i="15"/>
  <c r="JV12" i="15"/>
  <c r="JS12" i="15"/>
  <c r="JP12" i="15"/>
  <c r="JM12" i="15"/>
  <c r="JJ12" i="15"/>
  <c r="JG12" i="15"/>
  <c r="JD12" i="15"/>
  <c r="JA12" i="15"/>
  <c r="IX12" i="15"/>
  <c r="IU12" i="15"/>
  <c r="IR12" i="15"/>
  <c r="IO12" i="15"/>
  <c r="IL12" i="15"/>
  <c r="II12" i="15"/>
  <c r="IF12" i="15"/>
  <c r="IC12" i="15"/>
  <c r="HZ12" i="15"/>
  <c r="HW12" i="15"/>
  <c r="HT12" i="15"/>
  <c r="HQ12" i="15"/>
  <c r="HN12" i="15"/>
  <c r="HK12" i="15"/>
  <c r="HH12" i="15"/>
  <c r="HE12" i="15"/>
  <c r="HB12" i="15"/>
  <c r="GY12" i="15"/>
  <c r="GV12" i="15"/>
  <c r="GS12" i="15"/>
  <c r="GP12" i="15"/>
  <c r="GM12" i="15"/>
  <c r="GJ12" i="15"/>
  <c r="GG12" i="15"/>
  <c r="GD12" i="15"/>
  <c r="GA12" i="15"/>
  <c r="FX12" i="15"/>
  <c r="FU12" i="15"/>
  <c r="FR12" i="15"/>
  <c r="FO12" i="15"/>
  <c r="FL12" i="15"/>
  <c r="FI12" i="15"/>
  <c r="FF12" i="15"/>
  <c r="FC12" i="15"/>
  <c r="EZ12" i="15"/>
  <c r="EW12" i="15"/>
  <c r="ET12" i="15"/>
  <c r="EQ12" i="15"/>
  <c r="EN12" i="15"/>
  <c r="EK12" i="15"/>
  <c r="EH12" i="15"/>
  <c r="EE12" i="15"/>
  <c r="EB12" i="15"/>
  <c r="DY12" i="15"/>
  <c r="DV12" i="15"/>
  <c r="DS12" i="15"/>
  <c r="DP12" i="15"/>
  <c r="DM12" i="15"/>
  <c r="DJ12" i="15"/>
  <c r="DG12" i="15"/>
  <c r="DD12" i="15"/>
  <c r="DA12" i="15"/>
  <c r="CX12" i="15"/>
  <c r="CU12" i="15"/>
  <c r="CR12" i="15"/>
  <c r="CO12" i="15"/>
  <c r="CL12" i="15"/>
  <c r="CI12" i="15"/>
  <c r="CF12" i="15"/>
  <c r="CC12" i="15"/>
  <c r="BZ12" i="15"/>
  <c r="BW12" i="15"/>
  <c r="BT12" i="15"/>
  <c r="BQ12" i="15"/>
  <c r="BN12" i="15"/>
  <c r="BK12" i="15"/>
  <c r="BH12" i="15"/>
  <c r="BE12" i="15"/>
  <c r="BB12" i="15"/>
  <c r="AY12" i="15"/>
  <c r="AV12" i="15"/>
  <c r="AS12" i="15"/>
  <c r="AP12" i="15"/>
  <c r="AM12" i="15"/>
  <c r="AJ12" i="15"/>
  <c r="AG12" i="15"/>
  <c r="AD12" i="15"/>
  <c r="AA12" i="15"/>
  <c r="X12" i="15"/>
  <c r="U12" i="15"/>
  <c r="R12" i="15"/>
  <c r="O12" i="15"/>
  <c r="L12" i="15"/>
  <c r="I12" i="15"/>
  <c r="F12" i="15"/>
  <c r="LL11" i="15"/>
  <c r="LI11" i="15"/>
  <c r="LF11" i="15"/>
  <c r="LC11" i="15"/>
  <c r="KZ11" i="15"/>
  <c r="KW11" i="15"/>
  <c r="KT11" i="15"/>
  <c r="KQ11" i="15"/>
  <c r="KN11" i="15"/>
  <c r="KK11" i="15"/>
  <c r="KH11" i="15"/>
  <c r="KE11" i="15"/>
  <c r="KB11" i="15"/>
  <c r="JY11" i="15"/>
  <c r="JV11" i="15"/>
  <c r="JS11" i="15"/>
  <c r="JP11" i="15"/>
  <c r="JM11" i="15"/>
  <c r="JJ11" i="15"/>
  <c r="JG11" i="15"/>
  <c r="JD11" i="15"/>
  <c r="JA11" i="15"/>
  <c r="IX11" i="15"/>
  <c r="IU11" i="15"/>
  <c r="IR11" i="15"/>
  <c r="IO11" i="15"/>
  <c r="IL11" i="15"/>
  <c r="II11" i="15"/>
  <c r="IF11" i="15"/>
  <c r="IC11" i="15"/>
  <c r="HZ11" i="15"/>
  <c r="HW11" i="15"/>
  <c r="HT11" i="15"/>
  <c r="HQ11" i="15"/>
  <c r="HN11" i="15"/>
  <c r="HK11" i="15"/>
  <c r="HH11" i="15"/>
  <c r="HE11" i="15"/>
  <c r="HB11" i="15"/>
  <c r="GY11" i="15"/>
  <c r="GV11" i="15"/>
  <c r="GS11" i="15"/>
  <c r="GP11" i="15"/>
  <c r="GM11" i="15"/>
  <c r="GJ11" i="15"/>
  <c r="GG11" i="15"/>
  <c r="GD11" i="15"/>
  <c r="GA11" i="15"/>
  <c r="FX11" i="15"/>
  <c r="FU11" i="15"/>
  <c r="FR11" i="15"/>
  <c r="FO11" i="15"/>
  <c r="FL11" i="15"/>
  <c r="FI11" i="15"/>
  <c r="FF11" i="15"/>
  <c r="FC11" i="15"/>
  <c r="EZ11" i="15"/>
  <c r="EW11" i="15"/>
  <c r="ET11" i="15"/>
  <c r="EQ11" i="15"/>
  <c r="EN11" i="15"/>
  <c r="EK11" i="15"/>
  <c r="EH11" i="15"/>
  <c r="EE11" i="15"/>
  <c r="EB11" i="15"/>
  <c r="DY11" i="15"/>
  <c r="DV11" i="15"/>
  <c r="DS11" i="15"/>
  <c r="DP11" i="15"/>
  <c r="DM11" i="15"/>
  <c r="DJ11" i="15"/>
  <c r="DG11" i="15"/>
  <c r="DD11" i="15"/>
  <c r="DA11" i="15"/>
  <c r="CX11" i="15"/>
  <c r="CU11" i="15"/>
  <c r="CR11" i="15"/>
  <c r="CO11" i="15"/>
  <c r="CL11" i="15"/>
  <c r="CI11" i="15"/>
  <c r="CF11" i="15"/>
  <c r="CC11" i="15"/>
  <c r="BZ11" i="15"/>
  <c r="BW11" i="15"/>
  <c r="BT11" i="15"/>
  <c r="BQ11" i="15"/>
  <c r="BN11" i="15"/>
  <c r="BK11" i="15"/>
  <c r="BH11" i="15"/>
  <c r="BE11" i="15"/>
  <c r="BB11" i="15"/>
  <c r="AY11" i="15"/>
  <c r="AV11" i="15"/>
  <c r="AS11" i="15"/>
  <c r="AP11" i="15"/>
  <c r="AM11" i="15"/>
  <c r="AJ11" i="15"/>
  <c r="AG11" i="15"/>
  <c r="AD11" i="15"/>
  <c r="AA11" i="15"/>
  <c r="X11" i="15"/>
  <c r="U11" i="15"/>
  <c r="R11" i="15"/>
  <c r="O11" i="15"/>
  <c r="L11" i="15"/>
  <c r="I11" i="15"/>
  <c r="F11" i="15"/>
  <c r="LL10" i="15"/>
  <c r="LI10" i="15"/>
  <c r="LF10" i="15"/>
  <c r="LC10" i="15"/>
  <c r="KZ10" i="15"/>
  <c r="KW10" i="15"/>
  <c r="KT10" i="15"/>
  <c r="KQ10" i="15"/>
  <c r="KN10" i="15"/>
  <c r="KK10" i="15"/>
  <c r="KH10" i="15"/>
  <c r="KE10" i="15"/>
  <c r="KB10" i="15"/>
  <c r="JY10" i="15"/>
  <c r="JV10" i="15"/>
  <c r="JS10" i="15"/>
  <c r="JP10" i="15"/>
  <c r="JM10" i="15"/>
  <c r="JJ10" i="15"/>
  <c r="JG10" i="15"/>
  <c r="JD10" i="15"/>
  <c r="JA10" i="15"/>
  <c r="IX10" i="15"/>
  <c r="IU10" i="15"/>
  <c r="IR10" i="15"/>
  <c r="IO10" i="15"/>
  <c r="IL10" i="15"/>
  <c r="II10" i="15"/>
  <c r="IF10" i="15"/>
  <c r="IC10" i="15"/>
  <c r="HZ10" i="15"/>
  <c r="HW10" i="15"/>
  <c r="HT10" i="15"/>
  <c r="HQ10" i="15"/>
  <c r="HN10" i="15"/>
  <c r="HK10" i="15"/>
  <c r="HH10" i="15"/>
  <c r="HE10" i="15"/>
  <c r="HB10" i="15"/>
  <c r="GY10" i="15"/>
  <c r="GV10" i="15"/>
  <c r="GS10" i="15"/>
  <c r="GP10" i="15"/>
  <c r="GM10" i="15"/>
  <c r="GJ10" i="15"/>
  <c r="GG10" i="15"/>
  <c r="GD10" i="15"/>
  <c r="GA10" i="15"/>
  <c r="FX10" i="15"/>
  <c r="FU10" i="15"/>
  <c r="FR10" i="15"/>
  <c r="FO10" i="15"/>
  <c r="FL10" i="15"/>
  <c r="FI10" i="15"/>
  <c r="FF10" i="15"/>
  <c r="FC10" i="15"/>
  <c r="EZ10" i="15"/>
  <c r="EW10" i="15"/>
  <c r="ET10" i="15"/>
  <c r="EQ10" i="15"/>
  <c r="EN10" i="15"/>
  <c r="EK10" i="15"/>
  <c r="EH10" i="15"/>
  <c r="EE10" i="15"/>
  <c r="EB10" i="15"/>
  <c r="DY10" i="15"/>
  <c r="DV10" i="15"/>
  <c r="DS10" i="15"/>
  <c r="DP10" i="15"/>
  <c r="DM10" i="15"/>
  <c r="DJ10" i="15"/>
  <c r="DG10" i="15"/>
  <c r="DD10" i="15"/>
  <c r="DA10" i="15"/>
  <c r="CX10" i="15"/>
  <c r="CU10" i="15"/>
  <c r="CR10" i="15"/>
  <c r="CO10" i="15"/>
  <c r="CL10" i="15"/>
  <c r="CI10" i="15"/>
  <c r="CF10" i="15"/>
  <c r="CC10" i="15"/>
  <c r="BZ10" i="15"/>
  <c r="BW10" i="15"/>
  <c r="BT10" i="15"/>
  <c r="BQ10" i="15"/>
  <c r="BN10" i="15"/>
  <c r="BK10" i="15"/>
  <c r="BH10" i="15"/>
  <c r="BE10" i="15"/>
  <c r="BB10" i="15"/>
  <c r="AY10" i="15"/>
  <c r="AV10" i="15"/>
  <c r="AS10" i="15"/>
  <c r="AP10" i="15"/>
  <c r="AM10" i="15"/>
  <c r="AJ10" i="15"/>
  <c r="AG10" i="15"/>
  <c r="AD10" i="15"/>
  <c r="AA10" i="15"/>
  <c r="X10" i="15"/>
  <c r="U10" i="15"/>
  <c r="R10" i="15"/>
  <c r="O10" i="15"/>
  <c r="L10" i="15"/>
  <c r="I10" i="15"/>
  <c r="F10" i="15"/>
  <c r="LL9" i="15"/>
  <c r="LI9" i="15"/>
  <c r="LF9" i="15"/>
  <c r="LC9" i="15"/>
  <c r="KZ9" i="15"/>
  <c r="KW9" i="15"/>
  <c r="KT9" i="15"/>
  <c r="KQ9" i="15"/>
  <c r="KN9" i="15"/>
  <c r="KK9" i="15"/>
  <c r="KH9" i="15"/>
  <c r="KE9" i="15"/>
  <c r="KB9" i="15"/>
  <c r="JY9" i="15"/>
  <c r="JV9" i="15"/>
  <c r="JS9" i="15"/>
  <c r="JP9" i="15"/>
  <c r="JM9" i="15"/>
  <c r="JJ9" i="15"/>
  <c r="JG9" i="15"/>
  <c r="JD9" i="15"/>
  <c r="JA9" i="15"/>
  <c r="IX9" i="15"/>
  <c r="IU9" i="15"/>
  <c r="IR9" i="15"/>
  <c r="IO9" i="15"/>
  <c r="IL9" i="15"/>
  <c r="II9" i="15"/>
  <c r="IF9" i="15"/>
  <c r="IC9" i="15"/>
  <c r="HZ9" i="15"/>
  <c r="HW9" i="15"/>
  <c r="HT9" i="15"/>
  <c r="HQ9" i="15"/>
  <c r="HN9" i="15"/>
  <c r="HK9" i="15"/>
  <c r="HH9" i="15"/>
  <c r="HE9" i="15"/>
  <c r="HB9" i="15"/>
  <c r="GY9" i="15"/>
  <c r="GV9" i="15"/>
  <c r="GS9" i="15"/>
  <c r="GP9" i="15"/>
  <c r="GM9" i="15"/>
  <c r="GJ9" i="15"/>
  <c r="GG9" i="15"/>
  <c r="GD9" i="15"/>
  <c r="GA9" i="15"/>
  <c r="FX9" i="15"/>
  <c r="FU9" i="15"/>
  <c r="FR9" i="15"/>
  <c r="FO9" i="15"/>
  <c r="FL9" i="15"/>
  <c r="FI9" i="15"/>
  <c r="FF9" i="15"/>
  <c r="FC9" i="15"/>
  <c r="EZ9" i="15"/>
  <c r="EW9" i="15"/>
  <c r="ET9" i="15"/>
  <c r="EQ9" i="15"/>
  <c r="EN9" i="15"/>
  <c r="EK9" i="15"/>
  <c r="EH9" i="15"/>
  <c r="EE9" i="15"/>
  <c r="EB9" i="15"/>
  <c r="DY9" i="15"/>
  <c r="DV9" i="15"/>
  <c r="DS9" i="15"/>
  <c r="DP9" i="15"/>
  <c r="DM9" i="15"/>
  <c r="DJ9" i="15"/>
  <c r="DG9" i="15"/>
  <c r="DD9" i="15"/>
  <c r="DA9" i="15"/>
  <c r="CX9" i="15"/>
  <c r="CU9" i="15"/>
  <c r="CR9" i="15"/>
  <c r="CO9" i="15"/>
  <c r="CL9" i="15"/>
  <c r="CI9" i="15"/>
  <c r="CF9" i="15"/>
  <c r="CC9" i="15"/>
  <c r="BZ9" i="15"/>
  <c r="BW9" i="15"/>
  <c r="BT9" i="15"/>
  <c r="BQ9" i="15"/>
  <c r="BN9" i="15"/>
  <c r="BK9" i="15"/>
  <c r="BH9" i="15"/>
  <c r="BE9" i="15"/>
  <c r="BB9" i="15"/>
  <c r="AY9" i="15"/>
  <c r="AV9" i="15"/>
  <c r="AS9" i="15"/>
  <c r="AP9" i="15"/>
  <c r="AM9" i="15"/>
  <c r="AJ9" i="15"/>
  <c r="AG9" i="15"/>
  <c r="AD9" i="15"/>
  <c r="AA9" i="15"/>
  <c r="X9" i="15"/>
  <c r="U9" i="15"/>
  <c r="R9" i="15"/>
  <c r="O9" i="15"/>
  <c r="L9" i="15"/>
  <c r="I9" i="15"/>
  <c r="F9" i="15"/>
  <c r="LL8" i="15"/>
  <c r="LI8" i="15"/>
  <c r="LF8" i="15"/>
  <c r="LC8" i="15"/>
  <c r="KZ8" i="15"/>
  <c r="KW8" i="15"/>
  <c r="KT8" i="15"/>
  <c r="KQ8" i="15"/>
  <c r="KN8" i="15"/>
  <c r="KK8" i="15"/>
  <c r="KH8" i="15"/>
  <c r="KE8" i="15"/>
  <c r="KB8" i="15"/>
  <c r="JY8" i="15"/>
  <c r="JV8" i="15"/>
  <c r="JS8" i="15"/>
  <c r="JP8" i="15"/>
  <c r="JM8" i="15"/>
  <c r="JJ8" i="15"/>
  <c r="JG8" i="15"/>
  <c r="JD8" i="15"/>
  <c r="JA8" i="15"/>
  <c r="IX8" i="15"/>
  <c r="IU8" i="15"/>
  <c r="IR8" i="15"/>
  <c r="IO8" i="15"/>
  <c r="IL8" i="15"/>
  <c r="II8" i="15"/>
  <c r="IF8" i="15"/>
  <c r="IC8" i="15"/>
  <c r="HZ8" i="15"/>
  <c r="HW8" i="15"/>
  <c r="HT8" i="15"/>
  <c r="HQ8" i="15"/>
  <c r="HN8" i="15"/>
  <c r="HK8" i="15"/>
  <c r="HH8" i="15"/>
  <c r="HE8" i="15"/>
  <c r="HB8" i="15"/>
  <c r="GY8" i="15"/>
  <c r="GV8" i="15"/>
  <c r="GS8" i="15"/>
  <c r="GP8" i="15"/>
  <c r="GM8" i="15"/>
  <c r="GJ8" i="15"/>
  <c r="GG8" i="15"/>
  <c r="GD8" i="15"/>
  <c r="GA8" i="15"/>
  <c r="FX8" i="15"/>
  <c r="FU8" i="15"/>
  <c r="FR8" i="15"/>
  <c r="FO8" i="15"/>
  <c r="FL8" i="15"/>
  <c r="FI8" i="15"/>
  <c r="FF8" i="15"/>
  <c r="FC8" i="15"/>
  <c r="EZ8" i="15"/>
  <c r="EW8" i="15"/>
  <c r="ET8" i="15"/>
  <c r="EQ8" i="15"/>
  <c r="EN8" i="15"/>
  <c r="EK8" i="15"/>
  <c r="EH8" i="15"/>
  <c r="EE8" i="15"/>
  <c r="EB8" i="15"/>
  <c r="DY8" i="15"/>
  <c r="DV8" i="15"/>
  <c r="DS8" i="15"/>
  <c r="DP8" i="15"/>
  <c r="DM8" i="15"/>
  <c r="DJ8" i="15"/>
  <c r="DG8" i="15"/>
  <c r="DD8" i="15"/>
  <c r="DA8" i="15"/>
  <c r="CX8" i="15"/>
  <c r="CU8" i="15"/>
  <c r="CR8" i="15"/>
  <c r="CO8" i="15"/>
  <c r="CL8" i="15"/>
  <c r="CI8" i="15"/>
  <c r="CF8" i="15"/>
  <c r="CC8" i="15"/>
  <c r="BZ8" i="15"/>
  <c r="BW8" i="15"/>
  <c r="BT8" i="15"/>
  <c r="BQ8" i="15"/>
  <c r="BN8" i="15"/>
  <c r="BK8" i="15"/>
  <c r="BH8" i="15"/>
  <c r="BE8" i="15"/>
  <c r="BB8" i="15"/>
  <c r="AY8" i="15"/>
  <c r="AV8" i="15"/>
  <c r="AS8" i="15"/>
  <c r="AP8" i="15"/>
  <c r="AM8" i="15"/>
  <c r="AJ8" i="15"/>
  <c r="AG8" i="15"/>
  <c r="AD8" i="15"/>
  <c r="AA8" i="15"/>
  <c r="X8" i="15"/>
  <c r="U8" i="15"/>
  <c r="R8" i="15"/>
  <c r="O8" i="15"/>
  <c r="L8" i="15"/>
  <c r="I8" i="15"/>
  <c r="F8" i="15"/>
  <c r="LL7" i="15"/>
  <c r="LI7" i="15"/>
  <c r="LF7" i="15"/>
  <c r="LC7" i="15"/>
  <c r="KZ7" i="15"/>
  <c r="KW7" i="15"/>
  <c r="KT7" i="15"/>
  <c r="KQ7" i="15"/>
  <c r="KN7" i="15"/>
  <c r="KK7" i="15"/>
  <c r="KH7" i="15"/>
  <c r="KE7" i="15"/>
  <c r="KB7" i="15"/>
  <c r="JY7" i="15"/>
  <c r="JV7" i="15"/>
  <c r="JS7" i="15"/>
  <c r="JP7" i="15"/>
  <c r="JM7" i="15"/>
  <c r="JJ7" i="15"/>
  <c r="JG7" i="15"/>
  <c r="JD7" i="15"/>
  <c r="JA7" i="15"/>
  <c r="IX7" i="15"/>
  <c r="IU7" i="15"/>
  <c r="IR7" i="15"/>
  <c r="IO7" i="15"/>
  <c r="IL7" i="15"/>
  <c r="II7" i="15"/>
  <c r="IF7" i="15"/>
  <c r="IC7" i="15"/>
  <c r="HZ7" i="15"/>
  <c r="HW7" i="15"/>
  <c r="HT7" i="15"/>
  <c r="HQ7" i="15"/>
  <c r="HN7" i="15"/>
  <c r="HK7" i="15"/>
  <c r="HH7" i="15"/>
  <c r="HE7" i="15"/>
  <c r="HB7" i="15"/>
  <c r="GY7" i="15"/>
  <c r="GV7" i="15"/>
  <c r="GS7" i="15"/>
  <c r="GP7" i="15"/>
  <c r="GM7" i="15"/>
  <c r="GJ7" i="15"/>
  <c r="GG7" i="15"/>
  <c r="GD7" i="15"/>
  <c r="GA7" i="15"/>
  <c r="FX7" i="15"/>
  <c r="FU7" i="15"/>
  <c r="FR7" i="15"/>
  <c r="FO7" i="15"/>
  <c r="FL7" i="15"/>
  <c r="FI7" i="15"/>
  <c r="FF7" i="15"/>
  <c r="FC7" i="15"/>
  <c r="EZ7" i="15"/>
  <c r="EW7" i="15"/>
  <c r="ET7" i="15"/>
  <c r="EQ7" i="15"/>
  <c r="EN7" i="15"/>
  <c r="EK7" i="15"/>
  <c r="EH7" i="15"/>
  <c r="EE7" i="15"/>
  <c r="EB7" i="15"/>
  <c r="DY7" i="15"/>
  <c r="DV7" i="15"/>
  <c r="DS7" i="15"/>
  <c r="DP7" i="15"/>
  <c r="DM7" i="15"/>
  <c r="DJ7" i="15"/>
  <c r="DG7" i="15"/>
  <c r="DD7" i="15"/>
  <c r="DA7" i="15"/>
  <c r="CX7" i="15"/>
  <c r="CU7" i="15"/>
  <c r="CR7" i="15"/>
  <c r="CO7" i="15"/>
  <c r="CL7" i="15"/>
  <c r="CI7" i="15"/>
  <c r="CF7" i="15"/>
  <c r="CC7" i="15"/>
  <c r="BZ7" i="15"/>
  <c r="BW7" i="15"/>
  <c r="BT7" i="15"/>
  <c r="BQ7" i="15"/>
  <c r="BN7" i="15"/>
  <c r="BK7" i="15"/>
  <c r="BH7" i="15"/>
  <c r="BE7" i="15"/>
  <c r="BB7" i="15"/>
  <c r="AY7" i="15"/>
  <c r="AV7" i="15"/>
  <c r="AS7" i="15"/>
  <c r="AP7" i="15"/>
  <c r="AM7" i="15"/>
  <c r="AJ7" i="15"/>
  <c r="AG7" i="15"/>
  <c r="AD7" i="15"/>
  <c r="AA7" i="15"/>
  <c r="X7" i="15"/>
  <c r="U7" i="15"/>
  <c r="R7" i="15"/>
  <c r="O7" i="15"/>
  <c r="L7" i="15"/>
  <c r="I7" i="15"/>
  <c r="F7" i="15"/>
  <c r="LL6" i="15"/>
  <c r="LI6" i="15"/>
  <c r="LF6" i="15"/>
  <c r="LC6" i="15"/>
  <c r="KZ6" i="15"/>
  <c r="KW6" i="15"/>
  <c r="KT6" i="15"/>
  <c r="KQ6" i="15"/>
  <c r="KN6" i="15"/>
  <c r="KK6" i="15"/>
  <c r="KH6" i="15"/>
  <c r="KE6" i="15"/>
  <c r="KB6" i="15"/>
  <c r="JY6" i="15"/>
  <c r="JV6" i="15"/>
  <c r="JS6" i="15"/>
  <c r="JP6" i="15"/>
  <c r="JM6" i="15"/>
  <c r="JJ6" i="15"/>
  <c r="JG6" i="15"/>
  <c r="JD6" i="15"/>
  <c r="JA6" i="15"/>
  <c r="IX6" i="15"/>
  <c r="IU6" i="15"/>
  <c r="IR6" i="15"/>
  <c r="IO6" i="15"/>
  <c r="IL6" i="15"/>
  <c r="II6" i="15"/>
  <c r="IF6" i="15"/>
  <c r="IC6" i="15"/>
  <c r="HZ6" i="15"/>
  <c r="HW6" i="15"/>
  <c r="HT6" i="15"/>
  <c r="HQ6" i="15"/>
  <c r="HN6" i="15"/>
  <c r="HK6" i="15"/>
  <c r="HH6" i="15"/>
  <c r="HE6" i="15"/>
  <c r="HB6" i="15"/>
  <c r="GY6" i="15"/>
  <c r="GV6" i="15"/>
  <c r="GS6" i="15"/>
  <c r="GP6" i="15"/>
  <c r="GM6" i="15"/>
  <c r="GJ6" i="15"/>
  <c r="GG6" i="15"/>
  <c r="GD6" i="15"/>
  <c r="GA6" i="15"/>
  <c r="FX6" i="15"/>
  <c r="FU6" i="15"/>
  <c r="FR6" i="15"/>
  <c r="FO6" i="15"/>
  <c r="FL6" i="15"/>
  <c r="FI6" i="15"/>
  <c r="FF6" i="15"/>
  <c r="FC6" i="15"/>
  <c r="EZ6" i="15"/>
  <c r="EW6" i="15"/>
  <c r="ET6" i="15"/>
  <c r="EQ6" i="15"/>
  <c r="EN6" i="15"/>
  <c r="EK6" i="15"/>
  <c r="EH6" i="15"/>
  <c r="EE6" i="15"/>
  <c r="EB6" i="15"/>
  <c r="DY6" i="15"/>
  <c r="DV6" i="15"/>
  <c r="DS6" i="15"/>
  <c r="DP6" i="15"/>
  <c r="DM6" i="15"/>
  <c r="DJ6" i="15"/>
  <c r="DG6" i="15"/>
  <c r="DD6" i="15"/>
  <c r="DA6" i="15"/>
  <c r="CX6" i="15"/>
  <c r="CU6" i="15"/>
  <c r="CR6" i="15"/>
  <c r="CO6" i="15"/>
  <c r="CL6" i="15"/>
  <c r="CI6" i="15"/>
  <c r="CF6" i="15"/>
  <c r="CC6" i="15"/>
  <c r="BZ6" i="15"/>
  <c r="BW6" i="15"/>
  <c r="BT6" i="15"/>
  <c r="BQ6" i="15"/>
  <c r="BN6" i="15"/>
  <c r="BK6" i="15"/>
  <c r="BH6" i="15"/>
  <c r="BE6" i="15"/>
  <c r="BB6" i="15"/>
  <c r="AY6" i="15"/>
  <c r="AV6" i="15"/>
  <c r="AS6" i="15"/>
  <c r="AP6" i="15"/>
  <c r="AM6" i="15"/>
  <c r="AJ6" i="15"/>
  <c r="AG6" i="15"/>
  <c r="AD6" i="15"/>
  <c r="AA6" i="15"/>
  <c r="X6" i="15"/>
  <c r="U6" i="15"/>
  <c r="R6" i="15"/>
  <c r="O6" i="15"/>
  <c r="L6" i="15"/>
  <c r="I6" i="15"/>
  <c r="F6" i="15"/>
  <c r="LL5" i="15"/>
  <c r="LI5" i="15"/>
  <c r="LF5" i="15"/>
  <c r="LC5" i="15"/>
  <c r="KZ5" i="15"/>
  <c r="KW5" i="15"/>
  <c r="KT5" i="15"/>
  <c r="KQ5" i="15"/>
  <c r="KN5" i="15"/>
  <c r="KK5" i="15"/>
  <c r="KH5" i="15"/>
  <c r="KE5" i="15"/>
  <c r="KB5" i="15"/>
  <c r="JY5" i="15"/>
  <c r="JV5" i="15"/>
  <c r="JS5" i="15"/>
  <c r="JP5" i="15"/>
  <c r="JM5" i="15"/>
  <c r="JJ5" i="15"/>
  <c r="JG5" i="15"/>
  <c r="JD5" i="15"/>
  <c r="JA5" i="15"/>
  <c r="IX5" i="15"/>
  <c r="IU5" i="15"/>
  <c r="IR5" i="15"/>
  <c r="IO5" i="15"/>
  <c r="IL5" i="15"/>
  <c r="II5" i="15"/>
  <c r="IF5" i="15"/>
  <c r="IC5" i="15"/>
  <c r="HZ5" i="15"/>
  <c r="HW5" i="15"/>
  <c r="HT5" i="15"/>
  <c r="HQ5" i="15"/>
  <c r="HN5" i="15"/>
  <c r="HK5" i="15"/>
  <c r="HH5" i="15"/>
  <c r="HE5" i="15"/>
  <c r="HB5" i="15"/>
  <c r="GY5" i="15"/>
  <c r="GV5" i="15"/>
  <c r="GS5" i="15"/>
  <c r="GP5" i="15"/>
  <c r="GM5" i="15"/>
  <c r="GJ5" i="15"/>
  <c r="GG5" i="15"/>
  <c r="GD5" i="15"/>
  <c r="GA5" i="15"/>
  <c r="FX5" i="15"/>
  <c r="FU5" i="15"/>
  <c r="FR5" i="15"/>
  <c r="FO5" i="15"/>
  <c r="FL5" i="15"/>
  <c r="FI5" i="15"/>
  <c r="FF5" i="15"/>
  <c r="FC5" i="15"/>
  <c r="EZ5" i="15"/>
  <c r="EW5" i="15"/>
  <c r="ET5" i="15"/>
  <c r="EQ5" i="15"/>
  <c r="EN5" i="15"/>
  <c r="EK5" i="15"/>
  <c r="EH5" i="15"/>
  <c r="EE5" i="15"/>
  <c r="EB5" i="15"/>
  <c r="DY5" i="15"/>
  <c r="DV5" i="15"/>
  <c r="DS5" i="15"/>
  <c r="DP5" i="15"/>
  <c r="DM5" i="15"/>
  <c r="DJ5" i="15"/>
  <c r="DG5" i="15"/>
  <c r="DD5" i="15"/>
  <c r="DA5" i="15"/>
  <c r="CX5" i="15"/>
  <c r="CU5" i="15"/>
  <c r="CR5" i="15"/>
  <c r="CO5" i="15"/>
  <c r="CL5" i="15"/>
  <c r="CI5" i="15"/>
  <c r="CF5" i="15"/>
  <c r="CC5" i="15"/>
  <c r="BZ5" i="15"/>
  <c r="BW5" i="15"/>
  <c r="BT5" i="15"/>
  <c r="BQ5" i="15"/>
  <c r="BN5" i="15"/>
  <c r="BK5" i="15"/>
  <c r="BH5" i="15"/>
  <c r="BE5" i="15"/>
  <c r="BB5" i="15"/>
  <c r="AY5" i="15"/>
  <c r="AV5" i="15"/>
  <c r="AS5" i="15"/>
  <c r="AP5" i="15"/>
  <c r="AM5" i="15"/>
  <c r="AJ5" i="15"/>
  <c r="AG5" i="15"/>
  <c r="AD5" i="15"/>
  <c r="AA5" i="15"/>
  <c r="X5" i="15"/>
  <c r="U5" i="15"/>
  <c r="R5" i="15"/>
  <c r="O5" i="15"/>
  <c r="L5" i="15"/>
  <c r="I5" i="15"/>
  <c r="F5" i="15"/>
  <c r="LL4" i="15"/>
  <c r="LI4" i="15"/>
  <c r="LF4" i="15"/>
  <c r="LC4" i="15"/>
  <c r="KZ4" i="15"/>
  <c r="KW4" i="15"/>
  <c r="KT4" i="15"/>
  <c r="KQ4" i="15"/>
  <c r="KN4" i="15"/>
  <c r="KK4" i="15"/>
  <c r="KH4" i="15"/>
  <c r="KE4" i="15"/>
  <c r="KB4" i="15"/>
  <c r="JY4" i="15"/>
  <c r="JV4" i="15"/>
  <c r="JS4" i="15"/>
  <c r="JP4" i="15"/>
  <c r="JM4" i="15"/>
  <c r="JJ4" i="15"/>
  <c r="JG4" i="15"/>
  <c r="JD4" i="15"/>
  <c r="JA4" i="15"/>
  <c r="IX4" i="15"/>
  <c r="IU4" i="15"/>
  <c r="IR4" i="15"/>
  <c r="IO4" i="15"/>
  <c r="IL4" i="15"/>
  <c r="II4" i="15"/>
  <c r="IF4" i="15"/>
  <c r="IC4" i="15"/>
  <c r="HZ4" i="15"/>
  <c r="HW4" i="15"/>
  <c r="HT4" i="15"/>
  <c r="HQ4" i="15"/>
  <c r="HN4" i="15"/>
  <c r="HK4" i="15"/>
  <c r="HH4" i="15"/>
  <c r="HE4" i="15"/>
  <c r="HB4" i="15"/>
  <c r="GY4" i="15"/>
  <c r="GV4" i="15"/>
  <c r="GS4" i="15"/>
  <c r="GP4" i="15"/>
  <c r="GM4" i="15"/>
  <c r="GJ4" i="15"/>
  <c r="GG4" i="15"/>
  <c r="GD4" i="15"/>
  <c r="GA4" i="15"/>
  <c r="FX4" i="15"/>
  <c r="FU4" i="15"/>
  <c r="FR4" i="15"/>
  <c r="FO4" i="15"/>
  <c r="FL4" i="15"/>
  <c r="FI4" i="15"/>
  <c r="FF4" i="15"/>
  <c r="FC4" i="15"/>
  <c r="EZ4" i="15"/>
  <c r="EW4" i="15"/>
  <c r="ET4" i="15"/>
  <c r="EQ4" i="15"/>
  <c r="EN4" i="15"/>
  <c r="EK4" i="15"/>
  <c r="EH4" i="15"/>
  <c r="EE4" i="15"/>
  <c r="EB4" i="15"/>
  <c r="DY4" i="15"/>
  <c r="DV4" i="15"/>
  <c r="DS4" i="15"/>
  <c r="DP4" i="15"/>
  <c r="DM4" i="15"/>
  <c r="DJ4" i="15"/>
  <c r="DG4" i="15"/>
  <c r="DD4" i="15"/>
  <c r="DA4" i="15"/>
  <c r="CX4" i="15"/>
  <c r="CU4" i="15"/>
  <c r="CR4" i="15"/>
  <c r="CO4" i="15"/>
  <c r="CL4" i="15"/>
  <c r="CI4" i="15"/>
  <c r="CF4" i="15"/>
  <c r="CC4" i="15"/>
  <c r="BZ4" i="15"/>
  <c r="BW4" i="15"/>
  <c r="BT4" i="15"/>
  <c r="BQ4" i="15"/>
  <c r="BN4" i="15"/>
  <c r="BK4" i="15"/>
  <c r="BH4" i="15"/>
  <c r="BE4" i="15"/>
  <c r="BB4" i="15"/>
  <c r="AY4" i="15"/>
  <c r="AV4" i="15"/>
  <c r="AS4" i="15"/>
  <c r="AP4" i="15"/>
  <c r="AM4" i="15"/>
  <c r="AJ4" i="15"/>
  <c r="AG4" i="15"/>
  <c r="AD4" i="15"/>
  <c r="AA4" i="15"/>
  <c r="X4" i="15"/>
  <c r="U4" i="15"/>
  <c r="R4" i="15"/>
  <c r="O4" i="15"/>
  <c r="L4" i="15"/>
  <c r="LM4" i="15" s="1"/>
  <c r="I4" i="15"/>
  <c r="F4" i="15"/>
  <c r="NI77" i="12" l="1"/>
  <c r="NH77" i="12"/>
  <c r="NJ77" i="12" s="1"/>
  <c r="NF77" i="12"/>
  <c r="NE77" i="12"/>
  <c r="NG77" i="12" s="1"/>
  <c r="ND77" i="12"/>
  <c r="NA77" i="12"/>
  <c r="MX77" i="12"/>
  <c r="MU77" i="12"/>
  <c r="MR77" i="12"/>
  <c r="MO77" i="12"/>
  <c r="ML77" i="12"/>
  <c r="MI77" i="12"/>
  <c r="MF77" i="12"/>
  <c r="MC77" i="12"/>
  <c r="LZ77" i="12"/>
  <c r="LW77" i="12"/>
  <c r="LT77" i="12"/>
  <c r="LQ77" i="12"/>
  <c r="LN77" i="12"/>
  <c r="LK77" i="12"/>
  <c r="LH77" i="12"/>
  <c r="LE77" i="12"/>
  <c r="LB77" i="12"/>
  <c r="KY77" i="12"/>
  <c r="KV77" i="12"/>
  <c r="KS77" i="12"/>
  <c r="KP77" i="12"/>
  <c r="KM77" i="12"/>
  <c r="KJ77" i="12"/>
  <c r="KG77" i="12"/>
  <c r="KD77" i="12"/>
  <c r="KA77" i="12"/>
  <c r="JX77" i="12"/>
  <c r="JU77" i="12"/>
  <c r="JR77" i="12"/>
  <c r="JO77" i="12"/>
  <c r="JL77" i="12"/>
  <c r="JI77" i="12"/>
  <c r="JF77" i="12"/>
  <c r="JC77" i="12"/>
  <c r="IZ77" i="12"/>
  <c r="IW77" i="12"/>
  <c r="IT77" i="12"/>
  <c r="IQ77" i="12"/>
  <c r="IN77" i="12"/>
  <c r="IK77" i="12"/>
  <c r="IH77" i="12"/>
  <c r="IE77" i="12"/>
  <c r="IB77" i="12"/>
  <c r="HY77" i="12"/>
  <c r="HV77" i="12"/>
  <c r="HS77" i="12"/>
  <c r="HP77" i="12"/>
  <c r="HM77" i="12"/>
  <c r="HJ77" i="12"/>
  <c r="HG77" i="12"/>
  <c r="HD77" i="12"/>
  <c r="HA77" i="12"/>
  <c r="GX77" i="12"/>
  <c r="GU77" i="12"/>
  <c r="GR77" i="12"/>
  <c r="GO77" i="12"/>
  <c r="GL77" i="12"/>
  <c r="GI77" i="12"/>
  <c r="GF77" i="12"/>
  <c r="GC77" i="12"/>
  <c r="FZ77" i="12"/>
  <c r="FW77" i="12"/>
  <c r="FT77" i="12"/>
  <c r="FQ77" i="12"/>
  <c r="FN77" i="12"/>
  <c r="FK77" i="12"/>
  <c r="FH77" i="12"/>
  <c r="FE77" i="12"/>
  <c r="FB77" i="12"/>
  <c r="EY77" i="12"/>
  <c r="EV77" i="12"/>
  <c r="ES77" i="12"/>
  <c r="EP77" i="12"/>
  <c r="EM77" i="12"/>
  <c r="EJ77" i="12"/>
  <c r="EG77" i="12"/>
  <c r="ED77" i="12"/>
  <c r="EA77" i="12"/>
  <c r="DX77" i="12"/>
  <c r="DU77" i="12"/>
  <c r="DR77" i="12"/>
  <c r="DO77" i="12"/>
  <c r="DL77" i="12"/>
  <c r="DI77" i="12"/>
  <c r="DF77" i="12"/>
  <c r="DC77" i="12"/>
  <c r="CZ77" i="12"/>
  <c r="CW77" i="12"/>
  <c r="CT77" i="12"/>
  <c r="CQ77" i="12"/>
  <c r="CN77" i="12"/>
  <c r="CK77" i="12"/>
  <c r="CH77" i="12"/>
  <c r="CE77" i="12"/>
  <c r="CB77" i="12"/>
  <c r="BY77" i="12"/>
  <c r="BV77" i="12"/>
  <c r="BS77" i="12"/>
  <c r="BP77" i="12"/>
  <c r="BM77" i="12"/>
  <c r="BJ77" i="12"/>
  <c r="BG77" i="12"/>
  <c r="BD77" i="12"/>
  <c r="BA77" i="12"/>
  <c r="AX77" i="12"/>
  <c r="AU77" i="12"/>
  <c r="AR77" i="12"/>
  <c r="AO77" i="12"/>
  <c r="AL77" i="12"/>
  <c r="AI77" i="12"/>
  <c r="AF77" i="12"/>
  <c r="AC77" i="12"/>
  <c r="Z77" i="12"/>
  <c r="W77" i="12"/>
  <c r="T77" i="12"/>
  <c r="Q77" i="12"/>
  <c r="N77" i="12"/>
  <c r="K77" i="12"/>
  <c r="H77" i="12"/>
  <c r="E77" i="12"/>
  <c r="NI76" i="12"/>
  <c r="NH76" i="12"/>
  <c r="NJ76" i="12" s="1"/>
  <c r="NG76" i="12"/>
  <c r="NF76" i="12"/>
  <c r="NE76" i="12"/>
  <c r="ND76" i="12"/>
  <c r="NA76" i="12"/>
  <c r="MX76" i="12"/>
  <c r="MU76" i="12"/>
  <c r="MR76" i="12"/>
  <c r="MO76" i="12"/>
  <c r="ML76" i="12"/>
  <c r="MI76" i="12"/>
  <c r="MF76" i="12"/>
  <c r="MC76" i="12"/>
  <c r="LZ76" i="12"/>
  <c r="LW76" i="12"/>
  <c r="LT76" i="12"/>
  <c r="LQ76" i="12"/>
  <c r="LN76" i="12"/>
  <c r="LK76" i="12"/>
  <c r="LH76" i="12"/>
  <c r="LE76" i="12"/>
  <c r="LB76" i="12"/>
  <c r="KY76" i="12"/>
  <c r="KV76" i="12"/>
  <c r="KS76" i="12"/>
  <c r="KP76" i="12"/>
  <c r="KM76" i="12"/>
  <c r="KJ76" i="12"/>
  <c r="KG76" i="12"/>
  <c r="KD76" i="12"/>
  <c r="KA76" i="12"/>
  <c r="JX76" i="12"/>
  <c r="JU76" i="12"/>
  <c r="JR76" i="12"/>
  <c r="JO76" i="12"/>
  <c r="JL76" i="12"/>
  <c r="JI76" i="12"/>
  <c r="JF76" i="12"/>
  <c r="JC76" i="12"/>
  <c r="IZ76" i="12"/>
  <c r="IW76" i="12"/>
  <c r="IT76" i="12"/>
  <c r="IQ76" i="12"/>
  <c r="IN76" i="12"/>
  <c r="IK76" i="12"/>
  <c r="IH76" i="12"/>
  <c r="IE76" i="12"/>
  <c r="IB76" i="12"/>
  <c r="HY76" i="12"/>
  <c r="HV76" i="12"/>
  <c r="HS76" i="12"/>
  <c r="HP76" i="12"/>
  <c r="HM76" i="12"/>
  <c r="HJ76" i="12"/>
  <c r="HG76" i="12"/>
  <c r="HD76" i="12"/>
  <c r="HA76" i="12"/>
  <c r="GX76" i="12"/>
  <c r="GU76" i="12"/>
  <c r="GR76" i="12"/>
  <c r="GO76" i="12"/>
  <c r="GL76" i="12"/>
  <c r="GI76" i="12"/>
  <c r="GF76" i="12"/>
  <c r="GC76" i="12"/>
  <c r="FZ76" i="12"/>
  <c r="FW76" i="12"/>
  <c r="FT76" i="12"/>
  <c r="FQ76" i="12"/>
  <c r="FN76" i="12"/>
  <c r="FK76" i="12"/>
  <c r="FH76" i="12"/>
  <c r="FE76" i="12"/>
  <c r="FB76" i="12"/>
  <c r="EY76" i="12"/>
  <c r="EV76" i="12"/>
  <c r="ES76" i="12"/>
  <c r="EP76" i="12"/>
  <c r="EM76" i="12"/>
  <c r="EJ76" i="12"/>
  <c r="EG76" i="12"/>
  <c r="ED76" i="12"/>
  <c r="EA76" i="12"/>
  <c r="DX76" i="12"/>
  <c r="DU76" i="12"/>
  <c r="DR76" i="12"/>
  <c r="DO76" i="12"/>
  <c r="DL76" i="12"/>
  <c r="DI76" i="12"/>
  <c r="DF76" i="12"/>
  <c r="DC76" i="12"/>
  <c r="CZ76" i="12"/>
  <c r="CW76" i="12"/>
  <c r="CT76" i="12"/>
  <c r="CQ76" i="12"/>
  <c r="CN76" i="12"/>
  <c r="CK76" i="12"/>
  <c r="CH76" i="12"/>
  <c r="CE76" i="12"/>
  <c r="CB76" i="12"/>
  <c r="BY76" i="12"/>
  <c r="BV76" i="12"/>
  <c r="BS76" i="12"/>
  <c r="BP76" i="12"/>
  <c r="BM76" i="12"/>
  <c r="BJ76" i="12"/>
  <c r="BG76" i="12"/>
  <c r="BD76" i="12"/>
  <c r="BA76" i="12"/>
  <c r="AX76" i="12"/>
  <c r="AU76" i="12"/>
  <c r="AR76" i="12"/>
  <c r="AO76" i="12"/>
  <c r="AL76" i="12"/>
  <c r="AI76" i="12"/>
  <c r="AF76" i="12"/>
  <c r="AC76" i="12"/>
  <c r="Z76" i="12"/>
  <c r="W76" i="12"/>
  <c r="T76" i="12"/>
  <c r="Q76" i="12"/>
  <c r="N76" i="12"/>
  <c r="K76" i="12"/>
  <c r="H76" i="12"/>
  <c r="E76" i="12"/>
  <c r="NI75" i="12"/>
  <c r="NH75" i="12"/>
  <c r="NJ75" i="12" s="1"/>
  <c r="NF75" i="12"/>
  <c r="NE75" i="12"/>
  <c r="NG75" i="12" s="1"/>
  <c r="ND75" i="12"/>
  <c r="NA75" i="12"/>
  <c r="MX75" i="12"/>
  <c r="MU75" i="12"/>
  <c r="MR75" i="12"/>
  <c r="MO75" i="12"/>
  <c r="ML75" i="12"/>
  <c r="MI75" i="12"/>
  <c r="MF75" i="12"/>
  <c r="MC75" i="12"/>
  <c r="LZ75" i="12"/>
  <c r="LW75" i="12"/>
  <c r="LT75" i="12"/>
  <c r="LQ75" i="12"/>
  <c r="LN75" i="12"/>
  <c r="LK75" i="12"/>
  <c r="LH75" i="12"/>
  <c r="LE75" i="12"/>
  <c r="LB75" i="12"/>
  <c r="KY75" i="12"/>
  <c r="KV75" i="12"/>
  <c r="KS75" i="12"/>
  <c r="KP75" i="12"/>
  <c r="KM75" i="12"/>
  <c r="KJ75" i="12"/>
  <c r="KG75" i="12"/>
  <c r="KD75" i="12"/>
  <c r="KA75" i="12"/>
  <c r="JX75" i="12"/>
  <c r="JU75" i="12"/>
  <c r="JR75" i="12"/>
  <c r="JO75" i="12"/>
  <c r="JL75" i="12"/>
  <c r="JI75" i="12"/>
  <c r="JF75" i="12"/>
  <c r="JC75" i="12"/>
  <c r="IZ75" i="12"/>
  <c r="IW75" i="12"/>
  <c r="IT75" i="12"/>
  <c r="IQ75" i="12"/>
  <c r="IN75" i="12"/>
  <c r="IK75" i="12"/>
  <c r="IH75" i="12"/>
  <c r="IE75" i="12"/>
  <c r="IB75" i="12"/>
  <c r="HY75" i="12"/>
  <c r="HV75" i="12"/>
  <c r="HS75" i="12"/>
  <c r="HP75" i="12"/>
  <c r="HM75" i="12"/>
  <c r="HJ75" i="12"/>
  <c r="HG75" i="12"/>
  <c r="HD75" i="12"/>
  <c r="HA75" i="12"/>
  <c r="GX75" i="12"/>
  <c r="GU75" i="12"/>
  <c r="GR75" i="12"/>
  <c r="GO75" i="12"/>
  <c r="GL75" i="12"/>
  <c r="GI75" i="12"/>
  <c r="GF75" i="12"/>
  <c r="GC75" i="12"/>
  <c r="FZ75" i="12"/>
  <c r="FW75" i="12"/>
  <c r="FT75" i="12"/>
  <c r="FQ75" i="12"/>
  <c r="FN75" i="12"/>
  <c r="FK75" i="12"/>
  <c r="FH75" i="12"/>
  <c r="FE75" i="12"/>
  <c r="FB75" i="12"/>
  <c r="EY75" i="12"/>
  <c r="EV75" i="12"/>
  <c r="ES75" i="12"/>
  <c r="EP75" i="12"/>
  <c r="EM75" i="12"/>
  <c r="EJ75" i="12"/>
  <c r="EG75" i="12"/>
  <c r="ED75" i="12"/>
  <c r="EA75" i="12"/>
  <c r="DX75" i="12"/>
  <c r="DU75" i="12"/>
  <c r="DR75" i="12"/>
  <c r="DO75" i="12"/>
  <c r="DL75" i="12"/>
  <c r="DI75" i="12"/>
  <c r="DF75" i="12"/>
  <c r="DC75" i="12"/>
  <c r="CZ75" i="12"/>
  <c r="CW75" i="12"/>
  <c r="CT75" i="12"/>
  <c r="CQ75" i="12"/>
  <c r="CN75" i="12"/>
  <c r="CK75" i="12"/>
  <c r="CH75" i="12"/>
  <c r="CE75" i="12"/>
  <c r="CB75" i="12"/>
  <c r="BY75" i="12"/>
  <c r="BV75" i="12"/>
  <c r="BS75" i="12"/>
  <c r="BP75" i="12"/>
  <c r="BM75" i="12"/>
  <c r="BJ75" i="12"/>
  <c r="BG75" i="12"/>
  <c r="BD75" i="12"/>
  <c r="BA75" i="12"/>
  <c r="AX75" i="12"/>
  <c r="AU75" i="12"/>
  <c r="AR75" i="12"/>
  <c r="AO75" i="12"/>
  <c r="AL75" i="12"/>
  <c r="AI75" i="12"/>
  <c r="AF75" i="12"/>
  <c r="AC75" i="12"/>
  <c r="Z75" i="12"/>
  <c r="W75" i="12"/>
  <c r="T75" i="12"/>
  <c r="Q75" i="12"/>
  <c r="N75" i="12"/>
  <c r="K75" i="12"/>
  <c r="H75" i="12"/>
  <c r="E75" i="12"/>
  <c r="NJ74" i="12"/>
  <c r="NI74" i="12"/>
  <c r="NH74" i="12"/>
  <c r="NF74" i="12"/>
  <c r="NE74" i="12"/>
  <c r="NG74" i="12" s="1"/>
  <c r="ND74" i="12"/>
  <c r="NA74" i="12"/>
  <c r="MX74" i="12"/>
  <c r="MU74" i="12"/>
  <c r="MR74" i="12"/>
  <c r="MO74" i="12"/>
  <c r="ML74" i="12"/>
  <c r="MI74" i="12"/>
  <c r="MF74" i="12"/>
  <c r="MC74" i="12"/>
  <c r="LZ74" i="12"/>
  <c r="LW74" i="12"/>
  <c r="LT74" i="12"/>
  <c r="LQ74" i="12"/>
  <c r="LN74" i="12"/>
  <c r="LK74" i="12"/>
  <c r="LH74" i="12"/>
  <c r="LE74" i="12"/>
  <c r="LB74" i="12"/>
  <c r="KY74" i="12"/>
  <c r="KV74" i="12"/>
  <c r="KS74" i="12"/>
  <c r="KP74" i="12"/>
  <c r="KM74" i="12"/>
  <c r="KJ74" i="12"/>
  <c r="KG74" i="12"/>
  <c r="KD74" i="12"/>
  <c r="KA74" i="12"/>
  <c r="JX74" i="12"/>
  <c r="JU74" i="12"/>
  <c r="JR74" i="12"/>
  <c r="JO74" i="12"/>
  <c r="JL74" i="12"/>
  <c r="JI74" i="12"/>
  <c r="JF74" i="12"/>
  <c r="JC74" i="12"/>
  <c r="IZ74" i="12"/>
  <c r="IW74" i="12"/>
  <c r="IT74" i="12"/>
  <c r="IQ74" i="12"/>
  <c r="IN74" i="12"/>
  <c r="IK74" i="12"/>
  <c r="IH74" i="12"/>
  <c r="IE74" i="12"/>
  <c r="IB74" i="12"/>
  <c r="HY74" i="12"/>
  <c r="HV74" i="12"/>
  <c r="HS74" i="12"/>
  <c r="HP74" i="12"/>
  <c r="HM74" i="12"/>
  <c r="HJ74" i="12"/>
  <c r="HG74" i="12"/>
  <c r="HD74" i="12"/>
  <c r="HA74" i="12"/>
  <c r="GX74" i="12"/>
  <c r="GU74" i="12"/>
  <c r="GR74" i="12"/>
  <c r="GO74" i="12"/>
  <c r="GL74" i="12"/>
  <c r="GI74" i="12"/>
  <c r="GF74" i="12"/>
  <c r="GC74" i="12"/>
  <c r="FZ74" i="12"/>
  <c r="FW74" i="12"/>
  <c r="FT74" i="12"/>
  <c r="FQ74" i="12"/>
  <c r="FN74" i="12"/>
  <c r="FK74" i="12"/>
  <c r="FH74" i="12"/>
  <c r="FE74" i="12"/>
  <c r="FB74" i="12"/>
  <c r="EY74" i="12"/>
  <c r="EV74" i="12"/>
  <c r="ES74" i="12"/>
  <c r="EP74" i="12"/>
  <c r="EM74" i="12"/>
  <c r="EJ74" i="12"/>
  <c r="EG74" i="12"/>
  <c r="ED74" i="12"/>
  <c r="EA74" i="12"/>
  <c r="DX74" i="12"/>
  <c r="DU74" i="12"/>
  <c r="DR74" i="12"/>
  <c r="DO74" i="12"/>
  <c r="DL74" i="12"/>
  <c r="DI74" i="12"/>
  <c r="DF74" i="12"/>
  <c r="DC74" i="12"/>
  <c r="CZ74" i="12"/>
  <c r="CW74" i="12"/>
  <c r="CT74" i="12"/>
  <c r="CQ74" i="12"/>
  <c r="CN74" i="12"/>
  <c r="CK74" i="12"/>
  <c r="CH74" i="12"/>
  <c r="CE74" i="12"/>
  <c r="CB74" i="12"/>
  <c r="BY74" i="12"/>
  <c r="BV74" i="12"/>
  <c r="BS74" i="12"/>
  <c r="BP74" i="12"/>
  <c r="BM74" i="12"/>
  <c r="BJ74" i="12"/>
  <c r="BG74" i="12"/>
  <c r="BD74" i="12"/>
  <c r="BA74" i="12"/>
  <c r="AX74" i="12"/>
  <c r="AU74" i="12"/>
  <c r="AR74" i="12"/>
  <c r="AO74" i="12"/>
  <c r="AL74" i="12"/>
  <c r="AI74" i="12"/>
  <c r="AF74" i="12"/>
  <c r="AC74" i="12"/>
  <c r="Z74" i="12"/>
  <c r="W74" i="12"/>
  <c r="T74" i="12"/>
  <c r="Q74" i="12"/>
  <c r="N74" i="12"/>
  <c r="K74" i="12"/>
  <c r="H74" i="12"/>
  <c r="E74" i="12"/>
  <c r="NI73" i="12"/>
  <c r="NH73" i="12"/>
  <c r="NJ73" i="12" s="1"/>
  <c r="NG73" i="12"/>
  <c r="NF73" i="12"/>
  <c r="NE73" i="12"/>
  <c r="ND73" i="12"/>
  <c r="NA73" i="12"/>
  <c r="MX73" i="12"/>
  <c r="MU73" i="12"/>
  <c r="MR73" i="12"/>
  <c r="MO73" i="12"/>
  <c r="ML73" i="12"/>
  <c r="MI73" i="12"/>
  <c r="MF73" i="12"/>
  <c r="MC73" i="12"/>
  <c r="LZ73" i="12"/>
  <c r="LW73" i="12"/>
  <c r="LT73" i="12"/>
  <c r="LQ73" i="12"/>
  <c r="LN73" i="12"/>
  <c r="LK73" i="12"/>
  <c r="LH73" i="12"/>
  <c r="LE73" i="12"/>
  <c r="LB73" i="12"/>
  <c r="KY73" i="12"/>
  <c r="KV73" i="12"/>
  <c r="KS73" i="12"/>
  <c r="KP73" i="12"/>
  <c r="KM73" i="12"/>
  <c r="KJ73" i="12"/>
  <c r="KG73" i="12"/>
  <c r="KD73" i="12"/>
  <c r="KA73" i="12"/>
  <c r="JX73" i="12"/>
  <c r="JU73" i="12"/>
  <c r="JR73" i="12"/>
  <c r="JO73" i="12"/>
  <c r="JL73" i="12"/>
  <c r="JI73" i="12"/>
  <c r="JF73" i="12"/>
  <c r="JC73" i="12"/>
  <c r="IZ73" i="12"/>
  <c r="IW73" i="12"/>
  <c r="IT73" i="12"/>
  <c r="IQ73" i="12"/>
  <c r="IN73" i="12"/>
  <c r="IK73" i="12"/>
  <c r="IH73" i="12"/>
  <c r="IE73" i="12"/>
  <c r="IB73" i="12"/>
  <c r="HY73" i="12"/>
  <c r="HV73" i="12"/>
  <c r="HS73" i="12"/>
  <c r="HP73" i="12"/>
  <c r="HM73" i="12"/>
  <c r="HJ73" i="12"/>
  <c r="HG73" i="12"/>
  <c r="HD73" i="12"/>
  <c r="HA73" i="12"/>
  <c r="GX73" i="12"/>
  <c r="GU73" i="12"/>
  <c r="GR73" i="12"/>
  <c r="GO73" i="12"/>
  <c r="GL73" i="12"/>
  <c r="GI73" i="12"/>
  <c r="GF73" i="12"/>
  <c r="GC73" i="12"/>
  <c r="FZ73" i="12"/>
  <c r="FW73" i="12"/>
  <c r="FT73" i="12"/>
  <c r="FQ73" i="12"/>
  <c r="FN73" i="12"/>
  <c r="FK73" i="12"/>
  <c r="FH73" i="12"/>
  <c r="FE73" i="12"/>
  <c r="FB73" i="12"/>
  <c r="EY73" i="12"/>
  <c r="EV73" i="12"/>
  <c r="ES73" i="12"/>
  <c r="EP73" i="12"/>
  <c r="EM73" i="12"/>
  <c r="EJ73" i="12"/>
  <c r="EG73" i="12"/>
  <c r="ED73" i="12"/>
  <c r="EA73" i="12"/>
  <c r="DX73" i="12"/>
  <c r="DU73" i="12"/>
  <c r="DR73" i="12"/>
  <c r="DO73" i="12"/>
  <c r="DL73" i="12"/>
  <c r="DI73" i="12"/>
  <c r="DF73" i="12"/>
  <c r="DC73" i="12"/>
  <c r="CZ73" i="12"/>
  <c r="CW73" i="12"/>
  <c r="CT73" i="12"/>
  <c r="CQ73" i="12"/>
  <c r="CN73" i="12"/>
  <c r="CK73" i="12"/>
  <c r="CH73" i="12"/>
  <c r="CE73" i="12"/>
  <c r="CB73" i="12"/>
  <c r="BY73" i="12"/>
  <c r="BV73" i="12"/>
  <c r="BS73" i="12"/>
  <c r="BP73" i="12"/>
  <c r="BM73" i="12"/>
  <c r="BJ73" i="12"/>
  <c r="BG73" i="12"/>
  <c r="BD73" i="12"/>
  <c r="BA73" i="12"/>
  <c r="AX73" i="12"/>
  <c r="AU73" i="12"/>
  <c r="AR73" i="12"/>
  <c r="AO73" i="12"/>
  <c r="AL73" i="12"/>
  <c r="AI73" i="12"/>
  <c r="AF73" i="12"/>
  <c r="AC73" i="12"/>
  <c r="Z73" i="12"/>
  <c r="W73" i="12"/>
  <c r="T73" i="12"/>
  <c r="Q73" i="12"/>
  <c r="N73" i="12"/>
  <c r="K73" i="12"/>
  <c r="H73" i="12"/>
  <c r="E73" i="12"/>
  <c r="NI72" i="12"/>
  <c r="NH72" i="12"/>
  <c r="NF72" i="12"/>
  <c r="NE72" i="12"/>
  <c r="NG72" i="12" s="1"/>
  <c r="ND72" i="12"/>
  <c r="NA72" i="12"/>
  <c r="MX72" i="12"/>
  <c r="MU72" i="12"/>
  <c r="MR72" i="12"/>
  <c r="MO72" i="12"/>
  <c r="ML72" i="12"/>
  <c r="MI72" i="12"/>
  <c r="MF72" i="12"/>
  <c r="MC72" i="12"/>
  <c r="LZ72" i="12"/>
  <c r="LW72" i="12"/>
  <c r="LT72" i="12"/>
  <c r="LQ72" i="12"/>
  <c r="LN72" i="12"/>
  <c r="LK72" i="12"/>
  <c r="LH72" i="12"/>
  <c r="LE72" i="12"/>
  <c r="LB72" i="12"/>
  <c r="KY72" i="12"/>
  <c r="KV72" i="12"/>
  <c r="KS72" i="12"/>
  <c r="KP72" i="12"/>
  <c r="KM72" i="12"/>
  <c r="KJ72" i="12"/>
  <c r="KG72" i="12"/>
  <c r="KD72" i="12"/>
  <c r="KA72" i="12"/>
  <c r="JX72" i="12"/>
  <c r="JU72" i="12"/>
  <c r="JR72" i="12"/>
  <c r="JO72" i="12"/>
  <c r="JL72" i="12"/>
  <c r="JI72" i="12"/>
  <c r="JF72" i="12"/>
  <c r="JC72" i="12"/>
  <c r="IZ72" i="12"/>
  <c r="IW72" i="12"/>
  <c r="IT72" i="12"/>
  <c r="IQ72" i="12"/>
  <c r="IN72" i="12"/>
  <c r="IK72" i="12"/>
  <c r="IH72" i="12"/>
  <c r="IE72" i="12"/>
  <c r="IB72" i="12"/>
  <c r="HY72" i="12"/>
  <c r="HV72" i="12"/>
  <c r="HS72" i="12"/>
  <c r="HP72" i="12"/>
  <c r="HM72" i="12"/>
  <c r="HJ72" i="12"/>
  <c r="HG72" i="12"/>
  <c r="HD72" i="12"/>
  <c r="HA72" i="12"/>
  <c r="GX72" i="12"/>
  <c r="GU72" i="12"/>
  <c r="GR72" i="12"/>
  <c r="GO72" i="12"/>
  <c r="GL72" i="12"/>
  <c r="GI72" i="12"/>
  <c r="GF72" i="12"/>
  <c r="GC72" i="12"/>
  <c r="FZ72" i="12"/>
  <c r="FW72" i="12"/>
  <c r="FT72" i="12"/>
  <c r="FQ72" i="12"/>
  <c r="FN72" i="12"/>
  <c r="FK72" i="12"/>
  <c r="FH72" i="12"/>
  <c r="FE72" i="12"/>
  <c r="FB72" i="12"/>
  <c r="EY72" i="12"/>
  <c r="EV72" i="12"/>
  <c r="ES72" i="12"/>
  <c r="EP72" i="12"/>
  <c r="EM72" i="12"/>
  <c r="EJ72" i="12"/>
  <c r="EG72" i="12"/>
  <c r="ED72" i="12"/>
  <c r="EA72" i="12"/>
  <c r="DX72" i="12"/>
  <c r="DU72" i="12"/>
  <c r="DR72" i="12"/>
  <c r="DO72" i="12"/>
  <c r="DL72" i="12"/>
  <c r="DI72" i="12"/>
  <c r="DF72" i="12"/>
  <c r="DC72" i="12"/>
  <c r="CZ72" i="12"/>
  <c r="CW72" i="12"/>
  <c r="CT72" i="12"/>
  <c r="CQ72" i="12"/>
  <c r="CN72" i="12"/>
  <c r="CK72" i="12"/>
  <c r="CH72" i="12"/>
  <c r="CE72" i="12"/>
  <c r="CB72" i="12"/>
  <c r="BY72" i="12"/>
  <c r="BV72" i="12"/>
  <c r="BS72" i="12"/>
  <c r="BP72" i="12"/>
  <c r="BM72" i="12"/>
  <c r="BJ72" i="12"/>
  <c r="BG72" i="12"/>
  <c r="BD72" i="12"/>
  <c r="BA72" i="12"/>
  <c r="AX72" i="12"/>
  <c r="AU72" i="12"/>
  <c r="AR72" i="12"/>
  <c r="AO72" i="12"/>
  <c r="AL72" i="12"/>
  <c r="AI72" i="12"/>
  <c r="AF72" i="12"/>
  <c r="AC72" i="12"/>
  <c r="Z72" i="12"/>
  <c r="W72" i="12"/>
  <c r="T72" i="12"/>
  <c r="Q72" i="12"/>
  <c r="N72" i="12"/>
  <c r="K72" i="12"/>
  <c r="H72" i="12"/>
  <c r="E72" i="12"/>
  <c r="NI71" i="12"/>
  <c r="NJ71" i="12" s="1"/>
  <c r="NH71" i="12"/>
  <c r="NF71" i="12"/>
  <c r="NE71" i="12"/>
  <c r="NG71" i="12" s="1"/>
  <c r="ND71" i="12"/>
  <c r="NA71" i="12"/>
  <c r="MX71" i="12"/>
  <c r="MU71" i="12"/>
  <c r="MR71" i="12"/>
  <c r="MO71" i="12"/>
  <c r="ML71" i="12"/>
  <c r="MI71" i="12"/>
  <c r="MF71" i="12"/>
  <c r="MC71" i="12"/>
  <c r="LZ71" i="12"/>
  <c r="LW71" i="12"/>
  <c r="LT71" i="12"/>
  <c r="LQ71" i="12"/>
  <c r="LN71" i="12"/>
  <c r="LK71" i="12"/>
  <c r="LH71" i="12"/>
  <c r="LE71" i="12"/>
  <c r="LB71" i="12"/>
  <c r="KY71" i="12"/>
  <c r="KV71" i="12"/>
  <c r="KS71" i="12"/>
  <c r="KP71" i="12"/>
  <c r="KM71" i="12"/>
  <c r="KJ71" i="12"/>
  <c r="KG71" i="12"/>
  <c r="KD71" i="12"/>
  <c r="KA71" i="12"/>
  <c r="JX71" i="12"/>
  <c r="JU71" i="12"/>
  <c r="JR71" i="12"/>
  <c r="JO71" i="12"/>
  <c r="JL71" i="12"/>
  <c r="JI71" i="12"/>
  <c r="JF71" i="12"/>
  <c r="JC71" i="12"/>
  <c r="IZ71" i="12"/>
  <c r="IW71" i="12"/>
  <c r="IT71" i="12"/>
  <c r="IQ71" i="12"/>
  <c r="IN71" i="12"/>
  <c r="IK71" i="12"/>
  <c r="IH71" i="12"/>
  <c r="IE71" i="12"/>
  <c r="IB71" i="12"/>
  <c r="HY71" i="12"/>
  <c r="HV71" i="12"/>
  <c r="HS71" i="12"/>
  <c r="HP71" i="12"/>
  <c r="HM71" i="12"/>
  <c r="HJ71" i="12"/>
  <c r="HG71" i="12"/>
  <c r="HD71" i="12"/>
  <c r="HA71" i="12"/>
  <c r="GX71" i="12"/>
  <c r="GU71" i="12"/>
  <c r="GR71" i="12"/>
  <c r="GO71" i="12"/>
  <c r="GL71" i="12"/>
  <c r="GI71" i="12"/>
  <c r="GF71" i="12"/>
  <c r="GC71" i="12"/>
  <c r="FZ71" i="12"/>
  <c r="FW71" i="12"/>
  <c r="FT71" i="12"/>
  <c r="FQ71" i="12"/>
  <c r="FN71" i="12"/>
  <c r="FK71" i="12"/>
  <c r="FH71" i="12"/>
  <c r="FE71" i="12"/>
  <c r="FB71" i="12"/>
  <c r="EY71" i="12"/>
  <c r="EV71" i="12"/>
  <c r="ES71" i="12"/>
  <c r="EP71" i="12"/>
  <c r="EM71" i="12"/>
  <c r="EJ71" i="12"/>
  <c r="EG71" i="12"/>
  <c r="ED71" i="12"/>
  <c r="EA71" i="12"/>
  <c r="DX71" i="12"/>
  <c r="DU71" i="12"/>
  <c r="DR71" i="12"/>
  <c r="DO71" i="12"/>
  <c r="DL71" i="12"/>
  <c r="DI71" i="12"/>
  <c r="DF71" i="12"/>
  <c r="DC71" i="12"/>
  <c r="CZ71" i="12"/>
  <c r="CW71" i="12"/>
  <c r="CT71" i="12"/>
  <c r="CQ71" i="12"/>
  <c r="CN71" i="12"/>
  <c r="CK71" i="12"/>
  <c r="CH71" i="12"/>
  <c r="CE71" i="12"/>
  <c r="CB71" i="12"/>
  <c r="BY71" i="12"/>
  <c r="BV71" i="12"/>
  <c r="BS71" i="12"/>
  <c r="BP71" i="12"/>
  <c r="BM71" i="12"/>
  <c r="BJ71" i="12"/>
  <c r="BG71" i="12"/>
  <c r="BD71" i="12"/>
  <c r="BA71" i="12"/>
  <c r="AX71" i="12"/>
  <c r="AU71" i="12"/>
  <c r="AR71" i="12"/>
  <c r="AO71" i="12"/>
  <c r="AL71" i="12"/>
  <c r="AI71" i="12"/>
  <c r="AF71" i="12"/>
  <c r="AC71" i="12"/>
  <c r="Z71" i="12"/>
  <c r="W71" i="12"/>
  <c r="T71" i="12"/>
  <c r="Q71" i="12"/>
  <c r="N71" i="12"/>
  <c r="K71" i="12"/>
  <c r="H71" i="12"/>
  <c r="E71" i="12"/>
  <c r="NI70" i="12"/>
  <c r="NH70" i="12"/>
  <c r="NJ70" i="12" s="1"/>
  <c r="NF70" i="12"/>
  <c r="NE70" i="12"/>
  <c r="NG70" i="12" s="1"/>
  <c r="ND70" i="12"/>
  <c r="NA70" i="12"/>
  <c r="MX70" i="12"/>
  <c r="MU70" i="12"/>
  <c r="MR70" i="12"/>
  <c r="MO70" i="12"/>
  <c r="ML70" i="12"/>
  <c r="MI70" i="12"/>
  <c r="MF70" i="12"/>
  <c r="MC70" i="12"/>
  <c r="LZ70" i="12"/>
  <c r="LW70" i="12"/>
  <c r="LT70" i="12"/>
  <c r="LQ70" i="12"/>
  <c r="LN70" i="12"/>
  <c r="LK70" i="12"/>
  <c r="LH70" i="12"/>
  <c r="LE70" i="12"/>
  <c r="LB70" i="12"/>
  <c r="KY70" i="12"/>
  <c r="KV70" i="12"/>
  <c r="KS70" i="12"/>
  <c r="KP70" i="12"/>
  <c r="KM70" i="12"/>
  <c r="KJ70" i="12"/>
  <c r="KG70" i="12"/>
  <c r="KD70" i="12"/>
  <c r="KA70" i="12"/>
  <c r="JX70" i="12"/>
  <c r="JU70" i="12"/>
  <c r="JR70" i="12"/>
  <c r="JO70" i="12"/>
  <c r="JL70" i="12"/>
  <c r="JI70" i="12"/>
  <c r="JF70" i="12"/>
  <c r="JC70" i="12"/>
  <c r="IZ70" i="12"/>
  <c r="IW70" i="12"/>
  <c r="IT70" i="12"/>
  <c r="IQ70" i="12"/>
  <c r="IN70" i="12"/>
  <c r="IK70" i="12"/>
  <c r="IH70" i="12"/>
  <c r="IE70" i="12"/>
  <c r="IB70" i="12"/>
  <c r="HY70" i="12"/>
  <c r="HV70" i="12"/>
  <c r="HS70" i="12"/>
  <c r="HP70" i="12"/>
  <c r="HM70" i="12"/>
  <c r="HJ70" i="12"/>
  <c r="HG70" i="12"/>
  <c r="HD70" i="12"/>
  <c r="HA70" i="12"/>
  <c r="GX70" i="12"/>
  <c r="GU70" i="12"/>
  <c r="GR70" i="12"/>
  <c r="GO70" i="12"/>
  <c r="GL70" i="12"/>
  <c r="GI70" i="12"/>
  <c r="GF70" i="12"/>
  <c r="GC70" i="12"/>
  <c r="FZ70" i="12"/>
  <c r="FW70" i="12"/>
  <c r="FT70" i="12"/>
  <c r="FQ70" i="12"/>
  <c r="FN70" i="12"/>
  <c r="FK70" i="12"/>
  <c r="FH70" i="12"/>
  <c r="FE70" i="12"/>
  <c r="FB70" i="12"/>
  <c r="EY70" i="12"/>
  <c r="EV70" i="12"/>
  <c r="ES70" i="12"/>
  <c r="EP70" i="12"/>
  <c r="EM70" i="12"/>
  <c r="EJ70" i="12"/>
  <c r="EG70" i="12"/>
  <c r="ED70" i="12"/>
  <c r="EA70" i="12"/>
  <c r="DX70" i="12"/>
  <c r="DU70" i="12"/>
  <c r="DR70" i="12"/>
  <c r="DO70" i="12"/>
  <c r="DL70" i="12"/>
  <c r="DI70" i="12"/>
  <c r="DF70" i="12"/>
  <c r="DC70" i="12"/>
  <c r="CZ70" i="12"/>
  <c r="CW70" i="12"/>
  <c r="CT70" i="12"/>
  <c r="CQ70" i="12"/>
  <c r="CN70" i="12"/>
  <c r="CK70" i="12"/>
  <c r="CH70" i="12"/>
  <c r="CE70" i="12"/>
  <c r="CB70" i="12"/>
  <c r="BY70" i="12"/>
  <c r="BV70" i="12"/>
  <c r="BS70" i="12"/>
  <c r="BP70" i="12"/>
  <c r="BM70" i="12"/>
  <c r="BJ70" i="12"/>
  <c r="BG70" i="12"/>
  <c r="BD70" i="12"/>
  <c r="BA70" i="12"/>
  <c r="AX70" i="12"/>
  <c r="AU70" i="12"/>
  <c r="AR70" i="12"/>
  <c r="AO70" i="12"/>
  <c r="AL70" i="12"/>
  <c r="AI70" i="12"/>
  <c r="AF70" i="12"/>
  <c r="AC70" i="12"/>
  <c r="Z70" i="12"/>
  <c r="W70" i="12"/>
  <c r="T70" i="12"/>
  <c r="Q70" i="12"/>
  <c r="N70" i="12"/>
  <c r="K70" i="12"/>
  <c r="H70" i="12"/>
  <c r="E70" i="12"/>
  <c r="NI69" i="12"/>
  <c r="NH69" i="12"/>
  <c r="NF69" i="12"/>
  <c r="NE69" i="12"/>
  <c r="ND69" i="12"/>
  <c r="NA69" i="12"/>
  <c r="MX69" i="12"/>
  <c r="MU69" i="12"/>
  <c r="MR69" i="12"/>
  <c r="MO69" i="12"/>
  <c r="ML69" i="12"/>
  <c r="MI69" i="12"/>
  <c r="MF69" i="12"/>
  <c r="MC69" i="12"/>
  <c r="LZ69" i="12"/>
  <c r="LW69" i="12"/>
  <c r="LT69" i="12"/>
  <c r="LQ69" i="12"/>
  <c r="LN69" i="12"/>
  <c r="LK69" i="12"/>
  <c r="LH69" i="12"/>
  <c r="LE69" i="12"/>
  <c r="LB69" i="12"/>
  <c r="KY69" i="12"/>
  <c r="KV69" i="12"/>
  <c r="KS69" i="12"/>
  <c r="KP69" i="12"/>
  <c r="KM69" i="12"/>
  <c r="KJ69" i="12"/>
  <c r="KG69" i="12"/>
  <c r="KD69" i="12"/>
  <c r="KA69" i="12"/>
  <c r="JX69" i="12"/>
  <c r="JU69" i="12"/>
  <c r="JR69" i="12"/>
  <c r="JO69" i="12"/>
  <c r="JL69" i="12"/>
  <c r="JI69" i="12"/>
  <c r="JF69" i="12"/>
  <c r="JC69" i="12"/>
  <c r="IZ69" i="12"/>
  <c r="IW69" i="12"/>
  <c r="IT69" i="12"/>
  <c r="IQ69" i="12"/>
  <c r="IN69" i="12"/>
  <c r="IK69" i="12"/>
  <c r="IH69" i="12"/>
  <c r="IE69" i="12"/>
  <c r="IB69" i="12"/>
  <c r="HY69" i="12"/>
  <c r="HV69" i="12"/>
  <c r="HS69" i="12"/>
  <c r="HP69" i="12"/>
  <c r="HM69" i="12"/>
  <c r="HJ69" i="12"/>
  <c r="HG69" i="12"/>
  <c r="HD69" i="12"/>
  <c r="HA69" i="12"/>
  <c r="GX69" i="12"/>
  <c r="GU69" i="12"/>
  <c r="GR69" i="12"/>
  <c r="GO69" i="12"/>
  <c r="GL69" i="12"/>
  <c r="GI69" i="12"/>
  <c r="GF69" i="12"/>
  <c r="GC69" i="12"/>
  <c r="FZ69" i="12"/>
  <c r="FW69" i="12"/>
  <c r="FT69" i="12"/>
  <c r="FQ69" i="12"/>
  <c r="FN69" i="12"/>
  <c r="FK69" i="12"/>
  <c r="FH69" i="12"/>
  <c r="FE69" i="12"/>
  <c r="FB69" i="12"/>
  <c r="EY69" i="12"/>
  <c r="EV69" i="12"/>
  <c r="ES69" i="12"/>
  <c r="EP69" i="12"/>
  <c r="EM69" i="12"/>
  <c r="EJ69" i="12"/>
  <c r="EG69" i="12"/>
  <c r="ED69" i="12"/>
  <c r="EA69" i="12"/>
  <c r="DX69" i="12"/>
  <c r="DU69" i="12"/>
  <c r="DR69" i="12"/>
  <c r="DO69" i="12"/>
  <c r="DL69" i="12"/>
  <c r="DI69" i="12"/>
  <c r="DF69" i="12"/>
  <c r="DC69" i="12"/>
  <c r="CZ69" i="12"/>
  <c r="CW69" i="12"/>
  <c r="CT69" i="12"/>
  <c r="CQ69" i="12"/>
  <c r="CN69" i="12"/>
  <c r="CK69" i="12"/>
  <c r="CH69" i="12"/>
  <c r="CE69" i="12"/>
  <c r="CB69" i="12"/>
  <c r="BY69" i="12"/>
  <c r="BV69" i="12"/>
  <c r="BS69" i="12"/>
  <c r="BP69" i="12"/>
  <c r="BM69" i="12"/>
  <c r="BJ69" i="12"/>
  <c r="BG69" i="12"/>
  <c r="BD69" i="12"/>
  <c r="BA69" i="12"/>
  <c r="AX69" i="12"/>
  <c r="AU69" i="12"/>
  <c r="AR69" i="12"/>
  <c r="AO69" i="12"/>
  <c r="AL69" i="12"/>
  <c r="AI69" i="12"/>
  <c r="AF69" i="12"/>
  <c r="AC69" i="12"/>
  <c r="Z69" i="12"/>
  <c r="W69" i="12"/>
  <c r="T69" i="12"/>
  <c r="Q69" i="12"/>
  <c r="N69" i="12"/>
  <c r="K69" i="12"/>
  <c r="H69" i="12"/>
  <c r="E69" i="12"/>
  <c r="NI68" i="12"/>
  <c r="NH68" i="12"/>
  <c r="NJ68" i="12" s="1"/>
  <c r="NF68" i="12"/>
  <c r="NE68" i="12"/>
  <c r="NG68" i="12" s="1"/>
  <c r="ND68" i="12"/>
  <c r="NA68" i="12"/>
  <c r="MX68" i="12"/>
  <c r="MU68" i="12"/>
  <c r="MR68" i="12"/>
  <c r="MO68" i="12"/>
  <c r="ML68" i="12"/>
  <c r="MI68" i="12"/>
  <c r="MF68" i="12"/>
  <c r="MC68" i="12"/>
  <c r="LZ68" i="12"/>
  <c r="LW68" i="12"/>
  <c r="LT68" i="12"/>
  <c r="LQ68" i="12"/>
  <c r="LN68" i="12"/>
  <c r="LK68" i="12"/>
  <c r="LH68" i="12"/>
  <c r="LE68" i="12"/>
  <c r="LB68" i="12"/>
  <c r="KY68" i="12"/>
  <c r="KV68" i="12"/>
  <c r="KS68" i="12"/>
  <c r="KP68" i="12"/>
  <c r="KM68" i="12"/>
  <c r="KJ68" i="12"/>
  <c r="KG68" i="12"/>
  <c r="KD68" i="12"/>
  <c r="KA68" i="12"/>
  <c r="JX68" i="12"/>
  <c r="JU68" i="12"/>
  <c r="JR68" i="12"/>
  <c r="JO68" i="12"/>
  <c r="JL68" i="12"/>
  <c r="JI68" i="12"/>
  <c r="JF68" i="12"/>
  <c r="JC68" i="12"/>
  <c r="IZ68" i="12"/>
  <c r="IW68" i="12"/>
  <c r="IT68" i="12"/>
  <c r="IQ68" i="12"/>
  <c r="IN68" i="12"/>
  <c r="IK68" i="12"/>
  <c r="IH68" i="12"/>
  <c r="IE68" i="12"/>
  <c r="IB68" i="12"/>
  <c r="HY68" i="12"/>
  <c r="HV68" i="12"/>
  <c r="HS68" i="12"/>
  <c r="HP68" i="12"/>
  <c r="HM68" i="12"/>
  <c r="HJ68" i="12"/>
  <c r="HG68" i="12"/>
  <c r="HD68" i="12"/>
  <c r="HA68" i="12"/>
  <c r="GX68" i="12"/>
  <c r="GU68" i="12"/>
  <c r="GR68" i="12"/>
  <c r="GO68" i="12"/>
  <c r="GL68" i="12"/>
  <c r="GI68" i="12"/>
  <c r="GF68" i="12"/>
  <c r="GC68" i="12"/>
  <c r="FZ68" i="12"/>
  <c r="FW68" i="12"/>
  <c r="FT68" i="12"/>
  <c r="FQ68" i="12"/>
  <c r="FN68" i="12"/>
  <c r="FK68" i="12"/>
  <c r="FH68" i="12"/>
  <c r="FE68" i="12"/>
  <c r="FB68" i="12"/>
  <c r="EY68" i="12"/>
  <c r="EV68" i="12"/>
  <c r="ES68" i="12"/>
  <c r="EP68" i="12"/>
  <c r="EM68" i="12"/>
  <c r="EJ68" i="12"/>
  <c r="EG68" i="12"/>
  <c r="ED68" i="12"/>
  <c r="EA68" i="12"/>
  <c r="DX68" i="12"/>
  <c r="DU68" i="12"/>
  <c r="DR68" i="12"/>
  <c r="DO68" i="12"/>
  <c r="DL68" i="12"/>
  <c r="DI68" i="12"/>
  <c r="DF68" i="12"/>
  <c r="DC68" i="12"/>
  <c r="CZ68" i="12"/>
  <c r="CW68" i="12"/>
  <c r="CT68" i="12"/>
  <c r="CQ68" i="12"/>
  <c r="CN68" i="12"/>
  <c r="CK68" i="12"/>
  <c r="CH68" i="12"/>
  <c r="CE68" i="12"/>
  <c r="CB68" i="12"/>
  <c r="BY68" i="12"/>
  <c r="BV68" i="12"/>
  <c r="BS68" i="12"/>
  <c r="BP68" i="12"/>
  <c r="BM68" i="12"/>
  <c r="BJ68" i="12"/>
  <c r="BG68" i="12"/>
  <c r="BD68" i="12"/>
  <c r="BA68" i="12"/>
  <c r="AX68" i="12"/>
  <c r="AU68" i="12"/>
  <c r="AR68" i="12"/>
  <c r="AO68" i="12"/>
  <c r="AL68" i="12"/>
  <c r="AI68" i="12"/>
  <c r="AF68" i="12"/>
  <c r="AC68" i="12"/>
  <c r="Z68" i="12"/>
  <c r="W68" i="12"/>
  <c r="T68" i="12"/>
  <c r="Q68" i="12"/>
  <c r="N68" i="12"/>
  <c r="K68" i="12"/>
  <c r="H68" i="12"/>
  <c r="E68" i="12"/>
  <c r="NI67" i="12"/>
  <c r="NH67" i="12"/>
  <c r="NJ67" i="12" s="1"/>
  <c r="NG67" i="12"/>
  <c r="NF67" i="12"/>
  <c r="NE67" i="12"/>
  <c r="ND67" i="12"/>
  <c r="NA67" i="12"/>
  <c r="MX67" i="12"/>
  <c r="MU67" i="12"/>
  <c r="MR67" i="12"/>
  <c r="MO67" i="12"/>
  <c r="ML67" i="12"/>
  <c r="MI67" i="12"/>
  <c r="MF67" i="12"/>
  <c r="MC67" i="12"/>
  <c r="LZ67" i="12"/>
  <c r="LW67" i="12"/>
  <c r="LT67" i="12"/>
  <c r="LQ67" i="12"/>
  <c r="LN67" i="12"/>
  <c r="LK67" i="12"/>
  <c r="LH67" i="12"/>
  <c r="LE67" i="12"/>
  <c r="LB67" i="12"/>
  <c r="KY67" i="12"/>
  <c r="KV67" i="12"/>
  <c r="KS67" i="12"/>
  <c r="KP67" i="12"/>
  <c r="KM67" i="12"/>
  <c r="KJ67" i="12"/>
  <c r="KG67" i="12"/>
  <c r="KD67" i="12"/>
  <c r="KA67" i="12"/>
  <c r="JX67" i="12"/>
  <c r="JU67" i="12"/>
  <c r="JR67" i="12"/>
  <c r="JO67" i="12"/>
  <c r="JL67" i="12"/>
  <c r="JI67" i="12"/>
  <c r="JF67" i="12"/>
  <c r="JC67" i="12"/>
  <c r="IZ67" i="12"/>
  <c r="IW67" i="12"/>
  <c r="IT67" i="12"/>
  <c r="IQ67" i="12"/>
  <c r="IN67" i="12"/>
  <c r="IK67" i="12"/>
  <c r="IH67" i="12"/>
  <c r="IE67" i="12"/>
  <c r="IB67" i="12"/>
  <c r="HY67" i="12"/>
  <c r="HV67" i="12"/>
  <c r="HS67" i="12"/>
  <c r="HP67" i="12"/>
  <c r="HM67" i="12"/>
  <c r="HJ67" i="12"/>
  <c r="HG67" i="12"/>
  <c r="HD67" i="12"/>
  <c r="HA67" i="12"/>
  <c r="GX67" i="12"/>
  <c r="GU67" i="12"/>
  <c r="GR67" i="12"/>
  <c r="GO67" i="12"/>
  <c r="GL67" i="12"/>
  <c r="GI67" i="12"/>
  <c r="GF67" i="12"/>
  <c r="GC67" i="12"/>
  <c r="FZ67" i="12"/>
  <c r="FW67" i="12"/>
  <c r="FT67" i="12"/>
  <c r="FQ67" i="12"/>
  <c r="FN67" i="12"/>
  <c r="FK67" i="12"/>
  <c r="FH67" i="12"/>
  <c r="FE67" i="12"/>
  <c r="FB67" i="12"/>
  <c r="EY67" i="12"/>
  <c r="EV67" i="12"/>
  <c r="ES67" i="12"/>
  <c r="EP67" i="12"/>
  <c r="EM67" i="12"/>
  <c r="EJ67" i="12"/>
  <c r="EG67" i="12"/>
  <c r="ED67" i="12"/>
  <c r="EA67" i="12"/>
  <c r="DX67" i="12"/>
  <c r="DU67" i="12"/>
  <c r="DR67" i="12"/>
  <c r="DO67" i="12"/>
  <c r="DL67" i="12"/>
  <c r="DI67" i="12"/>
  <c r="DF67" i="12"/>
  <c r="DC67" i="12"/>
  <c r="CZ67" i="12"/>
  <c r="CW67" i="12"/>
  <c r="CT67" i="12"/>
  <c r="CQ67" i="12"/>
  <c r="CN67" i="12"/>
  <c r="CK67" i="12"/>
  <c r="CH67" i="12"/>
  <c r="CE67" i="12"/>
  <c r="CB67" i="12"/>
  <c r="BY67" i="12"/>
  <c r="BV67" i="12"/>
  <c r="BS67" i="12"/>
  <c r="BP67" i="12"/>
  <c r="BM67" i="12"/>
  <c r="BJ67" i="12"/>
  <c r="BG67" i="12"/>
  <c r="BD67" i="12"/>
  <c r="BA67" i="12"/>
  <c r="AX67" i="12"/>
  <c r="AU67" i="12"/>
  <c r="AR67" i="12"/>
  <c r="AO67" i="12"/>
  <c r="AL67" i="12"/>
  <c r="AI67" i="12"/>
  <c r="AF67" i="12"/>
  <c r="AC67" i="12"/>
  <c r="Z67" i="12"/>
  <c r="W67" i="12"/>
  <c r="T67" i="12"/>
  <c r="Q67" i="12"/>
  <c r="N67" i="12"/>
  <c r="K67" i="12"/>
  <c r="H67" i="12"/>
  <c r="E67" i="12"/>
  <c r="NI66" i="12"/>
  <c r="NH66" i="12"/>
  <c r="NJ66" i="12" s="1"/>
  <c r="NF66" i="12"/>
  <c r="NG66" i="12" s="1"/>
  <c r="NE66" i="12"/>
  <c r="ND66" i="12"/>
  <c r="NA66" i="12"/>
  <c r="MX66" i="12"/>
  <c r="MU66" i="12"/>
  <c r="MR66" i="12"/>
  <c r="MO66" i="12"/>
  <c r="ML66" i="12"/>
  <c r="MI66" i="12"/>
  <c r="MF66" i="12"/>
  <c r="MC66" i="12"/>
  <c r="LZ66" i="12"/>
  <c r="LW66" i="12"/>
  <c r="LT66" i="12"/>
  <c r="LQ66" i="12"/>
  <c r="LN66" i="12"/>
  <c r="LK66" i="12"/>
  <c r="LH66" i="12"/>
  <c r="LE66" i="12"/>
  <c r="LB66" i="12"/>
  <c r="KY66" i="12"/>
  <c r="KV66" i="12"/>
  <c r="KS66" i="12"/>
  <c r="KP66" i="12"/>
  <c r="KM66" i="12"/>
  <c r="KJ66" i="12"/>
  <c r="KG66" i="12"/>
  <c r="KD66" i="12"/>
  <c r="KA66" i="12"/>
  <c r="JX66" i="12"/>
  <c r="JU66" i="12"/>
  <c r="JR66" i="12"/>
  <c r="JO66" i="12"/>
  <c r="JL66" i="12"/>
  <c r="JI66" i="12"/>
  <c r="JF66" i="12"/>
  <c r="JC66" i="12"/>
  <c r="IZ66" i="12"/>
  <c r="IW66" i="12"/>
  <c r="IT66" i="12"/>
  <c r="IQ66" i="12"/>
  <c r="IN66" i="12"/>
  <c r="IK66" i="12"/>
  <c r="IH66" i="12"/>
  <c r="IE66" i="12"/>
  <c r="IB66" i="12"/>
  <c r="HY66" i="12"/>
  <c r="HV66" i="12"/>
  <c r="HS66" i="12"/>
  <c r="HP66" i="12"/>
  <c r="HM66" i="12"/>
  <c r="HJ66" i="12"/>
  <c r="HG66" i="12"/>
  <c r="HD66" i="12"/>
  <c r="HA66" i="12"/>
  <c r="GX66" i="12"/>
  <c r="GU66" i="12"/>
  <c r="GR66" i="12"/>
  <c r="GO66" i="12"/>
  <c r="GL66" i="12"/>
  <c r="GI66" i="12"/>
  <c r="GF66" i="12"/>
  <c r="GC66" i="12"/>
  <c r="FZ66" i="12"/>
  <c r="FW66" i="12"/>
  <c r="FT66" i="12"/>
  <c r="FQ66" i="12"/>
  <c r="FN66" i="12"/>
  <c r="FK66" i="12"/>
  <c r="FH66" i="12"/>
  <c r="FE66" i="12"/>
  <c r="FB66" i="12"/>
  <c r="EY66" i="12"/>
  <c r="EV66" i="12"/>
  <c r="ES66" i="12"/>
  <c r="EP66" i="12"/>
  <c r="EM66" i="12"/>
  <c r="EJ66" i="12"/>
  <c r="EG66" i="12"/>
  <c r="ED66" i="12"/>
  <c r="EA66" i="12"/>
  <c r="DX66" i="12"/>
  <c r="DU66" i="12"/>
  <c r="DR66" i="12"/>
  <c r="DO66" i="12"/>
  <c r="DL66" i="12"/>
  <c r="DI66" i="12"/>
  <c r="DF66" i="12"/>
  <c r="DC66" i="12"/>
  <c r="CZ66" i="12"/>
  <c r="CW66" i="12"/>
  <c r="CT66" i="12"/>
  <c r="CQ66" i="12"/>
  <c r="CN66" i="12"/>
  <c r="CK66" i="12"/>
  <c r="CH66" i="12"/>
  <c r="CE66" i="12"/>
  <c r="CB66" i="12"/>
  <c r="BY66" i="12"/>
  <c r="BV66" i="12"/>
  <c r="BS66" i="12"/>
  <c r="BP66" i="12"/>
  <c r="BM66" i="12"/>
  <c r="BJ66" i="12"/>
  <c r="BG66" i="12"/>
  <c r="BD66" i="12"/>
  <c r="BA66" i="12"/>
  <c r="AX66" i="12"/>
  <c r="AU66" i="12"/>
  <c r="AR66" i="12"/>
  <c r="AO66" i="12"/>
  <c r="AL66" i="12"/>
  <c r="AI66" i="12"/>
  <c r="AF66" i="12"/>
  <c r="AC66" i="12"/>
  <c r="Z66" i="12"/>
  <c r="W66" i="12"/>
  <c r="T66" i="12"/>
  <c r="Q66" i="12"/>
  <c r="N66" i="12"/>
  <c r="K66" i="12"/>
  <c r="H66" i="12"/>
  <c r="E66" i="12"/>
  <c r="NJ65" i="12"/>
  <c r="NI65" i="12"/>
  <c r="NH65" i="12"/>
  <c r="NF65" i="12"/>
  <c r="NE65" i="12"/>
  <c r="NG65" i="12" s="1"/>
  <c r="ND65" i="12"/>
  <c r="NA65" i="12"/>
  <c r="MX65" i="12"/>
  <c r="MU65" i="12"/>
  <c r="MR65" i="12"/>
  <c r="MO65" i="12"/>
  <c r="ML65" i="12"/>
  <c r="MI65" i="12"/>
  <c r="MF65" i="12"/>
  <c r="MC65" i="12"/>
  <c r="LZ65" i="12"/>
  <c r="LW65" i="12"/>
  <c r="LT65" i="12"/>
  <c r="LQ65" i="12"/>
  <c r="LN65" i="12"/>
  <c r="LK65" i="12"/>
  <c r="LH65" i="12"/>
  <c r="LE65" i="12"/>
  <c r="LB65" i="12"/>
  <c r="KY65" i="12"/>
  <c r="KV65" i="12"/>
  <c r="KS65" i="12"/>
  <c r="KP65" i="12"/>
  <c r="KM65" i="12"/>
  <c r="KJ65" i="12"/>
  <c r="KG65" i="12"/>
  <c r="KD65" i="12"/>
  <c r="KA65" i="12"/>
  <c r="JX65" i="12"/>
  <c r="JU65" i="12"/>
  <c r="JR65" i="12"/>
  <c r="JO65" i="12"/>
  <c r="JL65" i="12"/>
  <c r="JI65" i="12"/>
  <c r="JF65" i="12"/>
  <c r="JC65" i="12"/>
  <c r="IZ65" i="12"/>
  <c r="IW65" i="12"/>
  <c r="IT65" i="12"/>
  <c r="IQ65" i="12"/>
  <c r="IN65" i="12"/>
  <c r="IK65" i="12"/>
  <c r="IH65" i="12"/>
  <c r="IE65" i="12"/>
  <c r="IB65" i="12"/>
  <c r="HY65" i="12"/>
  <c r="HV65" i="12"/>
  <c r="HS65" i="12"/>
  <c r="HP65" i="12"/>
  <c r="HM65" i="12"/>
  <c r="HJ65" i="12"/>
  <c r="HG65" i="12"/>
  <c r="HD65" i="12"/>
  <c r="HA65" i="12"/>
  <c r="GX65" i="12"/>
  <c r="GU65" i="12"/>
  <c r="GR65" i="12"/>
  <c r="GO65" i="12"/>
  <c r="GL65" i="12"/>
  <c r="GI65" i="12"/>
  <c r="GF65" i="12"/>
  <c r="GC65" i="12"/>
  <c r="FZ65" i="12"/>
  <c r="FW65" i="12"/>
  <c r="FT65" i="12"/>
  <c r="FQ65" i="12"/>
  <c r="FN65" i="12"/>
  <c r="FK65" i="12"/>
  <c r="FH65" i="12"/>
  <c r="FE65" i="12"/>
  <c r="FB65" i="12"/>
  <c r="EY65" i="12"/>
  <c r="EV65" i="12"/>
  <c r="ES65" i="12"/>
  <c r="EP65" i="12"/>
  <c r="EM65" i="12"/>
  <c r="EJ65" i="12"/>
  <c r="EG65" i="12"/>
  <c r="ED65" i="12"/>
  <c r="EA65" i="12"/>
  <c r="DX65" i="12"/>
  <c r="DU65" i="12"/>
  <c r="DR65" i="12"/>
  <c r="DO65" i="12"/>
  <c r="DL65" i="12"/>
  <c r="DI65" i="12"/>
  <c r="DF65" i="12"/>
  <c r="DC65" i="12"/>
  <c r="CZ65" i="12"/>
  <c r="CW65" i="12"/>
  <c r="CT65" i="12"/>
  <c r="CQ65" i="12"/>
  <c r="CN65" i="12"/>
  <c r="CK65" i="12"/>
  <c r="CH65" i="12"/>
  <c r="CE65" i="12"/>
  <c r="CB65" i="12"/>
  <c r="BY65" i="12"/>
  <c r="BV65" i="12"/>
  <c r="BS65" i="12"/>
  <c r="BP65" i="12"/>
  <c r="BM65" i="12"/>
  <c r="BJ65" i="12"/>
  <c r="BG65" i="12"/>
  <c r="BD65" i="12"/>
  <c r="BA65" i="12"/>
  <c r="AX65" i="12"/>
  <c r="AU65" i="12"/>
  <c r="AR65" i="12"/>
  <c r="AO65" i="12"/>
  <c r="AL65" i="12"/>
  <c r="AI65" i="12"/>
  <c r="AF65" i="12"/>
  <c r="AC65" i="12"/>
  <c r="Z65" i="12"/>
  <c r="W65" i="12"/>
  <c r="T65" i="12"/>
  <c r="Q65" i="12"/>
  <c r="N65" i="12"/>
  <c r="K65" i="12"/>
  <c r="H65" i="12"/>
  <c r="E65" i="12"/>
  <c r="NI64" i="12"/>
  <c r="NJ64" i="12" s="1"/>
  <c r="NH64" i="12"/>
  <c r="NF64" i="12"/>
  <c r="NE64" i="12"/>
  <c r="NG64" i="12" s="1"/>
  <c r="ND64" i="12"/>
  <c r="NA64" i="12"/>
  <c r="MX64" i="12"/>
  <c r="MU64" i="12"/>
  <c r="MR64" i="12"/>
  <c r="MO64" i="12"/>
  <c r="ML64" i="12"/>
  <c r="MI64" i="12"/>
  <c r="MF64" i="12"/>
  <c r="MC64" i="12"/>
  <c r="LZ64" i="12"/>
  <c r="LW64" i="12"/>
  <c r="LT64" i="12"/>
  <c r="LQ64" i="12"/>
  <c r="LN64" i="12"/>
  <c r="LK64" i="12"/>
  <c r="LH64" i="12"/>
  <c r="LE64" i="12"/>
  <c r="LB64" i="12"/>
  <c r="KY64" i="12"/>
  <c r="KV64" i="12"/>
  <c r="KS64" i="12"/>
  <c r="KP64" i="12"/>
  <c r="KM64" i="12"/>
  <c r="KJ64" i="12"/>
  <c r="KG64" i="12"/>
  <c r="KD64" i="12"/>
  <c r="KA64" i="12"/>
  <c r="JX64" i="12"/>
  <c r="JU64" i="12"/>
  <c r="JR64" i="12"/>
  <c r="JO64" i="12"/>
  <c r="JL64" i="12"/>
  <c r="JI64" i="12"/>
  <c r="JF64" i="12"/>
  <c r="JC64" i="12"/>
  <c r="IZ64" i="12"/>
  <c r="IW64" i="12"/>
  <c r="IT64" i="12"/>
  <c r="IQ64" i="12"/>
  <c r="IN64" i="12"/>
  <c r="IK64" i="12"/>
  <c r="IH64" i="12"/>
  <c r="IE64" i="12"/>
  <c r="IB64" i="12"/>
  <c r="HY64" i="12"/>
  <c r="HV64" i="12"/>
  <c r="HS64" i="12"/>
  <c r="HP64" i="12"/>
  <c r="HM64" i="12"/>
  <c r="HJ64" i="12"/>
  <c r="HG64" i="12"/>
  <c r="HD64" i="12"/>
  <c r="HA64" i="12"/>
  <c r="GX64" i="12"/>
  <c r="GU64" i="12"/>
  <c r="GR64" i="12"/>
  <c r="GO64" i="12"/>
  <c r="GL64" i="12"/>
  <c r="GI64" i="12"/>
  <c r="GF64" i="12"/>
  <c r="GC64" i="12"/>
  <c r="FZ64" i="12"/>
  <c r="FW64" i="12"/>
  <c r="FT64" i="12"/>
  <c r="FQ64" i="12"/>
  <c r="FN64" i="12"/>
  <c r="FK64" i="12"/>
  <c r="FH64" i="12"/>
  <c r="FE64" i="12"/>
  <c r="FB64" i="12"/>
  <c r="EY64" i="12"/>
  <c r="EV64" i="12"/>
  <c r="ES64" i="12"/>
  <c r="EP64" i="12"/>
  <c r="EM64" i="12"/>
  <c r="EJ64" i="12"/>
  <c r="EG64" i="12"/>
  <c r="ED64" i="12"/>
  <c r="EA64" i="12"/>
  <c r="DX64" i="12"/>
  <c r="DU64" i="12"/>
  <c r="DR64" i="12"/>
  <c r="DO64" i="12"/>
  <c r="DL64" i="12"/>
  <c r="DI64" i="12"/>
  <c r="DF64" i="12"/>
  <c r="DC64" i="12"/>
  <c r="CZ64" i="12"/>
  <c r="CW64" i="12"/>
  <c r="CT64" i="12"/>
  <c r="CQ64" i="12"/>
  <c r="CN64" i="12"/>
  <c r="CK64" i="12"/>
  <c r="CH64" i="12"/>
  <c r="CE64" i="12"/>
  <c r="CB64" i="12"/>
  <c r="BY64" i="12"/>
  <c r="BV64" i="12"/>
  <c r="BS64" i="12"/>
  <c r="BP64" i="12"/>
  <c r="BM64" i="12"/>
  <c r="BJ64" i="12"/>
  <c r="BG64" i="12"/>
  <c r="BD64" i="12"/>
  <c r="BA64" i="12"/>
  <c r="AX64" i="12"/>
  <c r="AU64" i="12"/>
  <c r="AR64" i="12"/>
  <c r="AO64" i="12"/>
  <c r="AL64" i="12"/>
  <c r="AI64" i="12"/>
  <c r="AF64" i="12"/>
  <c r="AC64" i="12"/>
  <c r="Z64" i="12"/>
  <c r="W64" i="12"/>
  <c r="T64" i="12"/>
  <c r="Q64" i="12"/>
  <c r="N64" i="12"/>
  <c r="K64" i="12"/>
  <c r="H64" i="12"/>
  <c r="E64" i="12"/>
  <c r="NI63" i="12"/>
  <c r="NH63" i="12"/>
  <c r="NJ63" i="12" s="1"/>
  <c r="NF63" i="12"/>
  <c r="NE63" i="12"/>
  <c r="NG63" i="12" s="1"/>
  <c r="ND63" i="12"/>
  <c r="NA63" i="12"/>
  <c r="MX63" i="12"/>
  <c r="MU63" i="12"/>
  <c r="MR63" i="12"/>
  <c r="MO63" i="12"/>
  <c r="ML63" i="12"/>
  <c r="MI63" i="12"/>
  <c r="MF63" i="12"/>
  <c r="MC63" i="12"/>
  <c r="LZ63" i="12"/>
  <c r="LW63" i="12"/>
  <c r="LT63" i="12"/>
  <c r="LQ63" i="12"/>
  <c r="LN63" i="12"/>
  <c r="LK63" i="12"/>
  <c r="LH63" i="12"/>
  <c r="LE63" i="12"/>
  <c r="LB63" i="12"/>
  <c r="KY63" i="12"/>
  <c r="KV63" i="12"/>
  <c r="KS63" i="12"/>
  <c r="KP63" i="12"/>
  <c r="KM63" i="12"/>
  <c r="KJ63" i="12"/>
  <c r="KG63" i="12"/>
  <c r="KD63" i="12"/>
  <c r="KA63" i="12"/>
  <c r="JX63" i="12"/>
  <c r="JU63" i="12"/>
  <c r="JR63" i="12"/>
  <c r="JO63" i="12"/>
  <c r="JL63" i="12"/>
  <c r="JI63" i="12"/>
  <c r="JF63" i="12"/>
  <c r="JC63" i="12"/>
  <c r="IZ63" i="12"/>
  <c r="IW63" i="12"/>
  <c r="IT63" i="12"/>
  <c r="IQ63" i="12"/>
  <c r="IN63" i="12"/>
  <c r="IK63" i="12"/>
  <c r="IH63" i="12"/>
  <c r="IE63" i="12"/>
  <c r="IB63" i="12"/>
  <c r="HY63" i="12"/>
  <c r="HV63" i="12"/>
  <c r="HS63" i="12"/>
  <c r="HP63" i="12"/>
  <c r="HM63" i="12"/>
  <c r="HJ63" i="12"/>
  <c r="HG63" i="12"/>
  <c r="HD63" i="12"/>
  <c r="HA63" i="12"/>
  <c r="GX63" i="12"/>
  <c r="GU63" i="12"/>
  <c r="GR63" i="12"/>
  <c r="GO63" i="12"/>
  <c r="GL63" i="12"/>
  <c r="GI63" i="12"/>
  <c r="GF63" i="12"/>
  <c r="GC63" i="12"/>
  <c r="FZ63" i="12"/>
  <c r="FW63" i="12"/>
  <c r="FT63" i="12"/>
  <c r="FQ63" i="12"/>
  <c r="FN63" i="12"/>
  <c r="FK63" i="12"/>
  <c r="FH63" i="12"/>
  <c r="FE63" i="12"/>
  <c r="FB63" i="12"/>
  <c r="EY63" i="12"/>
  <c r="EV63" i="12"/>
  <c r="ES63" i="12"/>
  <c r="EP63" i="12"/>
  <c r="EM63" i="12"/>
  <c r="EJ63" i="12"/>
  <c r="EG63" i="12"/>
  <c r="ED63" i="12"/>
  <c r="EA63" i="12"/>
  <c r="DX63" i="12"/>
  <c r="DU63" i="12"/>
  <c r="DR63" i="12"/>
  <c r="DO63" i="12"/>
  <c r="DL63" i="12"/>
  <c r="DI63" i="12"/>
  <c r="DF63" i="12"/>
  <c r="DC63" i="12"/>
  <c r="CZ63" i="12"/>
  <c r="CW63" i="12"/>
  <c r="CT63" i="12"/>
  <c r="CQ63" i="12"/>
  <c r="CN63" i="12"/>
  <c r="CK63" i="12"/>
  <c r="CH63" i="12"/>
  <c r="CE63" i="12"/>
  <c r="CB63" i="12"/>
  <c r="BY63" i="12"/>
  <c r="BV63" i="12"/>
  <c r="BS63" i="12"/>
  <c r="BP63" i="12"/>
  <c r="BM63" i="12"/>
  <c r="BJ63" i="12"/>
  <c r="BG63" i="12"/>
  <c r="BD63" i="12"/>
  <c r="BA63" i="12"/>
  <c r="AX63" i="12"/>
  <c r="AU63" i="12"/>
  <c r="AR63" i="12"/>
  <c r="AO63" i="12"/>
  <c r="AL63" i="12"/>
  <c r="AI63" i="12"/>
  <c r="AF63" i="12"/>
  <c r="AC63" i="12"/>
  <c r="Z63" i="12"/>
  <c r="W63" i="12"/>
  <c r="T63" i="12"/>
  <c r="Q63" i="12"/>
  <c r="N63" i="12"/>
  <c r="K63" i="12"/>
  <c r="H63" i="12"/>
  <c r="E63" i="12"/>
  <c r="NJ62" i="12"/>
  <c r="NI62" i="12"/>
  <c r="NH62" i="12"/>
  <c r="NF62" i="12"/>
  <c r="NE62" i="12"/>
  <c r="ND62" i="12"/>
  <c r="NA62" i="12"/>
  <c r="MX62" i="12"/>
  <c r="MU62" i="12"/>
  <c r="MR62" i="12"/>
  <c r="MO62" i="12"/>
  <c r="ML62" i="12"/>
  <c r="MI62" i="12"/>
  <c r="MF62" i="12"/>
  <c r="MC62" i="12"/>
  <c r="LZ62" i="12"/>
  <c r="LW62" i="12"/>
  <c r="LT62" i="12"/>
  <c r="LQ62" i="12"/>
  <c r="LN62" i="12"/>
  <c r="LK62" i="12"/>
  <c r="LH62" i="12"/>
  <c r="LE62" i="12"/>
  <c r="LB62" i="12"/>
  <c r="KY62" i="12"/>
  <c r="KV62" i="12"/>
  <c r="KS62" i="12"/>
  <c r="KP62" i="12"/>
  <c r="KM62" i="12"/>
  <c r="KJ62" i="12"/>
  <c r="KG62" i="12"/>
  <c r="KD62" i="12"/>
  <c r="KA62" i="12"/>
  <c r="JX62" i="12"/>
  <c r="JU62" i="12"/>
  <c r="JR62" i="12"/>
  <c r="JO62" i="12"/>
  <c r="JL62" i="12"/>
  <c r="JI62" i="12"/>
  <c r="JF62" i="12"/>
  <c r="JC62" i="12"/>
  <c r="IZ62" i="12"/>
  <c r="IW62" i="12"/>
  <c r="IT62" i="12"/>
  <c r="IQ62" i="12"/>
  <c r="IN62" i="12"/>
  <c r="IK62" i="12"/>
  <c r="IH62" i="12"/>
  <c r="IE62" i="12"/>
  <c r="IB62" i="12"/>
  <c r="HY62" i="12"/>
  <c r="HV62" i="12"/>
  <c r="HS62" i="12"/>
  <c r="HP62" i="12"/>
  <c r="HM62" i="12"/>
  <c r="HJ62" i="12"/>
  <c r="HG62" i="12"/>
  <c r="HD62" i="12"/>
  <c r="HA62" i="12"/>
  <c r="GX62" i="12"/>
  <c r="GU62" i="12"/>
  <c r="GR62" i="12"/>
  <c r="GO62" i="12"/>
  <c r="GL62" i="12"/>
  <c r="GI62" i="12"/>
  <c r="GF62" i="12"/>
  <c r="GC62" i="12"/>
  <c r="FZ62" i="12"/>
  <c r="FW62" i="12"/>
  <c r="FT62" i="12"/>
  <c r="FQ62" i="12"/>
  <c r="FN62" i="12"/>
  <c r="FK62" i="12"/>
  <c r="FH62" i="12"/>
  <c r="FE62" i="12"/>
  <c r="FB62" i="12"/>
  <c r="EY62" i="12"/>
  <c r="EV62" i="12"/>
  <c r="ES62" i="12"/>
  <c r="EP62" i="12"/>
  <c r="EM62" i="12"/>
  <c r="EJ62" i="12"/>
  <c r="EG62" i="12"/>
  <c r="ED62" i="12"/>
  <c r="EA62" i="12"/>
  <c r="DX62" i="12"/>
  <c r="DU62" i="12"/>
  <c r="DR62" i="12"/>
  <c r="DO62" i="12"/>
  <c r="DL62" i="12"/>
  <c r="DI62" i="12"/>
  <c r="DF62" i="12"/>
  <c r="DC62" i="12"/>
  <c r="CZ62" i="12"/>
  <c r="CW62" i="12"/>
  <c r="CT62" i="12"/>
  <c r="CQ62" i="12"/>
  <c r="CN62" i="12"/>
  <c r="CK62" i="12"/>
  <c r="CH62" i="12"/>
  <c r="CE62" i="12"/>
  <c r="CB62" i="12"/>
  <c r="BY62" i="12"/>
  <c r="BV62" i="12"/>
  <c r="BS62" i="12"/>
  <c r="BP62" i="12"/>
  <c r="BM62" i="12"/>
  <c r="BJ62" i="12"/>
  <c r="BG62" i="12"/>
  <c r="BD62" i="12"/>
  <c r="BA62" i="12"/>
  <c r="AX62" i="12"/>
  <c r="AU62" i="12"/>
  <c r="AR62" i="12"/>
  <c r="AO62" i="12"/>
  <c r="AL62" i="12"/>
  <c r="AI62" i="12"/>
  <c r="AF62" i="12"/>
  <c r="AC62" i="12"/>
  <c r="Z62" i="12"/>
  <c r="W62" i="12"/>
  <c r="T62" i="12"/>
  <c r="Q62" i="12"/>
  <c r="N62" i="12"/>
  <c r="K62" i="12"/>
  <c r="H62" i="12"/>
  <c r="E62" i="12"/>
  <c r="NI61" i="12"/>
  <c r="NH61" i="12"/>
  <c r="NJ61" i="12" s="1"/>
  <c r="NF61" i="12"/>
  <c r="NE61" i="12"/>
  <c r="NG61" i="12" s="1"/>
  <c r="ND61" i="12"/>
  <c r="NA61" i="12"/>
  <c r="MX61" i="12"/>
  <c r="MU61" i="12"/>
  <c r="MR61" i="12"/>
  <c r="MO61" i="12"/>
  <c r="ML61" i="12"/>
  <c r="MI61" i="12"/>
  <c r="MF61" i="12"/>
  <c r="MC61" i="12"/>
  <c r="LZ61" i="12"/>
  <c r="LW61" i="12"/>
  <c r="LT61" i="12"/>
  <c r="LQ61" i="12"/>
  <c r="LN61" i="12"/>
  <c r="LK61" i="12"/>
  <c r="LH61" i="12"/>
  <c r="LE61" i="12"/>
  <c r="LB61" i="12"/>
  <c r="KY61" i="12"/>
  <c r="KV61" i="12"/>
  <c r="KS61" i="12"/>
  <c r="KP61" i="12"/>
  <c r="KM61" i="12"/>
  <c r="KJ61" i="12"/>
  <c r="KG61" i="12"/>
  <c r="KD61" i="12"/>
  <c r="KA61" i="12"/>
  <c r="JX61" i="12"/>
  <c r="JU61" i="12"/>
  <c r="JR61" i="12"/>
  <c r="JO61" i="12"/>
  <c r="JL61" i="12"/>
  <c r="JI61" i="12"/>
  <c r="JF61" i="12"/>
  <c r="JC61" i="12"/>
  <c r="IZ61" i="12"/>
  <c r="IW61" i="12"/>
  <c r="IT61" i="12"/>
  <c r="IQ61" i="12"/>
  <c r="IN61" i="12"/>
  <c r="IK61" i="12"/>
  <c r="IH61" i="12"/>
  <c r="IE61" i="12"/>
  <c r="IB61" i="12"/>
  <c r="HY61" i="12"/>
  <c r="HV61" i="12"/>
  <c r="HS61" i="12"/>
  <c r="HP61" i="12"/>
  <c r="HM61" i="12"/>
  <c r="HJ61" i="12"/>
  <c r="HG61" i="12"/>
  <c r="HD61" i="12"/>
  <c r="HA61" i="12"/>
  <c r="GX61" i="12"/>
  <c r="GU61" i="12"/>
  <c r="GR61" i="12"/>
  <c r="GO61" i="12"/>
  <c r="GL61" i="12"/>
  <c r="GI61" i="12"/>
  <c r="GF61" i="12"/>
  <c r="GC61" i="12"/>
  <c r="FZ61" i="12"/>
  <c r="FW61" i="12"/>
  <c r="FT61" i="12"/>
  <c r="FQ61" i="12"/>
  <c r="FN61" i="12"/>
  <c r="FK61" i="12"/>
  <c r="FH61" i="12"/>
  <c r="FE61" i="12"/>
  <c r="FB61" i="12"/>
  <c r="EY61" i="12"/>
  <c r="EV61" i="12"/>
  <c r="ES61" i="12"/>
  <c r="EP61" i="12"/>
  <c r="EM61" i="12"/>
  <c r="EJ61" i="12"/>
  <c r="EG61" i="12"/>
  <c r="ED61" i="12"/>
  <c r="EA61" i="12"/>
  <c r="DX61" i="12"/>
  <c r="DU61" i="12"/>
  <c r="DR61" i="12"/>
  <c r="DO61" i="12"/>
  <c r="DL61" i="12"/>
  <c r="DI61" i="12"/>
  <c r="DF61" i="12"/>
  <c r="DC61" i="12"/>
  <c r="CZ61" i="12"/>
  <c r="CW61" i="12"/>
  <c r="CT61" i="12"/>
  <c r="CQ61" i="12"/>
  <c r="CN61" i="12"/>
  <c r="CK61" i="12"/>
  <c r="CH61" i="12"/>
  <c r="CE61" i="12"/>
  <c r="CB61" i="12"/>
  <c r="BY61" i="12"/>
  <c r="BV61" i="12"/>
  <c r="BS61" i="12"/>
  <c r="BP61" i="12"/>
  <c r="BM61" i="12"/>
  <c r="BJ61" i="12"/>
  <c r="BG61" i="12"/>
  <c r="BD61" i="12"/>
  <c r="BA61" i="12"/>
  <c r="AX61" i="12"/>
  <c r="AU61" i="12"/>
  <c r="AR61" i="12"/>
  <c r="AO61" i="12"/>
  <c r="AL61" i="12"/>
  <c r="AI61" i="12"/>
  <c r="AF61" i="12"/>
  <c r="AC61" i="12"/>
  <c r="Z61" i="12"/>
  <c r="W61" i="12"/>
  <c r="T61" i="12"/>
  <c r="Q61" i="12"/>
  <c r="N61" i="12"/>
  <c r="K61" i="12"/>
  <c r="H61" i="12"/>
  <c r="E61" i="12"/>
  <c r="NI60" i="12"/>
  <c r="NH60" i="12"/>
  <c r="NJ60" i="12" s="1"/>
  <c r="NF60" i="12"/>
  <c r="NE60" i="12"/>
  <c r="ND60" i="12"/>
  <c r="NA60" i="12"/>
  <c r="MX60" i="12"/>
  <c r="MU60" i="12"/>
  <c r="MR60" i="12"/>
  <c r="MO60" i="12"/>
  <c r="ML60" i="12"/>
  <c r="MI60" i="12"/>
  <c r="MF60" i="12"/>
  <c r="MC60" i="12"/>
  <c r="LZ60" i="12"/>
  <c r="LW60" i="12"/>
  <c r="LT60" i="12"/>
  <c r="LQ60" i="12"/>
  <c r="LN60" i="12"/>
  <c r="LK60" i="12"/>
  <c r="LH60" i="12"/>
  <c r="LE60" i="12"/>
  <c r="LB60" i="12"/>
  <c r="KY60" i="12"/>
  <c r="KV60" i="12"/>
  <c r="KS60" i="12"/>
  <c r="KP60" i="12"/>
  <c r="KM60" i="12"/>
  <c r="KJ60" i="12"/>
  <c r="KG60" i="12"/>
  <c r="KD60" i="12"/>
  <c r="KA60" i="12"/>
  <c r="JX60" i="12"/>
  <c r="JU60" i="12"/>
  <c r="JR60" i="12"/>
  <c r="JO60" i="12"/>
  <c r="JL60" i="12"/>
  <c r="JI60" i="12"/>
  <c r="JF60" i="12"/>
  <c r="JC60" i="12"/>
  <c r="IZ60" i="12"/>
  <c r="IW60" i="12"/>
  <c r="IT60" i="12"/>
  <c r="IQ60" i="12"/>
  <c r="IN60" i="12"/>
  <c r="IK60" i="12"/>
  <c r="IH60" i="12"/>
  <c r="IE60" i="12"/>
  <c r="IB60" i="12"/>
  <c r="HY60" i="12"/>
  <c r="HV60" i="12"/>
  <c r="HS60" i="12"/>
  <c r="HP60" i="12"/>
  <c r="HM60" i="12"/>
  <c r="HJ60" i="12"/>
  <c r="HG60" i="12"/>
  <c r="HD60" i="12"/>
  <c r="HA60" i="12"/>
  <c r="GX60" i="12"/>
  <c r="GU60" i="12"/>
  <c r="GR60" i="12"/>
  <c r="GO60" i="12"/>
  <c r="GL60" i="12"/>
  <c r="GI60" i="12"/>
  <c r="GF60" i="12"/>
  <c r="GC60" i="12"/>
  <c r="FZ60" i="12"/>
  <c r="FW60" i="12"/>
  <c r="FT60" i="12"/>
  <c r="FQ60" i="12"/>
  <c r="FN60" i="12"/>
  <c r="FK60" i="12"/>
  <c r="FH60" i="12"/>
  <c r="FE60" i="12"/>
  <c r="FB60" i="12"/>
  <c r="EY60" i="12"/>
  <c r="EV60" i="12"/>
  <c r="ES60" i="12"/>
  <c r="EP60" i="12"/>
  <c r="EM60" i="12"/>
  <c r="EJ60" i="12"/>
  <c r="EG60" i="12"/>
  <c r="ED60" i="12"/>
  <c r="EA60" i="12"/>
  <c r="DX60" i="12"/>
  <c r="DU60" i="12"/>
  <c r="DR60" i="12"/>
  <c r="DO60" i="12"/>
  <c r="DL60" i="12"/>
  <c r="DI60" i="12"/>
  <c r="DF60" i="12"/>
  <c r="DC60" i="12"/>
  <c r="CZ60" i="12"/>
  <c r="CW60" i="12"/>
  <c r="CT60" i="12"/>
  <c r="CQ60" i="12"/>
  <c r="CN60" i="12"/>
  <c r="CK60" i="12"/>
  <c r="CH60" i="12"/>
  <c r="CE60" i="12"/>
  <c r="CB60" i="12"/>
  <c r="BY60" i="12"/>
  <c r="BV60" i="12"/>
  <c r="BS60" i="12"/>
  <c r="BP60" i="12"/>
  <c r="BM60" i="12"/>
  <c r="BJ60" i="12"/>
  <c r="BG60" i="12"/>
  <c r="BD60" i="12"/>
  <c r="BA60" i="12"/>
  <c r="AX60" i="12"/>
  <c r="AU60" i="12"/>
  <c r="AR60" i="12"/>
  <c r="AO60" i="12"/>
  <c r="AL60" i="12"/>
  <c r="AI60" i="12"/>
  <c r="AF60" i="12"/>
  <c r="AC60" i="12"/>
  <c r="Z60" i="12"/>
  <c r="W60" i="12"/>
  <c r="T60" i="12"/>
  <c r="Q60" i="12"/>
  <c r="N60" i="12"/>
  <c r="K60" i="12"/>
  <c r="H60" i="12"/>
  <c r="E60" i="12"/>
  <c r="NI59" i="12"/>
  <c r="NH59" i="12"/>
  <c r="NJ59" i="12" s="1"/>
  <c r="NF59" i="12"/>
  <c r="NE59" i="12"/>
  <c r="ND59" i="12"/>
  <c r="NA59" i="12"/>
  <c r="MX59" i="12"/>
  <c r="MU59" i="12"/>
  <c r="MR59" i="12"/>
  <c r="MO59" i="12"/>
  <c r="ML59" i="12"/>
  <c r="MI59" i="12"/>
  <c r="MF59" i="12"/>
  <c r="MC59" i="12"/>
  <c r="LZ59" i="12"/>
  <c r="LW59" i="12"/>
  <c r="LT59" i="12"/>
  <c r="LQ59" i="12"/>
  <c r="LN59" i="12"/>
  <c r="LK59" i="12"/>
  <c r="LH59" i="12"/>
  <c r="LE59" i="12"/>
  <c r="LB59" i="12"/>
  <c r="KY59" i="12"/>
  <c r="KV59" i="12"/>
  <c r="KS59" i="12"/>
  <c r="KP59" i="12"/>
  <c r="KM59" i="12"/>
  <c r="KJ59" i="12"/>
  <c r="KG59" i="12"/>
  <c r="KD59" i="12"/>
  <c r="KA59" i="12"/>
  <c r="JX59" i="12"/>
  <c r="JU59" i="12"/>
  <c r="JR59" i="12"/>
  <c r="JO59" i="12"/>
  <c r="JL59" i="12"/>
  <c r="JI59" i="12"/>
  <c r="JF59" i="12"/>
  <c r="JC59" i="12"/>
  <c r="IZ59" i="12"/>
  <c r="IW59" i="12"/>
  <c r="IT59" i="12"/>
  <c r="IQ59" i="12"/>
  <c r="IN59" i="12"/>
  <c r="IK59" i="12"/>
  <c r="IH59" i="12"/>
  <c r="IE59" i="12"/>
  <c r="IB59" i="12"/>
  <c r="HY59" i="12"/>
  <c r="HV59" i="12"/>
  <c r="HS59" i="12"/>
  <c r="HP59" i="12"/>
  <c r="HM59" i="12"/>
  <c r="HJ59" i="12"/>
  <c r="HG59" i="12"/>
  <c r="HD59" i="12"/>
  <c r="HA59" i="12"/>
  <c r="GX59" i="12"/>
  <c r="GU59" i="12"/>
  <c r="GR59" i="12"/>
  <c r="GO59" i="12"/>
  <c r="GL59" i="12"/>
  <c r="GI59" i="12"/>
  <c r="GF59" i="12"/>
  <c r="GC59" i="12"/>
  <c r="FZ59" i="12"/>
  <c r="FW59" i="12"/>
  <c r="FT59" i="12"/>
  <c r="FQ59" i="12"/>
  <c r="FN59" i="12"/>
  <c r="FK59" i="12"/>
  <c r="FH59" i="12"/>
  <c r="FE59" i="12"/>
  <c r="FB59" i="12"/>
  <c r="EY59" i="12"/>
  <c r="EV59" i="12"/>
  <c r="ES59" i="12"/>
  <c r="EP59" i="12"/>
  <c r="EM59" i="12"/>
  <c r="EJ59" i="12"/>
  <c r="EG59" i="12"/>
  <c r="ED59" i="12"/>
  <c r="EA59" i="12"/>
  <c r="DX59" i="12"/>
  <c r="DU59" i="12"/>
  <c r="DR59" i="12"/>
  <c r="DO59" i="12"/>
  <c r="DL59" i="12"/>
  <c r="DI59" i="12"/>
  <c r="DF59" i="12"/>
  <c r="DC59" i="12"/>
  <c r="CZ59" i="12"/>
  <c r="CW59" i="12"/>
  <c r="CT59" i="12"/>
  <c r="CQ59" i="12"/>
  <c r="CN59" i="12"/>
  <c r="CK59" i="12"/>
  <c r="CH59" i="12"/>
  <c r="CE59" i="12"/>
  <c r="CB59" i="12"/>
  <c r="BY59" i="12"/>
  <c r="BV59" i="12"/>
  <c r="BS59" i="12"/>
  <c r="BP59" i="12"/>
  <c r="BM59" i="12"/>
  <c r="BJ59" i="12"/>
  <c r="BG59" i="12"/>
  <c r="BD59" i="12"/>
  <c r="BA59" i="12"/>
  <c r="AX59" i="12"/>
  <c r="AU59" i="12"/>
  <c r="AR59" i="12"/>
  <c r="AO59" i="12"/>
  <c r="AL59" i="12"/>
  <c r="AI59" i="12"/>
  <c r="AF59" i="12"/>
  <c r="AC59" i="12"/>
  <c r="Z59" i="12"/>
  <c r="W59" i="12"/>
  <c r="T59" i="12"/>
  <c r="Q59" i="12"/>
  <c r="N59" i="12"/>
  <c r="K59" i="12"/>
  <c r="H59" i="12"/>
  <c r="E59" i="12"/>
  <c r="NI58" i="12"/>
  <c r="NH58" i="12"/>
  <c r="NF58" i="12"/>
  <c r="NE58" i="12"/>
  <c r="NG58" i="12" s="1"/>
  <c r="ND58" i="12"/>
  <c r="NA58" i="12"/>
  <c r="MX58" i="12"/>
  <c r="MU58" i="12"/>
  <c r="MR58" i="12"/>
  <c r="MO58" i="12"/>
  <c r="ML58" i="12"/>
  <c r="MI58" i="12"/>
  <c r="MF58" i="12"/>
  <c r="MC58" i="12"/>
  <c r="LZ58" i="12"/>
  <c r="LW58" i="12"/>
  <c r="LT58" i="12"/>
  <c r="LQ58" i="12"/>
  <c r="LN58" i="12"/>
  <c r="LK58" i="12"/>
  <c r="LH58" i="12"/>
  <c r="LE58" i="12"/>
  <c r="LB58" i="12"/>
  <c r="KY58" i="12"/>
  <c r="KV58" i="12"/>
  <c r="KS58" i="12"/>
  <c r="KP58" i="12"/>
  <c r="KM58" i="12"/>
  <c r="KJ58" i="12"/>
  <c r="KG58" i="12"/>
  <c r="KD58" i="12"/>
  <c r="KA58" i="12"/>
  <c r="JX58" i="12"/>
  <c r="JU58" i="12"/>
  <c r="JR58" i="12"/>
  <c r="JO58" i="12"/>
  <c r="JL58" i="12"/>
  <c r="JI58" i="12"/>
  <c r="JF58" i="12"/>
  <c r="JC58" i="12"/>
  <c r="IZ58" i="12"/>
  <c r="IW58" i="12"/>
  <c r="IT58" i="12"/>
  <c r="IQ58" i="12"/>
  <c r="IN58" i="12"/>
  <c r="IK58" i="12"/>
  <c r="IH58" i="12"/>
  <c r="IE58" i="12"/>
  <c r="IB58" i="12"/>
  <c r="HY58" i="12"/>
  <c r="HV58" i="12"/>
  <c r="HS58" i="12"/>
  <c r="HP58" i="12"/>
  <c r="HM58" i="12"/>
  <c r="HJ58" i="12"/>
  <c r="HG58" i="12"/>
  <c r="HD58" i="12"/>
  <c r="HA58" i="12"/>
  <c r="GX58" i="12"/>
  <c r="GU58" i="12"/>
  <c r="GR58" i="12"/>
  <c r="GO58" i="12"/>
  <c r="GL58" i="12"/>
  <c r="GI58" i="12"/>
  <c r="GF58" i="12"/>
  <c r="GC58" i="12"/>
  <c r="FZ58" i="12"/>
  <c r="FW58" i="12"/>
  <c r="FT58" i="12"/>
  <c r="FQ58" i="12"/>
  <c r="FN58" i="12"/>
  <c r="FK58" i="12"/>
  <c r="FH58" i="12"/>
  <c r="FE58" i="12"/>
  <c r="FB58" i="12"/>
  <c r="EY58" i="12"/>
  <c r="EV58" i="12"/>
  <c r="ES58" i="12"/>
  <c r="EP58" i="12"/>
  <c r="EM58" i="12"/>
  <c r="EJ58" i="12"/>
  <c r="EG58" i="12"/>
  <c r="ED58" i="12"/>
  <c r="EA58" i="12"/>
  <c r="DX58" i="12"/>
  <c r="DU58" i="12"/>
  <c r="DR58" i="12"/>
  <c r="DO58" i="12"/>
  <c r="DL58" i="12"/>
  <c r="DI58" i="12"/>
  <c r="DF58" i="12"/>
  <c r="DC58" i="12"/>
  <c r="CZ58" i="12"/>
  <c r="CW58" i="12"/>
  <c r="CT58" i="12"/>
  <c r="CQ58" i="12"/>
  <c r="CN58" i="12"/>
  <c r="CK58" i="12"/>
  <c r="CH58" i="12"/>
  <c r="CE58" i="12"/>
  <c r="CB58" i="12"/>
  <c r="BY58" i="12"/>
  <c r="BV58" i="12"/>
  <c r="BS58" i="12"/>
  <c r="BP58" i="12"/>
  <c r="BM58" i="12"/>
  <c r="BJ58" i="12"/>
  <c r="BG58" i="12"/>
  <c r="BD58" i="12"/>
  <c r="BA58" i="12"/>
  <c r="AX58" i="12"/>
  <c r="AU58" i="12"/>
  <c r="AR58" i="12"/>
  <c r="AO58" i="12"/>
  <c r="AL58" i="12"/>
  <c r="AI58" i="12"/>
  <c r="AF58" i="12"/>
  <c r="AC58" i="12"/>
  <c r="Z58" i="12"/>
  <c r="W58" i="12"/>
  <c r="T58" i="12"/>
  <c r="Q58" i="12"/>
  <c r="N58" i="12"/>
  <c r="K58" i="12"/>
  <c r="H58" i="12"/>
  <c r="E58" i="12"/>
  <c r="NI57" i="12"/>
  <c r="NH57" i="12"/>
  <c r="NJ57" i="12" s="1"/>
  <c r="NF57" i="12"/>
  <c r="NE57" i="12"/>
  <c r="ND57" i="12"/>
  <c r="NA57" i="12"/>
  <c r="MX57" i="12"/>
  <c r="MU57" i="12"/>
  <c r="MR57" i="12"/>
  <c r="MO57" i="12"/>
  <c r="ML57" i="12"/>
  <c r="MI57" i="12"/>
  <c r="MF57" i="12"/>
  <c r="MC57" i="12"/>
  <c r="LZ57" i="12"/>
  <c r="LW57" i="12"/>
  <c r="LT57" i="12"/>
  <c r="LQ57" i="12"/>
  <c r="LN57" i="12"/>
  <c r="LK57" i="12"/>
  <c r="LH57" i="12"/>
  <c r="LE57" i="12"/>
  <c r="LB57" i="12"/>
  <c r="KY57" i="12"/>
  <c r="KV57" i="12"/>
  <c r="KS57" i="12"/>
  <c r="KP57" i="12"/>
  <c r="KM57" i="12"/>
  <c r="KJ57" i="12"/>
  <c r="KG57" i="12"/>
  <c r="KD57" i="12"/>
  <c r="KA57" i="12"/>
  <c r="JX57" i="12"/>
  <c r="JU57" i="12"/>
  <c r="JR57" i="12"/>
  <c r="JO57" i="12"/>
  <c r="JL57" i="12"/>
  <c r="JI57" i="12"/>
  <c r="JF57" i="12"/>
  <c r="JC57" i="12"/>
  <c r="IZ57" i="12"/>
  <c r="IW57" i="12"/>
  <c r="IT57" i="12"/>
  <c r="IQ57" i="12"/>
  <c r="IN57" i="12"/>
  <c r="IK57" i="12"/>
  <c r="IH57" i="12"/>
  <c r="IE57" i="12"/>
  <c r="IB57" i="12"/>
  <c r="HY57" i="12"/>
  <c r="HV57" i="12"/>
  <c r="HS57" i="12"/>
  <c r="HP57" i="12"/>
  <c r="HM57" i="12"/>
  <c r="HJ57" i="12"/>
  <c r="HG57" i="12"/>
  <c r="HD57" i="12"/>
  <c r="HA57" i="12"/>
  <c r="GX57" i="12"/>
  <c r="GU57" i="12"/>
  <c r="GR57" i="12"/>
  <c r="GO57" i="12"/>
  <c r="GL57" i="12"/>
  <c r="GI57" i="12"/>
  <c r="GF57" i="12"/>
  <c r="GC57" i="12"/>
  <c r="FZ57" i="12"/>
  <c r="FW57" i="12"/>
  <c r="FT57" i="12"/>
  <c r="FQ57" i="12"/>
  <c r="FN57" i="12"/>
  <c r="FK57" i="12"/>
  <c r="FH57" i="12"/>
  <c r="FE57" i="12"/>
  <c r="FB57" i="12"/>
  <c r="EY57" i="12"/>
  <c r="EV57" i="12"/>
  <c r="ES57" i="12"/>
  <c r="EP57" i="12"/>
  <c r="EM57" i="12"/>
  <c r="EJ57" i="12"/>
  <c r="EG57" i="12"/>
  <c r="ED57" i="12"/>
  <c r="EA57" i="12"/>
  <c r="DX57" i="12"/>
  <c r="DU57" i="12"/>
  <c r="DR57" i="12"/>
  <c r="DO57" i="12"/>
  <c r="DL57" i="12"/>
  <c r="DI57" i="12"/>
  <c r="DF57" i="12"/>
  <c r="DC57" i="12"/>
  <c r="CZ57" i="12"/>
  <c r="CW57" i="12"/>
  <c r="CT57" i="12"/>
  <c r="CQ57" i="12"/>
  <c r="CN57" i="12"/>
  <c r="CK57" i="12"/>
  <c r="CH57" i="12"/>
  <c r="CE57" i="12"/>
  <c r="CB57" i="12"/>
  <c r="BY57" i="12"/>
  <c r="BV57" i="12"/>
  <c r="BS57" i="12"/>
  <c r="BP57" i="12"/>
  <c r="BM57" i="12"/>
  <c r="BJ57" i="12"/>
  <c r="BG57" i="12"/>
  <c r="BD57" i="12"/>
  <c r="BA57" i="12"/>
  <c r="AX57" i="12"/>
  <c r="AU57" i="12"/>
  <c r="AR57" i="12"/>
  <c r="AO57" i="12"/>
  <c r="AL57" i="12"/>
  <c r="AI57" i="12"/>
  <c r="AF57" i="12"/>
  <c r="AC57" i="12"/>
  <c r="Z57" i="12"/>
  <c r="W57" i="12"/>
  <c r="T57" i="12"/>
  <c r="Q57" i="12"/>
  <c r="N57" i="12"/>
  <c r="K57" i="12"/>
  <c r="H57" i="12"/>
  <c r="E57" i="12"/>
  <c r="NI56" i="12"/>
  <c r="NH56" i="12"/>
  <c r="NJ56" i="12" s="1"/>
  <c r="NF56" i="12"/>
  <c r="NE56" i="12"/>
  <c r="NG56" i="12" s="1"/>
  <c r="ND56" i="12"/>
  <c r="NA56" i="12"/>
  <c r="MX56" i="12"/>
  <c r="MU56" i="12"/>
  <c r="MR56" i="12"/>
  <c r="MO56" i="12"/>
  <c r="ML56" i="12"/>
  <c r="MI56" i="12"/>
  <c r="MF56" i="12"/>
  <c r="MC56" i="12"/>
  <c r="LZ56" i="12"/>
  <c r="LW56" i="12"/>
  <c r="LT56" i="12"/>
  <c r="LQ56" i="12"/>
  <c r="LN56" i="12"/>
  <c r="LK56" i="12"/>
  <c r="LH56" i="12"/>
  <c r="LE56" i="12"/>
  <c r="LB56" i="12"/>
  <c r="KY56" i="12"/>
  <c r="KV56" i="12"/>
  <c r="KS56" i="12"/>
  <c r="KP56" i="12"/>
  <c r="KM56" i="12"/>
  <c r="KJ56" i="12"/>
  <c r="KG56" i="12"/>
  <c r="KD56" i="12"/>
  <c r="KA56" i="12"/>
  <c r="JX56" i="12"/>
  <c r="JU56" i="12"/>
  <c r="JR56" i="12"/>
  <c r="JO56" i="12"/>
  <c r="JL56" i="12"/>
  <c r="JI56" i="12"/>
  <c r="JF56" i="12"/>
  <c r="JC56" i="12"/>
  <c r="IZ56" i="12"/>
  <c r="IW56" i="12"/>
  <c r="IT56" i="12"/>
  <c r="IQ56" i="12"/>
  <c r="IN56" i="12"/>
  <c r="IK56" i="12"/>
  <c r="IH56" i="12"/>
  <c r="IE56" i="12"/>
  <c r="IB56" i="12"/>
  <c r="HY56" i="12"/>
  <c r="HV56" i="12"/>
  <c r="HS56" i="12"/>
  <c r="HP56" i="12"/>
  <c r="HM56" i="12"/>
  <c r="HJ56" i="12"/>
  <c r="HG56" i="12"/>
  <c r="HD56" i="12"/>
  <c r="HA56" i="12"/>
  <c r="GX56" i="12"/>
  <c r="GU56" i="12"/>
  <c r="GR56" i="12"/>
  <c r="GO56" i="12"/>
  <c r="GL56" i="12"/>
  <c r="GI56" i="12"/>
  <c r="GF56" i="12"/>
  <c r="GC56" i="12"/>
  <c r="FZ56" i="12"/>
  <c r="FW56" i="12"/>
  <c r="FT56" i="12"/>
  <c r="FQ56" i="12"/>
  <c r="FN56" i="12"/>
  <c r="FK56" i="12"/>
  <c r="FH56" i="12"/>
  <c r="FE56" i="12"/>
  <c r="FB56" i="12"/>
  <c r="EY56" i="12"/>
  <c r="EV56" i="12"/>
  <c r="ES56" i="12"/>
  <c r="EP56" i="12"/>
  <c r="EM56" i="12"/>
  <c r="EJ56" i="12"/>
  <c r="EG56" i="12"/>
  <c r="ED56" i="12"/>
  <c r="EA56" i="12"/>
  <c r="DX56" i="12"/>
  <c r="DU56" i="12"/>
  <c r="DR56" i="12"/>
  <c r="DO56" i="12"/>
  <c r="DL56" i="12"/>
  <c r="DI56" i="12"/>
  <c r="DF56" i="12"/>
  <c r="DC56" i="12"/>
  <c r="CZ56" i="12"/>
  <c r="CW56" i="12"/>
  <c r="CT56" i="12"/>
  <c r="CQ56" i="12"/>
  <c r="CN56" i="12"/>
  <c r="CK56" i="12"/>
  <c r="CH56" i="12"/>
  <c r="CE56" i="12"/>
  <c r="CB56" i="12"/>
  <c r="BY56" i="12"/>
  <c r="BV56" i="12"/>
  <c r="BS56" i="12"/>
  <c r="BP56" i="12"/>
  <c r="BM56" i="12"/>
  <c r="BJ56" i="12"/>
  <c r="BG56" i="12"/>
  <c r="BD56" i="12"/>
  <c r="BA56" i="12"/>
  <c r="AX56" i="12"/>
  <c r="AU56" i="12"/>
  <c r="AR56" i="12"/>
  <c r="AO56" i="12"/>
  <c r="AL56" i="12"/>
  <c r="AI56" i="12"/>
  <c r="AF56" i="12"/>
  <c r="AC56" i="12"/>
  <c r="Z56" i="12"/>
  <c r="W56" i="12"/>
  <c r="T56" i="12"/>
  <c r="Q56" i="12"/>
  <c r="N56" i="12"/>
  <c r="K56" i="12"/>
  <c r="H56" i="12"/>
  <c r="E56" i="12"/>
  <c r="NI55" i="12"/>
  <c r="NH55" i="12"/>
  <c r="NF55" i="12"/>
  <c r="NE55" i="12"/>
  <c r="NG55" i="12" s="1"/>
  <c r="ND55" i="12"/>
  <c r="NA55" i="12"/>
  <c r="MX55" i="12"/>
  <c r="MU55" i="12"/>
  <c r="MR55" i="12"/>
  <c r="MO55" i="12"/>
  <c r="ML55" i="12"/>
  <c r="MI55" i="12"/>
  <c r="MF55" i="12"/>
  <c r="MC55" i="12"/>
  <c r="LZ55" i="12"/>
  <c r="LW55" i="12"/>
  <c r="LT55" i="12"/>
  <c r="LQ55" i="12"/>
  <c r="LN55" i="12"/>
  <c r="LK55" i="12"/>
  <c r="LH55" i="12"/>
  <c r="LE55" i="12"/>
  <c r="LB55" i="12"/>
  <c r="KY55" i="12"/>
  <c r="KV55" i="12"/>
  <c r="KS55" i="12"/>
  <c r="KP55" i="12"/>
  <c r="KM55" i="12"/>
  <c r="KJ55" i="12"/>
  <c r="KG55" i="12"/>
  <c r="KD55" i="12"/>
  <c r="KA55" i="12"/>
  <c r="JX55" i="12"/>
  <c r="JU55" i="12"/>
  <c r="JR55" i="12"/>
  <c r="JO55" i="12"/>
  <c r="JL55" i="12"/>
  <c r="JI55" i="12"/>
  <c r="JF55" i="12"/>
  <c r="JC55" i="12"/>
  <c r="IZ55" i="12"/>
  <c r="IW55" i="12"/>
  <c r="IT55" i="12"/>
  <c r="IQ55" i="12"/>
  <c r="IN55" i="12"/>
  <c r="IK55" i="12"/>
  <c r="IH55" i="12"/>
  <c r="IE55" i="12"/>
  <c r="IB55" i="12"/>
  <c r="HY55" i="12"/>
  <c r="HV55" i="12"/>
  <c r="HS55" i="12"/>
  <c r="HP55" i="12"/>
  <c r="HM55" i="12"/>
  <c r="HJ55" i="12"/>
  <c r="HG55" i="12"/>
  <c r="HD55" i="12"/>
  <c r="HA55" i="12"/>
  <c r="GX55" i="12"/>
  <c r="GU55" i="12"/>
  <c r="GR55" i="12"/>
  <c r="GO55" i="12"/>
  <c r="GL55" i="12"/>
  <c r="GI55" i="12"/>
  <c r="GF55" i="12"/>
  <c r="GC55" i="12"/>
  <c r="FZ55" i="12"/>
  <c r="FW55" i="12"/>
  <c r="FT55" i="12"/>
  <c r="FQ55" i="12"/>
  <c r="FN55" i="12"/>
  <c r="FK55" i="12"/>
  <c r="FH55" i="12"/>
  <c r="FE55" i="12"/>
  <c r="FB55" i="12"/>
  <c r="EY55" i="12"/>
  <c r="EV55" i="12"/>
  <c r="ES55" i="12"/>
  <c r="EP55" i="12"/>
  <c r="EM55" i="12"/>
  <c r="EJ55" i="12"/>
  <c r="EG55" i="12"/>
  <c r="ED55" i="12"/>
  <c r="EA55" i="12"/>
  <c r="DX55" i="12"/>
  <c r="DU55" i="12"/>
  <c r="DR55" i="12"/>
  <c r="DO55" i="12"/>
  <c r="DL55" i="12"/>
  <c r="DI55" i="12"/>
  <c r="DF55" i="12"/>
  <c r="DC55" i="12"/>
  <c r="CZ55" i="12"/>
  <c r="CW55" i="12"/>
  <c r="CT55" i="12"/>
  <c r="CQ55" i="12"/>
  <c r="CN55" i="12"/>
  <c r="CK55" i="12"/>
  <c r="CH55" i="12"/>
  <c r="CE55" i="12"/>
  <c r="CB55" i="12"/>
  <c r="BY55" i="12"/>
  <c r="BV55" i="12"/>
  <c r="BS55" i="12"/>
  <c r="BP55" i="12"/>
  <c r="BM55" i="12"/>
  <c r="BJ55" i="12"/>
  <c r="BG55" i="12"/>
  <c r="BD55" i="12"/>
  <c r="BA55" i="12"/>
  <c r="AX55" i="12"/>
  <c r="AU55" i="12"/>
  <c r="AR55" i="12"/>
  <c r="AO55" i="12"/>
  <c r="AL55" i="12"/>
  <c r="AI55" i="12"/>
  <c r="AF55" i="12"/>
  <c r="AC55" i="12"/>
  <c r="Z55" i="12"/>
  <c r="W55" i="12"/>
  <c r="T55" i="12"/>
  <c r="Q55" i="12"/>
  <c r="N55" i="12"/>
  <c r="K55" i="12"/>
  <c r="H55" i="12"/>
  <c r="E55" i="12"/>
  <c r="NI54" i="12"/>
  <c r="NH54" i="12"/>
  <c r="NF54" i="12"/>
  <c r="NE54" i="12"/>
  <c r="NG54" i="12" s="1"/>
  <c r="ND54" i="12"/>
  <c r="NA54" i="12"/>
  <c r="MX54" i="12"/>
  <c r="MU54" i="12"/>
  <c r="MR54" i="12"/>
  <c r="MO54" i="12"/>
  <c r="ML54" i="12"/>
  <c r="MI54" i="12"/>
  <c r="MF54" i="12"/>
  <c r="MC54" i="12"/>
  <c r="LZ54" i="12"/>
  <c r="LW54" i="12"/>
  <c r="LT54" i="12"/>
  <c r="LQ54" i="12"/>
  <c r="LN54" i="12"/>
  <c r="LK54" i="12"/>
  <c r="LH54" i="12"/>
  <c r="LE54" i="12"/>
  <c r="LB54" i="12"/>
  <c r="KY54" i="12"/>
  <c r="KV54" i="12"/>
  <c r="KS54" i="12"/>
  <c r="KP54" i="12"/>
  <c r="KM54" i="12"/>
  <c r="KJ54" i="12"/>
  <c r="KG54" i="12"/>
  <c r="KD54" i="12"/>
  <c r="KA54" i="12"/>
  <c r="JX54" i="12"/>
  <c r="JU54" i="12"/>
  <c r="JR54" i="12"/>
  <c r="JO54" i="12"/>
  <c r="JL54" i="12"/>
  <c r="JI54" i="12"/>
  <c r="JF54" i="12"/>
  <c r="JC54" i="12"/>
  <c r="IZ54" i="12"/>
  <c r="IW54" i="12"/>
  <c r="IT54" i="12"/>
  <c r="IQ54" i="12"/>
  <c r="IN54" i="12"/>
  <c r="IK54" i="12"/>
  <c r="IH54" i="12"/>
  <c r="IE54" i="12"/>
  <c r="IB54" i="12"/>
  <c r="HY54" i="12"/>
  <c r="HV54" i="12"/>
  <c r="HS54" i="12"/>
  <c r="HP54" i="12"/>
  <c r="HM54" i="12"/>
  <c r="HJ54" i="12"/>
  <c r="HG54" i="12"/>
  <c r="HD54" i="12"/>
  <c r="HA54" i="12"/>
  <c r="GX54" i="12"/>
  <c r="GU54" i="12"/>
  <c r="GR54" i="12"/>
  <c r="GO54" i="12"/>
  <c r="GL54" i="12"/>
  <c r="GI54" i="12"/>
  <c r="GF54" i="12"/>
  <c r="GC54" i="12"/>
  <c r="FZ54" i="12"/>
  <c r="FW54" i="12"/>
  <c r="FT54" i="12"/>
  <c r="FQ54" i="12"/>
  <c r="FN54" i="12"/>
  <c r="FK54" i="12"/>
  <c r="FH54" i="12"/>
  <c r="FE54" i="12"/>
  <c r="FB54" i="12"/>
  <c r="EY54" i="12"/>
  <c r="EV54" i="12"/>
  <c r="ES54" i="12"/>
  <c r="EP54" i="12"/>
  <c r="EM54" i="12"/>
  <c r="EJ54" i="12"/>
  <c r="EG54" i="12"/>
  <c r="ED54" i="12"/>
  <c r="EA54" i="12"/>
  <c r="DX54" i="12"/>
  <c r="DU54" i="12"/>
  <c r="DR54" i="12"/>
  <c r="DO54" i="12"/>
  <c r="DL54" i="12"/>
  <c r="DI54" i="12"/>
  <c r="DF54" i="12"/>
  <c r="DC54" i="12"/>
  <c r="CZ54" i="12"/>
  <c r="CW54" i="12"/>
  <c r="CT54" i="12"/>
  <c r="CQ54" i="12"/>
  <c r="CN54" i="12"/>
  <c r="CK54" i="12"/>
  <c r="CH54" i="12"/>
  <c r="CE54" i="12"/>
  <c r="CB54" i="12"/>
  <c r="BY54" i="12"/>
  <c r="BV54" i="12"/>
  <c r="BS54" i="12"/>
  <c r="BP54" i="12"/>
  <c r="BM54" i="12"/>
  <c r="BJ54" i="12"/>
  <c r="BG54" i="12"/>
  <c r="BD54" i="12"/>
  <c r="BA54" i="12"/>
  <c r="AX54" i="12"/>
  <c r="AU54" i="12"/>
  <c r="AR54" i="12"/>
  <c r="AO54" i="12"/>
  <c r="AL54" i="12"/>
  <c r="AI54" i="12"/>
  <c r="AF54" i="12"/>
  <c r="AC54" i="12"/>
  <c r="Z54" i="12"/>
  <c r="W54" i="12"/>
  <c r="T54" i="12"/>
  <c r="Q54" i="12"/>
  <c r="N54" i="12"/>
  <c r="K54" i="12"/>
  <c r="H54" i="12"/>
  <c r="E54" i="12"/>
  <c r="NJ53" i="12"/>
  <c r="NI53" i="12"/>
  <c r="NH53" i="12"/>
  <c r="NF53" i="12"/>
  <c r="NE53" i="12"/>
  <c r="ND53" i="12"/>
  <c r="NA53" i="12"/>
  <c r="MX53" i="12"/>
  <c r="MU53" i="12"/>
  <c r="MR53" i="12"/>
  <c r="MO53" i="12"/>
  <c r="ML53" i="12"/>
  <c r="MI53" i="12"/>
  <c r="MF53" i="12"/>
  <c r="MC53" i="12"/>
  <c r="LZ53" i="12"/>
  <c r="LW53" i="12"/>
  <c r="LT53" i="12"/>
  <c r="LQ53" i="12"/>
  <c r="LN53" i="12"/>
  <c r="LK53" i="12"/>
  <c r="LH53" i="12"/>
  <c r="LE53" i="12"/>
  <c r="LB53" i="12"/>
  <c r="KY53" i="12"/>
  <c r="KV53" i="12"/>
  <c r="KS53" i="12"/>
  <c r="KP53" i="12"/>
  <c r="KM53" i="12"/>
  <c r="KJ53" i="12"/>
  <c r="KG53" i="12"/>
  <c r="KD53" i="12"/>
  <c r="KA53" i="12"/>
  <c r="JX53" i="12"/>
  <c r="JU53" i="12"/>
  <c r="JR53" i="12"/>
  <c r="JO53" i="12"/>
  <c r="JL53" i="12"/>
  <c r="JI53" i="12"/>
  <c r="JF53" i="12"/>
  <c r="JC53" i="12"/>
  <c r="IZ53" i="12"/>
  <c r="IW53" i="12"/>
  <c r="IT53" i="12"/>
  <c r="IQ53" i="12"/>
  <c r="IN53" i="12"/>
  <c r="IK53" i="12"/>
  <c r="IH53" i="12"/>
  <c r="IE53" i="12"/>
  <c r="IB53" i="12"/>
  <c r="HY53" i="12"/>
  <c r="HV53" i="12"/>
  <c r="HS53" i="12"/>
  <c r="HP53" i="12"/>
  <c r="HM53" i="12"/>
  <c r="HJ53" i="12"/>
  <c r="HG53" i="12"/>
  <c r="HD53" i="12"/>
  <c r="HA53" i="12"/>
  <c r="GX53" i="12"/>
  <c r="GU53" i="12"/>
  <c r="GR53" i="12"/>
  <c r="GO53" i="12"/>
  <c r="GL53" i="12"/>
  <c r="GI53" i="12"/>
  <c r="GF53" i="12"/>
  <c r="GC53" i="12"/>
  <c r="FZ53" i="12"/>
  <c r="FW53" i="12"/>
  <c r="FT53" i="12"/>
  <c r="FQ53" i="12"/>
  <c r="FN53" i="12"/>
  <c r="FK53" i="12"/>
  <c r="FH53" i="12"/>
  <c r="FE53" i="12"/>
  <c r="FB53" i="12"/>
  <c r="EY53" i="12"/>
  <c r="EV53" i="12"/>
  <c r="ES53" i="12"/>
  <c r="EP53" i="12"/>
  <c r="EM53" i="12"/>
  <c r="EJ53" i="12"/>
  <c r="EG53" i="12"/>
  <c r="ED53" i="12"/>
  <c r="EA53" i="12"/>
  <c r="DX53" i="12"/>
  <c r="DU53" i="12"/>
  <c r="DR53" i="12"/>
  <c r="DO53" i="12"/>
  <c r="DL53" i="12"/>
  <c r="DI53" i="12"/>
  <c r="DF53" i="12"/>
  <c r="DC53" i="12"/>
  <c r="CZ53" i="12"/>
  <c r="CW53" i="12"/>
  <c r="CT53" i="12"/>
  <c r="CQ53" i="12"/>
  <c r="CN53" i="12"/>
  <c r="CK53" i="12"/>
  <c r="CH53" i="12"/>
  <c r="CE53" i="12"/>
  <c r="CB53" i="12"/>
  <c r="BY53" i="12"/>
  <c r="BV53" i="12"/>
  <c r="BS53" i="12"/>
  <c r="BP53" i="12"/>
  <c r="BM53" i="12"/>
  <c r="BJ53" i="12"/>
  <c r="BG53" i="12"/>
  <c r="BD53" i="12"/>
  <c r="BA53" i="12"/>
  <c r="AX53" i="12"/>
  <c r="AU53" i="12"/>
  <c r="AR53" i="12"/>
  <c r="AO53" i="12"/>
  <c r="AL53" i="12"/>
  <c r="AI53" i="12"/>
  <c r="AF53" i="12"/>
  <c r="AC53" i="12"/>
  <c r="Z53" i="12"/>
  <c r="W53" i="12"/>
  <c r="T53" i="12"/>
  <c r="Q53" i="12"/>
  <c r="N53" i="12"/>
  <c r="K53" i="12"/>
  <c r="H53" i="12"/>
  <c r="E53" i="12"/>
  <c r="NI52" i="12"/>
  <c r="NH52" i="12"/>
  <c r="NJ52" i="12" s="1"/>
  <c r="NF52" i="12"/>
  <c r="NE52" i="12"/>
  <c r="NG52" i="12" s="1"/>
  <c r="ND52" i="12"/>
  <c r="NA52" i="12"/>
  <c r="MX52" i="12"/>
  <c r="MU52" i="12"/>
  <c r="MR52" i="12"/>
  <c r="MO52" i="12"/>
  <c r="ML52" i="12"/>
  <c r="MI52" i="12"/>
  <c r="MF52" i="12"/>
  <c r="MC52" i="12"/>
  <c r="LZ52" i="12"/>
  <c r="LW52" i="12"/>
  <c r="LT52" i="12"/>
  <c r="LQ52" i="12"/>
  <c r="LN52" i="12"/>
  <c r="LK52" i="12"/>
  <c r="LH52" i="12"/>
  <c r="LE52" i="12"/>
  <c r="LB52" i="12"/>
  <c r="KY52" i="12"/>
  <c r="KV52" i="12"/>
  <c r="KS52" i="12"/>
  <c r="KP52" i="12"/>
  <c r="KM52" i="12"/>
  <c r="KJ52" i="12"/>
  <c r="KG52" i="12"/>
  <c r="KD52" i="12"/>
  <c r="KA52" i="12"/>
  <c r="JX52" i="12"/>
  <c r="JU52" i="12"/>
  <c r="JR52" i="12"/>
  <c r="JO52" i="12"/>
  <c r="JL52" i="12"/>
  <c r="JI52" i="12"/>
  <c r="JF52" i="12"/>
  <c r="JC52" i="12"/>
  <c r="IZ52" i="12"/>
  <c r="IW52" i="12"/>
  <c r="IT52" i="12"/>
  <c r="IQ52" i="12"/>
  <c r="IN52" i="12"/>
  <c r="IK52" i="12"/>
  <c r="IH52" i="12"/>
  <c r="IE52" i="12"/>
  <c r="IB52" i="12"/>
  <c r="HY52" i="12"/>
  <c r="HV52" i="12"/>
  <c r="HS52" i="12"/>
  <c r="HP52" i="12"/>
  <c r="HM52" i="12"/>
  <c r="HJ52" i="12"/>
  <c r="HG52" i="12"/>
  <c r="HD52" i="12"/>
  <c r="HA52" i="12"/>
  <c r="GX52" i="12"/>
  <c r="GU52" i="12"/>
  <c r="GR52" i="12"/>
  <c r="GO52" i="12"/>
  <c r="GL52" i="12"/>
  <c r="GI52" i="12"/>
  <c r="GF52" i="12"/>
  <c r="GC52" i="12"/>
  <c r="FZ52" i="12"/>
  <c r="FW52" i="12"/>
  <c r="FT52" i="12"/>
  <c r="FQ52" i="12"/>
  <c r="FN52" i="12"/>
  <c r="FK52" i="12"/>
  <c r="FH52" i="12"/>
  <c r="FE52" i="12"/>
  <c r="FB52" i="12"/>
  <c r="EY52" i="12"/>
  <c r="EV52" i="12"/>
  <c r="ES52" i="12"/>
  <c r="EP52" i="12"/>
  <c r="EM52" i="12"/>
  <c r="EJ52" i="12"/>
  <c r="EG52" i="12"/>
  <c r="ED52" i="12"/>
  <c r="EA52" i="12"/>
  <c r="DX52" i="12"/>
  <c r="DU52" i="12"/>
  <c r="DR52" i="12"/>
  <c r="DO52" i="12"/>
  <c r="DL52" i="12"/>
  <c r="DI52" i="12"/>
  <c r="DF52" i="12"/>
  <c r="DC52" i="12"/>
  <c r="CZ52" i="12"/>
  <c r="CW52" i="12"/>
  <c r="CT52" i="12"/>
  <c r="CQ52" i="12"/>
  <c r="CN52" i="12"/>
  <c r="CK52" i="12"/>
  <c r="CH52" i="12"/>
  <c r="CE52" i="12"/>
  <c r="CB52" i="12"/>
  <c r="BY52" i="12"/>
  <c r="BV52" i="12"/>
  <c r="BS52" i="12"/>
  <c r="BP52" i="12"/>
  <c r="BM52" i="12"/>
  <c r="BJ52" i="12"/>
  <c r="BG52" i="12"/>
  <c r="BD52" i="12"/>
  <c r="BA52" i="12"/>
  <c r="AX52" i="12"/>
  <c r="AU52" i="12"/>
  <c r="AR52" i="12"/>
  <c r="AO52" i="12"/>
  <c r="AL52" i="12"/>
  <c r="AI52" i="12"/>
  <c r="AF52" i="12"/>
  <c r="AC52" i="12"/>
  <c r="Z52" i="12"/>
  <c r="W52" i="12"/>
  <c r="T52" i="12"/>
  <c r="Q52" i="12"/>
  <c r="N52" i="12"/>
  <c r="K52" i="12"/>
  <c r="H52" i="12"/>
  <c r="E52" i="12"/>
  <c r="NI51" i="12"/>
  <c r="NH51" i="12"/>
  <c r="NF51" i="12"/>
  <c r="NE51" i="12"/>
  <c r="NG51" i="12" s="1"/>
  <c r="ND51" i="12"/>
  <c r="NA51" i="12"/>
  <c r="MX51" i="12"/>
  <c r="MU51" i="12"/>
  <c r="MR51" i="12"/>
  <c r="MO51" i="12"/>
  <c r="ML51" i="12"/>
  <c r="MI51" i="12"/>
  <c r="MF51" i="12"/>
  <c r="MC51" i="12"/>
  <c r="LZ51" i="12"/>
  <c r="LW51" i="12"/>
  <c r="LT51" i="12"/>
  <c r="LQ51" i="12"/>
  <c r="LN51" i="12"/>
  <c r="LK51" i="12"/>
  <c r="LH51" i="12"/>
  <c r="LE51" i="12"/>
  <c r="LB51" i="12"/>
  <c r="KY51" i="12"/>
  <c r="KV51" i="12"/>
  <c r="KS51" i="12"/>
  <c r="KP51" i="12"/>
  <c r="KM51" i="12"/>
  <c r="KJ51" i="12"/>
  <c r="KG51" i="12"/>
  <c r="KD51" i="12"/>
  <c r="KA51" i="12"/>
  <c r="JX51" i="12"/>
  <c r="JU51" i="12"/>
  <c r="JR51" i="12"/>
  <c r="JO51" i="12"/>
  <c r="JL51" i="12"/>
  <c r="JI51" i="12"/>
  <c r="JF51" i="12"/>
  <c r="JC51" i="12"/>
  <c r="IZ51" i="12"/>
  <c r="IW51" i="12"/>
  <c r="IT51" i="12"/>
  <c r="IQ51" i="12"/>
  <c r="IN51" i="12"/>
  <c r="IK51" i="12"/>
  <c r="IH51" i="12"/>
  <c r="IE51" i="12"/>
  <c r="IB51" i="12"/>
  <c r="HY51" i="12"/>
  <c r="HV51" i="12"/>
  <c r="HS51" i="12"/>
  <c r="HP51" i="12"/>
  <c r="HM51" i="12"/>
  <c r="HJ51" i="12"/>
  <c r="HG51" i="12"/>
  <c r="HD51" i="12"/>
  <c r="HA51" i="12"/>
  <c r="GX51" i="12"/>
  <c r="GU51" i="12"/>
  <c r="GR51" i="12"/>
  <c r="GO51" i="12"/>
  <c r="GL51" i="12"/>
  <c r="GI51" i="12"/>
  <c r="GF51" i="12"/>
  <c r="GC51" i="12"/>
  <c r="FZ51" i="12"/>
  <c r="FW51" i="12"/>
  <c r="FT51" i="12"/>
  <c r="FQ51" i="12"/>
  <c r="FN51" i="12"/>
  <c r="FK51" i="12"/>
  <c r="FH51" i="12"/>
  <c r="FE51" i="12"/>
  <c r="FB51" i="12"/>
  <c r="EY51" i="12"/>
  <c r="EV51" i="12"/>
  <c r="ES51" i="12"/>
  <c r="EP51" i="12"/>
  <c r="EM51" i="12"/>
  <c r="EJ51" i="12"/>
  <c r="EG51" i="12"/>
  <c r="ED51" i="12"/>
  <c r="EA51" i="12"/>
  <c r="DX51" i="12"/>
  <c r="DU51" i="12"/>
  <c r="DR51" i="12"/>
  <c r="DO51" i="12"/>
  <c r="DL51" i="12"/>
  <c r="DI51" i="12"/>
  <c r="DF51" i="12"/>
  <c r="DC51" i="12"/>
  <c r="CZ51" i="12"/>
  <c r="CW51" i="12"/>
  <c r="CT51" i="12"/>
  <c r="CQ51" i="12"/>
  <c r="CN51" i="12"/>
  <c r="CK51" i="12"/>
  <c r="CH51" i="12"/>
  <c r="CE51" i="12"/>
  <c r="CB51" i="12"/>
  <c r="BY51" i="12"/>
  <c r="BV51" i="12"/>
  <c r="BS51" i="12"/>
  <c r="BP51" i="12"/>
  <c r="BM51" i="12"/>
  <c r="BJ51" i="12"/>
  <c r="BG51" i="12"/>
  <c r="BD51" i="12"/>
  <c r="BA51" i="12"/>
  <c r="AX51" i="12"/>
  <c r="AU51" i="12"/>
  <c r="AR51" i="12"/>
  <c r="AO51" i="12"/>
  <c r="AL51" i="12"/>
  <c r="AI51" i="12"/>
  <c r="AF51" i="12"/>
  <c r="AC51" i="12"/>
  <c r="Z51" i="12"/>
  <c r="W51" i="12"/>
  <c r="T51" i="12"/>
  <c r="Q51" i="12"/>
  <c r="N51" i="12"/>
  <c r="K51" i="12"/>
  <c r="H51" i="12"/>
  <c r="E51" i="12"/>
  <c r="NI50" i="12"/>
  <c r="NH50" i="12"/>
  <c r="NJ50" i="12" s="1"/>
  <c r="NF50" i="12"/>
  <c r="NE50" i="12"/>
  <c r="ND50" i="12"/>
  <c r="NA50" i="12"/>
  <c r="MX50" i="12"/>
  <c r="MU50" i="12"/>
  <c r="MR50" i="12"/>
  <c r="MO50" i="12"/>
  <c r="ML50" i="12"/>
  <c r="MI50" i="12"/>
  <c r="MF50" i="12"/>
  <c r="MC50" i="12"/>
  <c r="LZ50" i="12"/>
  <c r="LW50" i="12"/>
  <c r="LT50" i="12"/>
  <c r="LQ50" i="12"/>
  <c r="LN50" i="12"/>
  <c r="LK50" i="12"/>
  <c r="LH50" i="12"/>
  <c r="LE50" i="12"/>
  <c r="LB50" i="12"/>
  <c r="KY50" i="12"/>
  <c r="KV50" i="12"/>
  <c r="KS50" i="12"/>
  <c r="KP50" i="12"/>
  <c r="KM50" i="12"/>
  <c r="KJ50" i="12"/>
  <c r="KG50" i="12"/>
  <c r="KD50" i="12"/>
  <c r="KA50" i="12"/>
  <c r="JX50" i="12"/>
  <c r="JU50" i="12"/>
  <c r="JR50" i="12"/>
  <c r="JO50" i="12"/>
  <c r="JL50" i="12"/>
  <c r="JI50" i="12"/>
  <c r="JF50" i="12"/>
  <c r="JC50" i="12"/>
  <c r="IZ50" i="12"/>
  <c r="IW50" i="12"/>
  <c r="IT50" i="12"/>
  <c r="IQ50" i="12"/>
  <c r="IN50" i="12"/>
  <c r="IK50" i="12"/>
  <c r="IH50" i="12"/>
  <c r="IE50" i="12"/>
  <c r="IB50" i="12"/>
  <c r="HY50" i="12"/>
  <c r="HV50" i="12"/>
  <c r="HS50" i="12"/>
  <c r="HP50" i="12"/>
  <c r="HM50" i="12"/>
  <c r="HJ50" i="12"/>
  <c r="HG50" i="12"/>
  <c r="HD50" i="12"/>
  <c r="HA50" i="12"/>
  <c r="GX50" i="12"/>
  <c r="GU50" i="12"/>
  <c r="GR50" i="12"/>
  <c r="GO50" i="12"/>
  <c r="GL50" i="12"/>
  <c r="GI50" i="12"/>
  <c r="GF50" i="12"/>
  <c r="GC50" i="12"/>
  <c r="FZ50" i="12"/>
  <c r="FW50" i="12"/>
  <c r="FT50" i="12"/>
  <c r="FQ50" i="12"/>
  <c r="FN50" i="12"/>
  <c r="FK50" i="12"/>
  <c r="FH50" i="12"/>
  <c r="FE50" i="12"/>
  <c r="FB50" i="12"/>
  <c r="EY50" i="12"/>
  <c r="EV50" i="12"/>
  <c r="ES50" i="12"/>
  <c r="EP50" i="12"/>
  <c r="EM50" i="12"/>
  <c r="EJ50" i="12"/>
  <c r="EG50" i="12"/>
  <c r="ED50" i="12"/>
  <c r="EA50" i="12"/>
  <c r="DX50" i="12"/>
  <c r="DU50" i="12"/>
  <c r="DR50" i="12"/>
  <c r="DO50" i="12"/>
  <c r="DL50" i="12"/>
  <c r="DI50" i="12"/>
  <c r="DF50" i="12"/>
  <c r="DC50" i="12"/>
  <c r="CZ50" i="12"/>
  <c r="CW50" i="12"/>
  <c r="CT50" i="12"/>
  <c r="CQ50" i="12"/>
  <c r="CN50" i="12"/>
  <c r="CK50" i="12"/>
  <c r="CH50" i="12"/>
  <c r="CE50" i="12"/>
  <c r="CB50" i="12"/>
  <c r="BY50" i="12"/>
  <c r="BV50" i="12"/>
  <c r="BS50" i="12"/>
  <c r="BP50" i="12"/>
  <c r="BM50" i="12"/>
  <c r="BJ50" i="12"/>
  <c r="BG50" i="12"/>
  <c r="BD50" i="12"/>
  <c r="BA50" i="12"/>
  <c r="AX50" i="12"/>
  <c r="AU50" i="12"/>
  <c r="AR50" i="12"/>
  <c r="AO50" i="12"/>
  <c r="AL50" i="12"/>
  <c r="AI50" i="12"/>
  <c r="AF50" i="12"/>
  <c r="AC50" i="12"/>
  <c r="Z50" i="12"/>
  <c r="W50" i="12"/>
  <c r="T50" i="12"/>
  <c r="Q50" i="12"/>
  <c r="N50" i="12"/>
  <c r="K50" i="12"/>
  <c r="H50" i="12"/>
  <c r="E50" i="12"/>
  <c r="NI49" i="12"/>
  <c r="NH49" i="12"/>
  <c r="NJ49" i="12" s="1"/>
  <c r="NF49" i="12"/>
  <c r="NE49" i="12"/>
  <c r="NG49" i="12" s="1"/>
  <c r="ND49" i="12"/>
  <c r="NA49" i="12"/>
  <c r="MX49" i="12"/>
  <c r="MU49" i="12"/>
  <c r="MR49" i="12"/>
  <c r="MO49" i="12"/>
  <c r="ML49" i="12"/>
  <c r="MI49" i="12"/>
  <c r="MF49" i="12"/>
  <c r="MC49" i="12"/>
  <c r="LZ49" i="12"/>
  <c r="LW49" i="12"/>
  <c r="LT49" i="12"/>
  <c r="LQ49" i="12"/>
  <c r="LN49" i="12"/>
  <c r="LK49" i="12"/>
  <c r="LH49" i="12"/>
  <c r="LE49" i="12"/>
  <c r="LB49" i="12"/>
  <c r="KY49" i="12"/>
  <c r="KV49" i="12"/>
  <c r="KS49" i="12"/>
  <c r="KP49" i="12"/>
  <c r="KM49" i="12"/>
  <c r="KJ49" i="12"/>
  <c r="KG49" i="12"/>
  <c r="KD49" i="12"/>
  <c r="KA49" i="12"/>
  <c r="JX49" i="12"/>
  <c r="JU49" i="12"/>
  <c r="JR49" i="12"/>
  <c r="JO49" i="12"/>
  <c r="JL49" i="12"/>
  <c r="JI49" i="12"/>
  <c r="JF49" i="12"/>
  <c r="JC49" i="12"/>
  <c r="IZ49" i="12"/>
  <c r="IW49" i="12"/>
  <c r="IT49" i="12"/>
  <c r="IQ49" i="12"/>
  <c r="IN49" i="12"/>
  <c r="IK49" i="12"/>
  <c r="IH49" i="12"/>
  <c r="IE49" i="12"/>
  <c r="IB49" i="12"/>
  <c r="HY49" i="12"/>
  <c r="HV49" i="12"/>
  <c r="HS49" i="12"/>
  <c r="HP49" i="12"/>
  <c r="HM49" i="12"/>
  <c r="HJ49" i="12"/>
  <c r="HG49" i="12"/>
  <c r="HD49" i="12"/>
  <c r="HA49" i="12"/>
  <c r="GX49" i="12"/>
  <c r="GU49" i="12"/>
  <c r="GR49" i="12"/>
  <c r="GO49" i="12"/>
  <c r="GL49" i="12"/>
  <c r="GI49" i="12"/>
  <c r="GF49" i="12"/>
  <c r="GC49" i="12"/>
  <c r="FZ49" i="12"/>
  <c r="FW49" i="12"/>
  <c r="FT49" i="12"/>
  <c r="FQ49" i="12"/>
  <c r="FN49" i="12"/>
  <c r="FK49" i="12"/>
  <c r="FH49" i="12"/>
  <c r="FE49" i="12"/>
  <c r="FB49" i="12"/>
  <c r="EY49" i="12"/>
  <c r="EV49" i="12"/>
  <c r="ES49" i="12"/>
  <c r="EP49" i="12"/>
  <c r="EM49" i="12"/>
  <c r="EJ49" i="12"/>
  <c r="EG49" i="12"/>
  <c r="ED49" i="12"/>
  <c r="EA49" i="12"/>
  <c r="DX49" i="12"/>
  <c r="DU49" i="12"/>
  <c r="DR49" i="12"/>
  <c r="DO49" i="12"/>
  <c r="DL49" i="12"/>
  <c r="DI49" i="12"/>
  <c r="DF49" i="12"/>
  <c r="DC49" i="12"/>
  <c r="CZ49" i="12"/>
  <c r="CW49" i="12"/>
  <c r="CT49" i="12"/>
  <c r="CQ49" i="12"/>
  <c r="CN49" i="12"/>
  <c r="CK49" i="12"/>
  <c r="CH49" i="12"/>
  <c r="CE49" i="12"/>
  <c r="CB49" i="12"/>
  <c r="BY49" i="12"/>
  <c r="BV49" i="12"/>
  <c r="BS49" i="12"/>
  <c r="BP49" i="12"/>
  <c r="BM49" i="12"/>
  <c r="BJ49" i="12"/>
  <c r="BG49" i="12"/>
  <c r="BD49" i="12"/>
  <c r="BA49" i="12"/>
  <c r="AX49" i="12"/>
  <c r="AU49" i="12"/>
  <c r="AR49" i="12"/>
  <c r="AO49" i="12"/>
  <c r="AL49" i="12"/>
  <c r="AI49" i="12"/>
  <c r="AF49" i="12"/>
  <c r="AC49" i="12"/>
  <c r="Z49" i="12"/>
  <c r="W49" i="12"/>
  <c r="T49" i="12"/>
  <c r="Q49" i="12"/>
  <c r="N49" i="12"/>
  <c r="K49" i="12"/>
  <c r="H49" i="12"/>
  <c r="E49" i="12"/>
  <c r="NI48" i="12"/>
  <c r="NH48" i="12"/>
  <c r="NF48" i="12"/>
  <c r="NG48" i="12" s="1"/>
  <c r="NE48" i="12"/>
  <c r="ND48" i="12"/>
  <c r="NA48" i="12"/>
  <c r="MX48" i="12"/>
  <c r="MU48" i="12"/>
  <c r="MR48" i="12"/>
  <c r="MO48" i="12"/>
  <c r="ML48" i="12"/>
  <c r="MI48" i="12"/>
  <c r="MF48" i="12"/>
  <c r="MC48" i="12"/>
  <c r="LZ48" i="12"/>
  <c r="LW48" i="12"/>
  <c r="LT48" i="12"/>
  <c r="LQ48" i="12"/>
  <c r="LN48" i="12"/>
  <c r="LK48" i="12"/>
  <c r="LH48" i="12"/>
  <c r="LE48" i="12"/>
  <c r="LB48" i="12"/>
  <c r="KY48" i="12"/>
  <c r="KV48" i="12"/>
  <c r="KS48" i="12"/>
  <c r="KP48" i="12"/>
  <c r="KM48" i="12"/>
  <c r="KJ48" i="12"/>
  <c r="KG48" i="12"/>
  <c r="KD48" i="12"/>
  <c r="KA48" i="12"/>
  <c r="JX48" i="12"/>
  <c r="JU48" i="12"/>
  <c r="JR48" i="12"/>
  <c r="JO48" i="12"/>
  <c r="JL48" i="12"/>
  <c r="JI48" i="12"/>
  <c r="JF48" i="12"/>
  <c r="JC48" i="12"/>
  <c r="IZ48" i="12"/>
  <c r="IW48" i="12"/>
  <c r="IT48" i="12"/>
  <c r="IQ48" i="12"/>
  <c r="IN48" i="12"/>
  <c r="IK48" i="12"/>
  <c r="IH48" i="12"/>
  <c r="IE48" i="12"/>
  <c r="IB48" i="12"/>
  <c r="HY48" i="12"/>
  <c r="HV48" i="12"/>
  <c r="HS48" i="12"/>
  <c r="HP48" i="12"/>
  <c r="HM48" i="12"/>
  <c r="HJ48" i="12"/>
  <c r="HG48" i="12"/>
  <c r="HD48" i="12"/>
  <c r="HA48" i="12"/>
  <c r="GX48" i="12"/>
  <c r="GU48" i="12"/>
  <c r="GR48" i="12"/>
  <c r="GO48" i="12"/>
  <c r="GL48" i="12"/>
  <c r="GI48" i="12"/>
  <c r="GF48" i="12"/>
  <c r="GC48" i="12"/>
  <c r="FZ48" i="12"/>
  <c r="FW48" i="12"/>
  <c r="FT48" i="12"/>
  <c r="FQ48" i="12"/>
  <c r="FN48" i="12"/>
  <c r="FK48" i="12"/>
  <c r="FH48" i="12"/>
  <c r="FE48" i="12"/>
  <c r="FB48" i="12"/>
  <c r="EY48" i="12"/>
  <c r="EV48" i="12"/>
  <c r="ES48" i="12"/>
  <c r="EP48" i="12"/>
  <c r="EM48" i="12"/>
  <c r="EJ48" i="12"/>
  <c r="EG48" i="12"/>
  <c r="ED48" i="12"/>
  <c r="EA48" i="12"/>
  <c r="DX48" i="12"/>
  <c r="DU48" i="12"/>
  <c r="DR48" i="12"/>
  <c r="DO48" i="12"/>
  <c r="DL48" i="12"/>
  <c r="DI48" i="12"/>
  <c r="DF48" i="12"/>
  <c r="DC48" i="12"/>
  <c r="CZ48" i="12"/>
  <c r="CW48" i="12"/>
  <c r="CT48" i="12"/>
  <c r="CQ48" i="12"/>
  <c r="CN48" i="12"/>
  <c r="CK48" i="12"/>
  <c r="CH48" i="12"/>
  <c r="CE48" i="12"/>
  <c r="CB48" i="12"/>
  <c r="BY48" i="12"/>
  <c r="BV48" i="12"/>
  <c r="BS48" i="12"/>
  <c r="BP48" i="12"/>
  <c r="BM48" i="12"/>
  <c r="BJ48" i="12"/>
  <c r="BG48" i="12"/>
  <c r="BD48" i="12"/>
  <c r="BA48" i="12"/>
  <c r="AX48" i="12"/>
  <c r="AU48" i="12"/>
  <c r="AR48" i="12"/>
  <c r="AO48" i="12"/>
  <c r="AL48" i="12"/>
  <c r="AI48" i="12"/>
  <c r="AF48" i="12"/>
  <c r="AC48" i="12"/>
  <c r="Z48" i="12"/>
  <c r="W48" i="12"/>
  <c r="T48" i="12"/>
  <c r="Q48" i="12"/>
  <c r="N48" i="12"/>
  <c r="K48" i="12"/>
  <c r="H48" i="12"/>
  <c r="E48" i="12"/>
  <c r="NI47" i="12"/>
  <c r="NH47" i="12"/>
  <c r="NJ47" i="12" s="1"/>
  <c r="NF47" i="12"/>
  <c r="NE47" i="12"/>
  <c r="NG47" i="12" s="1"/>
  <c r="ND47" i="12"/>
  <c r="NA47" i="12"/>
  <c r="MX47" i="12"/>
  <c r="MU47" i="12"/>
  <c r="MR47" i="12"/>
  <c r="MO47" i="12"/>
  <c r="ML47" i="12"/>
  <c r="MI47" i="12"/>
  <c r="MF47" i="12"/>
  <c r="MC47" i="12"/>
  <c r="LZ47" i="12"/>
  <c r="LW47" i="12"/>
  <c r="LT47" i="12"/>
  <c r="LQ47" i="12"/>
  <c r="LN47" i="12"/>
  <c r="LK47" i="12"/>
  <c r="LH47" i="12"/>
  <c r="LE47" i="12"/>
  <c r="LB47" i="12"/>
  <c r="KY47" i="12"/>
  <c r="KV47" i="12"/>
  <c r="KS47" i="12"/>
  <c r="KP47" i="12"/>
  <c r="KM47" i="12"/>
  <c r="KJ47" i="12"/>
  <c r="KG47" i="12"/>
  <c r="KD47" i="12"/>
  <c r="KA47" i="12"/>
  <c r="JX47" i="12"/>
  <c r="JU47" i="12"/>
  <c r="JR47" i="12"/>
  <c r="JO47" i="12"/>
  <c r="JL47" i="12"/>
  <c r="JI47" i="12"/>
  <c r="JF47" i="12"/>
  <c r="JC47" i="12"/>
  <c r="IZ47" i="12"/>
  <c r="IW47" i="12"/>
  <c r="IT47" i="12"/>
  <c r="IQ47" i="12"/>
  <c r="IN47" i="12"/>
  <c r="IK47" i="12"/>
  <c r="IH47" i="12"/>
  <c r="IE47" i="12"/>
  <c r="IB47" i="12"/>
  <c r="HY47" i="12"/>
  <c r="HV47" i="12"/>
  <c r="HS47" i="12"/>
  <c r="HP47" i="12"/>
  <c r="HM47" i="12"/>
  <c r="HJ47" i="12"/>
  <c r="HG47" i="12"/>
  <c r="HD47" i="12"/>
  <c r="HA47" i="12"/>
  <c r="GX47" i="12"/>
  <c r="GU47" i="12"/>
  <c r="GR47" i="12"/>
  <c r="GO47" i="12"/>
  <c r="GL47" i="12"/>
  <c r="GI47" i="12"/>
  <c r="GF47" i="12"/>
  <c r="GC47" i="12"/>
  <c r="FZ47" i="12"/>
  <c r="FW47" i="12"/>
  <c r="FT47" i="12"/>
  <c r="FQ47" i="12"/>
  <c r="FN47" i="12"/>
  <c r="FK47" i="12"/>
  <c r="FH47" i="12"/>
  <c r="FE47" i="12"/>
  <c r="FB47" i="12"/>
  <c r="EY47" i="12"/>
  <c r="EV47" i="12"/>
  <c r="ES47" i="12"/>
  <c r="EP47" i="12"/>
  <c r="EM47" i="12"/>
  <c r="EJ47" i="12"/>
  <c r="EG47" i="12"/>
  <c r="ED47" i="12"/>
  <c r="EA47" i="12"/>
  <c r="DX47" i="12"/>
  <c r="DU47" i="12"/>
  <c r="DR47" i="12"/>
  <c r="DO47" i="12"/>
  <c r="DL47" i="12"/>
  <c r="DI47" i="12"/>
  <c r="DF47" i="12"/>
  <c r="DC47" i="12"/>
  <c r="CZ47" i="12"/>
  <c r="CW47" i="12"/>
  <c r="CT47" i="12"/>
  <c r="CQ47" i="12"/>
  <c r="CN47" i="12"/>
  <c r="CK47" i="12"/>
  <c r="CH47" i="12"/>
  <c r="CE47" i="12"/>
  <c r="CB47" i="12"/>
  <c r="BY47" i="12"/>
  <c r="BV47" i="12"/>
  <c r="BS47" i="12"/>
  <c r="BP47" i="12"/>
  <c r="BM47" i="12"/>
  <c r="BJ47" i="12"/>
  <c r="BG47" i="12"/>
  <c r="BD47" i="12"/>
  <c r="BA47" i="12"/>
  <c r="AX47" i="12"/>
  <c r="AU47" i="12"/>
  <c r="AR47" i="12"/>
  <c r="AO47" i="12"/>
  <c r="AL47" i="12"/>
  <c r="AI47" i="12"/>
  <c r="AF47" i="12"/>
  <c r="AC47" i="12"/>
  <c r="Z47" i="12"/>
  <c r="W47" i="12"/>
  <c r="T47" i="12"/>
  <c r="Q47" i="12"/>
  <c r="N47" i="12"/>
  <c r="K47" i="12"/>
  <c r="H47" i="12"/>
  <c r="E47" i="12"/>
  <c r="NI46" i="12"/>
  <c r="NJ46" i="12" s="1"/>
  <c r="NH46" i="12"/>
  <c r="NF46" i="12"/>
  <c r="NE46" i="12"/>
  <c r="NG46" i="12" s="1"/>
  <c r="ND46" i="12"/>
  <c r="NA46" i="12"/>
  <c r="MX46" i="12"/>
  <c r="MU46" i="12"/>
  <c r="MR46" i="12"/>
  <c r="MO46" i="12"/>
  <c r="ML46" i="12"/>
  <c r="MI46" i="12"/>
  <c r="MF46" i="12"/>
  <c r="MC46" i="12"/>
  <c r="LZ46" i="12"/>
  <c r="LW46" i="12"/>
  <c r="LT46" i="12"/>
  <c r="LQ46" i="12"/>
  <c r="LN46" i="12"/>
  <c r="LK46" i="12"/>
  <c r="LH46" i="12"/>
  <c r="LE46" i="12"/>
  <c r="LB46" i="12"/>
  <c r="KY46" i="12"/>
  <c r="KV46" i="12"/>
  <c r="KS46" i="12"/>
  <c r="KP46" i="12"/>
  <c r="KM46" i="12"/>
  <c r="KJ46" i="12"/>
  <c r="KG46" i="12"/>
  <c r="KD46" i="12"/>
  <c r="KA46" i="12"/>
  <c r="JX46" i="12"/>
  <c r="JU46" i="12"/>
  <c r="JR46" i="12"/>
  <c r="JO46" i="12"/>
  <c r="JL46" i="12"/>
  <c r="JI46" i="12"/>
  <c r="JF46" i="12"/>
  <c r="JC46" i="12"/>
  <c r="IZ46" i="12"/>
  <c r="IW46" i="12"/>
  <c r="IT46" i="12"/>
  <c r="IQ46" i="12"/>
  <c r="IN46" i="12"/>
  <c r="IK46" i="12"/>
  <c r="IH46" i="12"/>
  <c r="IE46" i="12"/>
  <c r="IB46" i="12"/>
  <c r="HY46" i="12"/>
  <c r="HV46" i="12"/>
  <c r="HS46" i="12"/>
  <c r="HP46" i="12"/>
  <c r="HM46" i="12"/>
  <c r="HJ46" i="12"/>
  <c r="HG46" i="12"/>
  <c r="HD46" i="12"/>
  <c r="HA46" i="12"/>
  <c r="GX46" i="12"/>
  <c r="GU46" i="12"/>
  <c r="GR46" i="12"/>
  <c r="GO46" i="12"/>
  <c r="GL46" i="12"/>
  <c r="GI46" i="12"/>
  <c r="GF46" i="12"/>
  <c r="GC46" i="12"/>
  <c r="FZ46" i="12"/>
  <c r="FW46" i="12"/>
  <c r="FT46" i="12"/>
  <c r="FQ46" i="12"/>
  <c r="FN46" i="12"/>
  <c r="FK46" i="12"/>
  <c r="FH46" i="12"/>
  <c r="FE46" i="12"/>
  <c r="FB46" i="12"/>
  <c r="EY46" i="12"/>
  <c r="EV46" i="12"/>
  <c r="ES46" i="12"/>
  <c r="EP46" i="12"/>
  <c r="EM46" i="12"/>
  <c r="EJ46" i="12"/>
  <c r="EG46" i="12"/>
  <c r="ED46" i="12"/>
  <c r="EA46" i="12"/>
  <c r="DX46" i="12"/>
  <c r="DU46" i="12"/>
  <c r="DR46" i="12"/>
  <c r="DO46" i="12"/>
  <c r="DL46" i="12"/>
  <c r="DI46" i="12"/>
  <c r="DF46" i="12"/>
  <c r="DC46" i="12"/>
  <c r="CZ46" i="12"/>
  <c r="CW46" i="12"/>
  <c r="CT46" i="12"/>
  <c r="CQ46" i="12"/>
  <c r="CN46" i="12"/>
  <c r="CK46" i="12"/>
  <c r="CH46" i="12"/>
  <c r="CE46" i="12"/>
  <c r="CB46" i="12"/>
  <c r="BY46" i="12"/>
  <c r="BV46" i="12"/>
  <c r="BS46" i="12"/>
  <c r="BP46" i="12"/>
  <c r="BM46" i="12"/>
  <c r="BJ46" i="12"/>
  <c r="BG46" i="12"/>
  <c r="BD46" i="12"/>
  <c r="BA46" i="12"/>
  <c r="AX46" i="12"/>
  <c r="AU46" i="12"/>
  <c r="AR46" i="12"/>
  <c r="AO46" i="12"/>
  <c r="AL46" i="12"/>
  <c r="AI46" i="12"/>
  <c r="AF46" i="12"/>
  <c r="AC46" i="12"/>
  <c r="Z46" i="12"/>
  <c r="W46" i="12"/>
  <c r="T46" i="12"/>
  <c r="Q46" i="12"/>
  <c r="N46" i="12"/>
  <c r="K46" i="12"/>
  <c r="H46" i="12"/>
  <c r="E46" i="12"/>
  <c r="NI45" i="12"/>
  <c r="NH45" i="12"/>
  <c r="NJ45" i="12" s="1"/>
  <c r="NF45" i="12"/>
  <c r="NE45" i="12"/>
  <c r="ND45" i="12"/>
  <c r="NA45" i="12"/>
  <c r="MX45" i="12"/>
  <c r="MU45" i="12"/>
  <c r="MR45" i="12"/>
  <c r="MO45" i="12"/>
  <c r="ML45" i="12"/>
  <c r="MI45" i="12"/>
  <c r="MF45" i="12"/>
  <c r="MC45" i="12"/>
  <c r="LZ45" i="12"/>
  <c r="LW45" i="12"/>
  <c r="LT45" i="12"/>
  <c r="LQ45" i="12"/>
  <c r="LN45" i="12"/>
  <c r="LK45" i="12"/>
  <c r="LH45" i="12"/>
  <c r="LE45" i="12"/>
  <c r="LB45" i="12"/>
  <c r="KY45" i="12"/>
  <c r="KV45" i="12"/>
  <c r="KS45" i="12"/>
  <c r="KP45" i="12"/>
  <c r="KM45" i="12"/>
  <c r="KJ45" i="12"/>
  <c r="KG45" i="12"/>
  <c r="KD45" i="12"/>
  <c r="KA45" i="12"/>
  <c r="JX45" i="12"/>
  <c r="JU45" i="12"/>
  <c r="JR45" i="12"/>
  <c r="JO45" i="12"/>
  <c r="JL45" i="12"/>
  <c r="JI45" i="12"/>
  <c r="JF45" i="12"/>
  <c r="JC45" i="12"/>
  <c r="IZ45" i="12"/>
  <c r="IW45" i="12"/>
  <c r="IT45" i="12"/>
  <c r="IQ45" i="12"/>
  <c r="IN45" i="12"/>
  <c r="IK45" i="12"/>
  <c r="IH45" i="12"/>
  <c r="IE45" i="12"/>
  <c r="IB45" i="12"/>
  <c r="HY45" i="12"/>
  <c r="HV45" i="12"/>
  <c r="HS45" i="12"/>
  <c r="HP45" i="12"/>
  <c r="HM45" i="12"/>
  <c r="HJ45" i="12"/>
  <c r="HG45" i="12"/>
  <c r="HD45" i="12"/>
  <c r="HA45" i="12"/>
  <c r="GX45" i="12"/>
  <c r="GU45" i="12"/>
  <c r="GR45" i="12"/>
  <c r="GO45" i="12"/>
  <c r="GL45" i="12"/>
  <c r="GI45" i="12"/>
  <c r="GF45" i="12"/>
  <c r="GC45" i="12"/>
  <c r="FZ45" i="12"/>
  <c r="FW45" i="12"/>
  <c r="FT45" i="12"/>
  <c r="FQ45" i="12"/>
  <c r="FN45" i="12"/>
  <c r="FK45" i="12"/>
  <c r="FH45" i="12"/>
  <c r="FE45" i="12"/>
  <c r="FB45" i="12"/>
  <c r="EY45" i="12"/>
  <c r="EV45" i="12"/>
  <c r="ES45" i="12"/>
  <c r="EP45" i="12"/>
  <c r="EM45" i="12"/>
  <c r="EJ45" i="12"/>
  <c r="EG45" i="12"/>
  <c r="ED45" i="12"/>
  <c r="EA45" i="12"/>
  <c r="DX45" i="12"/>
  <c r="DU45" i="12"/>
  <c r="DR45" i="12"/>
  <c r="DO45" i="12"/>
  <c r="DL45" i="12"/>
  <c r="DI45" i="12"/>
  <c r="DF45" i="12"/>
  <c r="DC45" i="12"/>
  <c r="CZ45" i="12"/>
  <c r="CW45" i="12"/>
  <c r="CT45" i="12"/>
  <c r="CQ45" i="12"/>
  <c r="CN45" i="12"/>
  <c r="CK45" i="12"/>
  <c r="CH45" i="12"/>
  <c r="CE45" i="12"/>
  <c r="CB45" i="12"/>
  <c r="BY45" i="12"/>
  <c r="BV45" i="12"/>
  <c r="BS45" i="12"/>
  <c r="BP45" i="12"/>
  <c r="BM45" i="12"/>
  <c r="BJ45" i="12"/>
  <c r="BG45" i="12"/>
  <c r="BD45" i="12"/>
  <c r="BA45" i="12"/>
  <c r="AX45" i="12"/>
  <c r="AU45" i="12"/>
  <c r="AR45" i="12"/>
  <c r="AO45" i="12"/>
  <c r="AL45" i="12"/>
  <c r="AI45" i="12"/>
  <c r="AF45" i="12"/>
  <c r="AC45" i="12"/>
  <c r="Z45" i="12"/>
  <c r="W45" i="12"/>
  <c r="T45" i="12"/>
  <c r="Q45" i="12"/>
  <c r="N45" i="12"/>
  <c r="K45" i="12"/>
  <c r="H45" i="12"/>
  <c r="E45" i="12"/>
  <c r="NI44" i="12"/>
  <c r="NH44" i="12"/>
  <c r="NJ44" i="12" s="1"/>
  <c r="NF44" i="12"/>
  <c r="NE44" i="12"/>
  <c r="NG44" i="12" s="1"/>
  <c r="ND44" i="12"/>
  <c r="NA44" i="12"/>
  <c r="MX44" i="12"/>
  <c r="MU44" i="12"/>
  <c r="MR44" i="12"/>
  <c r="MO44" i="12"/>
  <c r="ML44" i="12"/>
  <c r="MI44" i="12"/>
  <c r="MF44" i="12"/>
  <c r="MC44" i="12"/>
  <c r="LZ44" i="12"/>
  <c r="LW44" i="12"/>
  <c r="LT44" i="12"/>
  <c r="LQ44" i="12"/>
  <c r="LN44" i="12"/>
  <c r="LK44" i="12"/>
  <c r="LH44" i="12"/>
  <c r="LE44" i="12"/>
  <c r="LB44" i="12"/>
  <c r="KY44" i="12"/>
  <c r="KV44" i="12"/>
  <c r="KS44" i="12"/>
  <c r="KP44" i="12"/>
  <c r="KM44" i="12"/>
  <c r="KJ44" i="12"/>
  <c r="KG44" i="12"/>
  <c r="KD44" i="12"/>
  <c r="KA44" i="12"/>
  <c r="JX44" i="12"/>
  <c r="JU44" i="12"/>
  <c r="JR44" i="12"/>
  <c r="JO44" i="12"/>
  <c r="JL44" i="12"/>
  <c r="JI44" i="12"/>
  <c r="JF44" i="12"/>
  <c r="JC44" i="12"/>
  <c r="IZ44" i="12"/>
  <c r="IW44" i="12"/>
  <c r="IT44" i="12"/>
  <c r="IQ44" i="12"/>
  <c r="IN44" i="12"/>
  <c r="IK44" i="12"/>
  <c r="IH44" i="12"/>
  <c r="IE44" i="12"/>
  <c r="IB44" i="12"/>
  <c r="HY44" i="12"/>
  <c r="HV44" i="12"/>
  <c r="HS44" i="12"/>
  <c r="HP44" i="12"/>
  <c r="HM44" i="12"/>
  <c r="HJ44" i="12"/>
  <c r="HG44" i="12"/>
  <c r="HD44" i="12"/>
  <c r="HA44" i="12"/>
  <c r="GX44" i="12"/>
  <c r="GU44" i="12"/>
  <c r="GR44" i="12"/>
  <c r="GO44" i="12"/>
  <c r="GL44" i="12"/>
  <c r="GI44" i="12"/>
  <c r="GF44" i="12"/>
  <c r="GC44" i="12"/>
  <c r="FZ44" i="12"/>
  <c r="FW44" i="12"/>
  <c r="FT44" i="12"/>
  <c r="FQ44" i="12"/>
  <c r="FN44" i="12"/>
  <c r="FK44" i="12"/>
  <c r="FH44" i="12"/>
  <c r="FE44" i="12"/>
  <c r="FB44" i="12"/>
  <c r="EY44" i="12"/>
  <c r="EV44" i="12"/>
  <c r="ES44" i="12"/>
  <c r="EP44" i="12"/>
  <c r="EM44" i="12"/>
  <c r="EJ44" i="12"/>
  <c r="EG44" i="12"/>
  <c r="ED44" i="12"/>
  <c r="EA44" i="12"/>
  <c r="DX44" i="12"/>
  <c r="DU44" i="12"/>
  <c r="DR44" i="12"/>
  <c r="DO44" i="12"/>
  <c r="DL44" i="12"/>
  <c r="DI44" i="12"/>
  <c r="DF44" i="12"/>
  <c r="DC44" i="12"/>
  <c r="CZ44" i="12"/>
  <c r="CW44" i="12"/>
  <c r="CT44" i="12"/>
  <c r="CQ44" i="12"/>
  <c r="CN44" i="12"/>
  <c r="CK44" i="12"/>
  <c r="CH44" i="12"/>
  <c r="CE44" i="12"/>
  <c r="CB44" i="12"/>
  <c r="BY44" i="12"/>
  <c r="BV44" i="12"/>
  <c r="BS44" i="12"/>
  <c r="BP44" i="12"/>
  <c r="BM44" i="12"/>
  <c r="BJ44" i="12"/>
  <c r="BG44" i="12"/>
  <c r="BD44" i="12"/>
  <c r="BA44" i="12"/>
  <c r="AX44" i="12"/>
  <c r="AU44" i="12"/>
  <c r="AR44" i="12"/>
  <c r="AO44" i="12"/>
  <c r="AL44" i="12"/>
  <c r="AI44" i="12"/>
  <c r="AF44" i="12"/>
  <c r="AC44" i="12"/>
  <c r="Z44" i="12"/>
  <c r="W44" i="12"/>
  <c r="T44" i="12"/>
  <c r="Q44" i="12"/>
  <c r="N44" i="12"/>
  <c r="K44" i="12"/>
  <c r="H44" i="12"/>
  <c r="E44" i="12"/>
  <c r="NI43" i="12"/>
  <c r="NH43" i="12"/>
  <c r="NF43" i="12"/>
  <c r="NE43" i="12"/>
  <c r="NG43" i="12" s="1"/>
  <c r="ND43" i="12"/>
  <c r="NA43" i="12"/>
  <c r="MX43" i="12"/>
  <c r="MU43" i="12"/>
  <c r="MR43" i="12"/>
  <c r="MO43" i="12"/>
  <c r="ML43" i="12"/>
  <c r="MI43" i="12"/>
  <c r="MF43" i="12"/>
  <c r="MC43" i="12"/>
  <c r="LZ43" i="12"/>
  <c r="LW43" i="12"/>
  <c r="LT43" i="12"/>
  <c r="LQ43" i="12"/>
  <c r="LN43" i="12"/>
  <c r="LK43" i="12"/>
  <c r="LH43" i="12"/>
  <c r="LE43" i="12"/>
  <c r="LB43" i="12"/>
  <c r="KY43" i="12"/>
  <c r="KV43" i="12"/>
  <c r="KS43" i="12"/>
  <c r="KP43" i="12"/>
  <c r="KM43" i="12"/>
  <c r="KJ43" i="12"/>
  <c r="KG43" i="12"/>
  <c r="KD43" i="12"/>
  <c r="KA43" i="12"/>
  <c r="JX43" i="12"/>
  <c r="JU43" i="12"/>
  <c r="JR43" i="12"/>
  <c r="JO43" i="12"/>
  <c r="JL43" i="12"/>
  <c r="JI43" i="12"/>
  <c r="JF43" i="12"/>
  <c r="JC43" i="12"/>
  <c r="IZ43" i="12"/>
  <c r="IW43" i="12"/>
  <c r="IT43" i="12"/>
  <c r="IQ43" i="12"/>
  <c r="IN43" i="12"/>
  <c r="IK43" i="12"/>
  <c r="IH43" i="12"/>
  <c r="IE43" i="12"/>
  <c r="IB43" i="12"/>
  <c r="HY43" i="12"/>
  <c r="HV43" i="12"/>
  <c r="HS43" i="12"/>
  <c r="HP43" i="12"/>
  <c r="HM43" i="12"/>
  <c r="HJ43" i="12"/>
  <c r="HG43" i="12"/>
  <c r="HD43" i="12"/>
  <c r="HA43" i="12"/>
  <c r="GX43" i="12"/>
  <c r="GU43" i="12"/>
  <c r="GR43" i="12"/>
  <c r="GO43" i="12"/>
  <c r="GL43" i="12"/>
  <c r="GI43" i="12"/>
  <c r="GF43" i="12"/>
  <c r="GC43" i="12"/>
  <c r="FZ43" i="12"/>
  <c r="FW43" i="12"/>
  <c r="FT43" i="12"/>
  <c r="FQ43" i="12"/>
  <c r="FN43" i="12"/>
  <c r="FK43" i="12"/>
  <c r="FH43" i="12"/>
  <c r="FE43" i="12"/>
  <c r="FB43" i="12"/>
  <c r="EY43" i="12"/>
  <c r="EV43" i="12"/>
  <c r="ES43" i="12"/>
  <c r="EP43" i="12"/>
  <c r="EM43" i="12"/>
  <c r="EJ43" i="12"/>
  <c r="EG43" i="12"/>
  <c r="ED43" i="12"/>
  <c r="EA43" i="12"/>
  <c r="DX43" i="12"/>
  <c r="DU43" i="12"/>
  <c r="DR43" i="12"/>
  <c r="DO43" i="12"/>
  <c r="DL43" i="12"/>
  <c r="DI43" i="12"/>
  <c r="DF43" i="12"/>
  <c r="DC43" i="12"/>
  <c r="CZ43" i="12"/>
  <c r="CW43" i="12"/>
  <c r="CT43" i="12"/>
  <c r="CQ43" i="12"/>
  <c r="CN43" i="12"/>
  <c r="CK43" i="12"/>
  <c r="CH43" i="12"/>
  <c r="CE43" i="12"/>
  <c r="CB43" i="12"/>
  <c r="BY43" i="12"/>
  <c r="BV43" i="12"/>
  <c r="BS43" i="12"/>
  <c r="BP43" i="12"/>
  <c r="BM43" i="12"/>
  <c r="BJ43" i="12"/>
  <c r="BG43" i="12"/>
  <c r="BD43" i="12"/>
  <c r="BA43" i="12"/>
  <c r="AX43" i="12"/>
  <c r="AU43" i="12"/>
  <c r="AR43" i="12"/>
  <c r="AO43" i="12"/>
  <c r="AL43" i="12"/>
  <c r="AI43" i="12"/>
  <c r="AF43" i="12"/>
  <c r="AC43" i="12"/>
  <c r="Z43" i="12"/>
  <c r="W43" i="12"/>
  <c r="T43" i="12"/>
  <c r="Q43" i="12"/>
  <c r="N43" i="12"/>
  <c r="K43" i="12"/>
  <c r="H43" i="12"/>
  <c r="E43" i="12"/>
  <c r="NI42" i="12"/>
  <c r="NH42" i="12"/>
  <c r="NJ42" i="12" s="1"/>
  <c r="NF42" i="12"/>
  <c r="NE42" i="12"/>
  <c r="NG42" i="12" s="1"/>
  <c r="ND42" i="12"/>
  <c r="NA42" i="12"/>
  <c r="MX42" i="12"/>
  <c r="MU42" i="12"/>
  <c r="MR42" i="12"/>
  <c r="MO42" i="12"/>
  <c r="ML42" i="12"/>
  <c r="MI42" i="12"/>
  <c r="MF42" i="12"/>
  <c r="MC42" i="12"/>
  <c r="LZ42" i="12"/>
  <c r="LW42" i="12"/>
  <c r="LT42" i="12"/>
  <c r="LQ42" i="12"/>
  <c r="LN42" i="12"/>
  <c r="LK42" i="12"/>
  <c r="LH42" i="12"/>
  <c r="LE42" i="12"/>
  <c r="LB42" i="12"/>
  <c r="KY42" i="12"/>
  <c r="KV42" i="12"/>
  <c r="KS42" i="12"/>
  <c r="KP42" i="12"/>
  <c r="KM42" i="12"/>
  <c r="KJ42" i="12"/>
  <c r="KG42" i="12"/>
  <c r="KD42" i="12"/>
  <c r="KA42" i="12"/>
  <c r="JX42" i="12"/>
  <c r="JU42" i="12"/>
  <c r="JR42" i="12"/>
  <c r="JO42" i="12"/>
  <c r="JL42" i="12"/>
  <c r="JI42" i="12"/>
  <c r="JF42" i="12"/>
  <c r="JC42" i="12"/>
  <c r="IZ42" i="12"/>
  <c r="IW42" i="12"/>
  <c r="IT42" i="12"/>
  <c r="IQ42" i="12"/>
  <c r="IN42" i="12"/>
  <c r="IK42" i="12"/>
  <c r="IH42" i="12"/>
  <c r="IE42" i="12"/>
  <c r="IB42" i="12"/>
  <c r="HY42" i="12"/>
  <c r="HV42" i="12"/>
  <c r="HS42" i="12"/>
  <c r="HP42" i="12"/>
  <c r="HM42" i="12"/>
  <c r="HJ42" i="12"/>
  <c r="HG42" i="12"/>
  <c r="HD42" i="12"/>
  <c r="HA42" i="12"/>
  <c r="GX42" i="12"/>
  <c r="GU42" i="12"/>
  <c r="GR42" i="12"/>
  <c r="GO42" i="12"/>
  <c r="GL42" i="12"/>
  <c r="GI42" i="12"/>
  <c r="GF42" i="12"/>
  <c r="GC42" i="12"/>
  <c r="FZ42" i="12"/>
  <c r="FW42" i="12"/>
  <c r="FT42" i="12"/>
  <c r="FQ42" i="12"/>
  <c r="FN42" i="12"/>
  <c r="FK42" i="12"/>
  <c r="FH42" i="12"/>
  <c r="FE42" i="12"/>
  <c r="FB42" i="12"/>
  <c r="EY42" i="12"/>
  <c r="EV42" i="12"/>
  <c r="ES42" i="12"/>
  <c r="EP42" i="12"/>
  <c r="EM42" i="12"/>
  <c r="EJ42" i="12"/>
  <c r="EG42" i="12"/>
  <c r="ED42" i="12"/>
  <c r="EA42" i="12"/>
  <c r="DX42" i="12"/>
  <c r="DU42" i="12"/>
  <c r="DR42" i="12"/>
  <c r="DO42" i="12"/>
  <c r="DL42" i="12"/>
  <c r="DI42" i="12"/>
  <c r="DF42" i="12"/>
  <c r="DC42" i="12"/>
  <c r="CZ42" i="12"/>
  <c r="CW42" i="12"/>
  <c r="CT42" i="12"/>
  <c r="CQ42" i="12"/>
  <c r="CN42" i="12"/>
  <c r="CK42" i="12"/>
  <c r="CH42" i="12"/>
  <c r="CE42" i="12"/>
  <c r="CB42" i="12"/>
  <c r="BY42" i="12"/>
  <c r="BV42" i="12"/>
  <c r="BS42" i="12"/>
  <c r="BP42" i="12"/>
  <c r="BM42" i="12"/>
  <c r="BJ42" i="12"/>
  <c r="BG42" i="12"/>
  <c r="BD42" i="12"/>
  <c r="BA42" i="12"/>
  <c r="AX42" i="12"/>
  <c r="AU42" i="12"/>
  <c r="AR42" i="12"/>
  <c r="AO42" i="12"/>
  <c r="AL42" i="12"/>
  <c r="AI42" i="12"/>
  <c r="AF42" i="12"/>
  <c r="AC42" i="12"/>
  <c r="Z42" i="12"/>
  <c r="W42" i="12"/>
  <c r="T42" i="12"/>
  <c r="Q42" i="12"/>
  <c r="N42" i="12"/>
  <c r="K42" i="12"/>
  <c r="H42" i="12"/>
  <c r="E42" i="12"/>
  <c r="NJ41" i="12"/>
  <c r="NI41" i="12"/>
  <c r="NH41" i="12"/>
  <c r="NF41" i="12"/>
  <c r="NE41" i="12"/>
  <c r="ND41" i="12"/>
  <c r="NA41" i="12"/>
  <c r="MX41" i="12"/>
  <c r="MU41" i="12"/>
  <c r="MR41" i="12"/>
  <c r="MO41" i="12"/>
  <c r="ML41" i="12"/>
  <c r="MI41" i="12"/>
  <c r="MF41" i="12"/>
  <c r="MC41" i="12"/>
  <c r="LZ41" i="12"/>
  <c r="LW41" i="12"/>
  <c r="LT41" i="12"/>
  <c r="LQ41" i="12"/>
  <c r="LN41" i="12"/>
  <c r="LK41" i="12"/>
  <c r="LH41" i="12"/>
  <c r="LE41" i="12"/>
  <c r="LB41" i="12"/>
  <c r="KY41" i="12"/>
  <c r="KV41" i="12"/>
  <c r="KS41" i="12"/>
  <c r="KP41" i="12"/>
  <c r="KM41" i="12"/>
  <c r="KJ41" i="12"/>
  <c r="KG41" i="12"/>
  <c r="KD41" i="12"/>
  <c r="KA41" i="12"/>
  <c r="JX41" i="12"/>
  <c r="JU41" i="12"/>
  <c r="JR41" i="12"/>
  <c r="JO41" i="12"/>
  <c r="JL41" i="12"/>
  <c r="JI41" i="12"/>
  <c r="JF41" i="12"/>
  <c r="JC41" i="12"/>
  <c r="IZ41" i="12"/>
  <c r="IW41" i="12"/>
  <c r="IT41" i="12"/>
  <c r="IQ41" i="12"/>
  <c r="IN41" i="12"/>
  <c r="IK41" i="12"/>
  <c r="IH41" i="12"/>
  <c r="IE41" i="12"/>
  <c r="IB41" i="12"/>
  <c r="HY41" i="12"/>
  <c r="HV41" i="12"/>
  <c r="HS41" i="12"/>
  <c r="HP41" i="12"/>
  <c r="HM41" i="12"/>
  <c r="HJ41" i="12"/>
  <c r="HG41" i="12"/>
  <c r="HD41" i="12"/>
  <c r="HA41" i="12"/>
  <c r="GX41" i="12"/>
  <c r="GU41" i="12"/>
  <c r="GR41" i="12"/>
  <c r="GO41" i="12"/>
  <c r="GL41" i="12"/>
  <c r="GI41" i="12"/>
  <c r="GF41" i="12"/>
  <c r="GC41" i="12"/>
  <c r="FZ41" i="12"/>
  <c r="FW41" i="12"/>
  <c r="FT41" i="12"/>
  <c r="FQ41" i="12"/>
  <c r="FN41" i="12"/>
  <c r="FK41" i="12"/>
  <c r="FH41" i="12"/>
  <c r="FE41" i="12"/>
  <c r="FB41" i="12"/>
  <c r="EY41" i="12"/>
  <c r="EV41" i="12"/>
  <c r="ES41" i="12"/>
  <c r="EP41" i="12"/>
  <c r="EM41" i="12"/>
  <c r="EJ41" i="12"/>
  <c r="EG41" i="12"/>
  <c r="ED41" i="12"/>
  <c r="EA41" i="12"/>
  <c r="DX41" i="12"/>
  <c r="DU41" i="12"/>
  <c r="DR41" i="12"/>
  <c r="DO41" i="12"/>
  <c r="DL41" i="12"/>
  <c r="DI41" i="12"/>
  <c r="DF41" i="12"/>
  <c r="DC41" i="12"/>
  <c r="CZ41" i="12"/>
  <c r="CW41" i="12"/>
  <c r="CT41" i="12"/>
  <c r="CQ41" i="12"/>
  <c r="CN41" i="12"/>
  <c r="CK41" i="12"/>
  <c r="CH41" i="12"/>
  <c r="CE41" i="12"/>
  <c r="CB41" i="12"/>
  <c r="BY41" i="12"/>
  <c r="BV41" i="12"/>
  <c r="BS41" i="12"/>
  <c r="BP41" i="12"/>
  <c r="BM41" i="12"/>
  <c r="BJ41" i="12"/>
  <c r="BG41" i="12"/>
  <c r="BD41" i="12"/>
  <c r="BA41" i="12"/>
  <c r="AX41" i="12"/>
  <c r="AU41" i="12"/>
  <c r="AR41" i="12"/>
  <c r="AO41" i="12"/>
  <c r="AL41" i="12"/>
  <c r="AI41" i="12"/>
  <c r="AF41" i="12"/>
  <c r="AC41" i="12"/>
  <c r="Z41" i="12"/>
  <c r="W41" i="12"/>
  <c r="T41" i="12"/>
  <c r="Q41" i="12"/>
  <c r="N41" i="12"/>
  <c r="K41" i="12"/>
  <c r="H41" i="12"/>
  <c r="E41" i="12"/>
  <c r="NI40" i="12"/>
  <c r="NH40" i="12"/>
  <c r="NJ40" i="12" s="1"/>
  <c r="NF40" i="12"/>
  <c r="NE40" i="12"/>
  <c r="NG40" i="12" s="1"/>
  <c r="ND40" i="12"/>
  <c r="NA40" i="12"/>
  <c r="MX40" i="12"/>
  <c r="MU40" i="12"/>
  <c r="MR40" i="12"/>
  <c r="MO40" i="12"/>
  <c r="ML40" i="12"/>
  <c r="MI40" i="12"/>
  <c r="MF40" i="12"/>
  <c r="MC40" i="12"/>
  <c r="LZ40" i="12"/>
  <c r="LW40" i="12"/>
  <c r="LT40" i="12"/>
  <c r="LQ40" i="12"/>
  <c r="LN40" i="12"/>
  <c r="LK40" i="12"/>
  <c r="LH40" i="12"/>
  <c r="LE40" i="12"/>
  <c r="LB40" i="12"/>
  <c r="KY40" i="12"/>
  <c r="KV40" i="12"/>
  <c r="KS40" i="12"/>
  <c r="KP40" i="12"/>
  <c r="KM40" i="12"/>
  <c r="KJ40" i="12"/>
  <c r="KG40" i="12"/>
  <c r="KD40" i="12"/>
  <c r="KA40" i="12"/>
  <c r="JX40" i="12"/>
  <c r="JU40" i="12"/>
  <c r="JR40" i="12"/>
  <c r="JO40" i="12"/>
  <c r="JL40" i="12"/>
  <c r="JI40" i="12"/>
  <c r="JF40" i="12"/>
  <c r="JC40" i="12"/>
  <c r="IZ40" i="12"/>
  <c r="IW40" i="12"/>
  <c r="IT40" i="12"/>
  <c r="IQ40" i="12"/>
  <c r="IN40" i="12"/>
  <c r="IK40" i="12"/>
  <c r="IH40" i="12"/>
  <c r="IE40" i="12"/>
  <c r="IB40" i="12"/>
  <c r="HY40" i="12"/>
  <c r="HV40" i="12"/>
  <c r="HS40" i="12"/>
  <c r="HP40" i="12"/>
  <c r="HM40" i="12"/>
  <c r="HJ40" i="12"/>
  <c r="HG40" i="12"/>
  <c r="HD40" i="12"/>
  <c r="HA40" i="12"/>
  <c r="GX40" i="12"/>
  <c r="GU40" i="12"/>
  <c r="GR40" i="12"/>
  <c r="GO40" i="12"/>
  <c r="GL40" i="12"/>
  <c r="GI40" i="12"/>
  <c r="GF40" i="12"/>
  <c r="GC40" i="12"/>
  <c r="FZ40" i="12"/>
  <c r="FW40" i="12"/>
  <c r="FT40" i="12"/>
  <c r="FQ40" i="12"/>
  <c r="FN40" i="12"/>
  <c r="FK40" i="12"/>
  <c r="FH40" i="12"/>
  <c r="FE40" i="12"/>
  <c r="FB40" i="12"/>
  <c r="EY40" i="12"/>
  <c r="EV40" i="12"/>
  <c r="ES40" i="12"/>
  <c r="EP40" i="12"/>
  <c r="EM40" i="12"/>
  <c r="EJ40" i="12"/>
  <c r="EG40" i="12"/>
  <c r="ED40" i="12"/>
  <c r="EA40" i="12"/>
  <c r="DX40" i="12"/>
  <c r="DU40" i="12"/>
  <c r="DR40" i="12"/>
  <c r="DO40" i="12"/>
  <c r="DL40" i="12"/>
  <c r="DI40" i="12"/>
  <c r="DF40" i="12"/>
  <c r="DC40" i="12"/>
  <c r="CZ40" i="12"/>
  <c r="CW40" i="12"/>
  <c r="CT40" i="12"/>
  <c r="CQ40" i="12"/>
  <c r="CN40" i="12"/>
  <c r="CK40" i="12"/>
  <c r="CH40" i="12"/>
  <c r="CE40" i="12"/>
  <c r="CB40" i="12"/>
  <c r="BY40" i="12"/>
  <c r="BV40" i="12"/>
  <c r="BS40" i="12"/>
  <c r="BP40" i="12"/>
  <c r="BM40" i="12"/>
  <c r="BJ40" i="12"/>
  <c r="BG40" i="12"/>
  <c r="BD40" i="12"/>
  <c r="BA40" i="12"/>
  <c r="AX40" i="12"/>
  <c r="AU40" i="12"/>
  <c r="AR40" i="12"/>
  <c r="AO40" i="12"/>
  <c r="AL40" i="12"/>
  <c r="AI40" i="12"/>
  <c r="AF40" i="12"/>
  <c r="AC40" i="12"/>
  <c r="Z40" i="12"/>
  <c r="W40" i="12"/>
  <c r="T40" i="12"/>
  <c r="Q40" i="12"/>
  <c r="N40" i="12"/>
  <c r="K40" i="12"/>
  <c r="H40" i="12"/>
  <c r="E40" i="12"/>
  <c r="NI39" i="12"/>
  <c r="NH39" i="12"/>
  <c r="NJ39" i="12" s="1"/>
  <c r="NF39" i="12"/>
  <c r="NE39" i="12"/>
  <c r="NG39" i="12" s="1"/>
  <c r="ND39" i="12"/>
  <c r="NA39" i="12"/>
  <c r="MX39" i="12"/>
  <c r="MU39" i="12"/>
  <c r="MR39" i="12"/>
  <c r="MO39" i="12"/>
  <c r="ML39" i="12"/>
  <c r="MI39" i="12"/>
  <c r="MF39" i="12"/>
  <c r="MC39" i="12"/>
  <c r="LZ39" i="12"/>
  <c r="LW39" i="12"/>
  <c r="LT39" i="12"/>
  <c r="LQ39" i="12"/>
  <c r="LN39" i="12"/>
  <c r="LK39" i="12"/>
  <c r="LH39" i="12"/>
  <c r="LE39" i="12"/>
  <c r="LB39" i="12"/>
  <c r="KY39" i="12"/>
  <c r="KV39" i="12"/>
  <c r="KS39" i="12"/>
  <c r="KP39" i="12"/>
  <c r="KM39" i="12"/>
  <c r="KJ39" i="12"/>
  <c r="KG39" i="12"/>
  <c r="KD39" i="12"/>
  <c r="KA39" i="12"/>
  <c r="JX39" i="12"/>
  <c r="JU39" i="12"/>
  <c r="JR39" i="12"/>
  <c r="JO39" i="12"/>
  <c r="JL39" i="12"/>
  <c r="JI39" i="12"/>
  <c r="JF39" i="12"/>
  <c r="JC39" i="12"/>
  <c r="IZ39" i="12"/>
  <c r="IW39" i="12"/>
  <c r="IT39" i="12"/>
  <c r="IQ39" i="12"/>
  <c r="IN39" i="12"/>
  <c r="IK39" i="12"/>
  <c r="IH39" i="12"/>
  <c r="IE39" i="12"/>
  <c r="IB39" i="12"/>
  <c r="HY39" i="12"/>
  <c r="HV39" i="12"/>
  <c r="HS39" i="12"/>
  <c r="HP39" i="12"/>
  <c r="HM39" i="12"/>
  <c r="HJ39" i="12"/>
  <c r="HG39" i="12"/>
  <c r="HD39" i="12"/>
  <c r="HA39" i="12"/>
  <c r="GX39" i="12"/>
  <c r="GU39" i="12"/>
  <c r="GR39" i="12"/>
  <c r="GO39" i="12"/>
  <c r="GL39" i="12"/>
  <c r="GI39" i="12"/>
  <c r="GF39" i="12"/>
  <c r="GC39" i="12"/>
  <c r="FZ39" i="12"/>
  <c r="FW39" i="12"/>
  <c r="FT39" i="12"/>
  <c r="FQ39" i="12"/>
  <c r="FN39" i="12"/>
  <c r="FK39" i="12"/>
  <c r="FH39" i="12"/>
  <c r="FE39" i="12"/>
  <c r="FB39" i="12"/>
  <c r="EY39" i="12"/>
  <c r="EV39" i="12"/>
  <c r="ES39" i="12"/>
  <c r="EP39" i="12"/>
  <c r="EM39" i="12"/>
  <c r="EJ39" i="12"/>
  <c r="EG39" i="12"/>
  <c r="ED39" i="12"/>
  <c r="EA39" i="12"/>
  <c r="DX39" i="12"/>
  <c r="DU39" i="12"/>
  <c r="DR39" i="12"/>
  <c r="DO39" i="12"/>
  <c r="DL39" i="12"/>
  <c r="DI39" i="12"/>
  <c r="DF39" i="12"/>
  <c r="DC39" i="12"/>
  <c r="CZ39" i="12"/>
  <c r="CW39" i="12"/>
  <c r="CT39" i="12"/>
  <c r="CQ39" i="12"/>
  <c r="CN39" i="12"/>
  <c r="CK39" i="12"/>
  <c r="CH39" i="12"/>
  <c r="CE39" i="12"/>
  <c r="CB39" i="12"/>
  <c r="BY39" i="12"/>
  <c r="BV39" i="12"/>
  <c r="BS39" i="12"/>
  <c r="BP39" i="12"/>
  <c r="BM39" i="12"/>
  <c r="BJ39" i="12"/>
  <c r="BG39" i="12"/>
  <c r="BD39" i="12"/>
  <c r="BA39" i="12"/>
  <c r="AX39" i="12"/>
  <c r="AU39" i="12"/>
  <c r="AR39" i="12"/>
  <c r="AO39" i="12"/>
  <c r="AL39" i="12"/>
  <c r="AI39" i="12"/>
  <c r="AF39" i="12"/>
  <c r="AC39" i="12"/>
  <c r="Z39" i="12"/>
  <c r="W39" i="12"/>
  <c r="T39" i="12"/>
  <c r="Q39" i="12"/>
  <c r="N39" i="12"/>
  <c r="K39" i="12"/>
  <c r="H39" i="12"/>
  <c r="E39" i="12"/>
  <c r="NI38" i="12"/>
  <c r="NH38" i="12"/>
  <c r="NJ38" i="12" s="1"/>
  <c r="NF38" i="12"/>
  <c r="NE38" i="12"/>
  <c r="ND38" i="12"/>
  <c r="NA38" i="12"/>
  <c r="MX38" i="12"/>
  <c r="MU38" i="12"/>
  <c r="MR38" i="12"/>
  <c r="MO38" i="12"/>
  <c r="ML38" i="12"/>
  <c r="MI38" i="12"/>
  <c r="MF38" i="12"/>
  <c r="MC38" i="12"/>
  <c r="LZ38" i="12"/>
  <c r="LW38" i="12"/>
  <c r="LT38" i="12"/>
  <c r="LQ38" i="12"/>
  <c r="LN38" i="12"/>
  <c r="LK38" i="12"/>
  <c r="LH38" i="12"/>
  <c r="LE38" i="12"/>
  <c r="LB38" i="12"/>
  <c r="KY38" i="12"/>
  <c r="KV38" i="12"/>
  <c r="KS38" i="12"/>
  <c r="KP38" i="12"/>
  <c r="KM38" i="12"/>
  <c r="KJ38" i="12"/>
  <c r="KG38" i="12"/>
  <c r="KD38" i="12"/>
  <c r="KA38" i="12"/>
  <c r="JX38" i="12"/>
  <c r="JU38" i="12"/>
  <c r="JR38" i="12"/>
  <c r="JO38" i="12"/>
  <c r="JL38" i="12"/>
  <c r="JI38" i="12"/>
  <c r="JF38" i="12"/>
  <c r="JC38" i="12"/>
  <c r="IZ38" i="12"/>
  <c r="IW38" i="12"/>
  <c r="IT38" i="12"/>
  <c r="IQ38" i="12"/>
  <c r="IN38" i="12"/>
  <c r="IK38" i="12"/>
  <c r="IH38" i="12"/>
  <c r="IE38" i="12"/>
  <c r="IB38" i="12"/>
  <c r="HY38" i="12"/>
  <c r="HV38" i="12"/>
  <c r="HS38" i="12"/>
  <c r="HP38" i="12"/>
  <c r="HM38" i="12"/>
  <c r="HJ38" i="12"/>
  <c r="HG38" i="12"/>
  <c r="HD38" i="12"/>
  <c r="HA38" i="12"/>
  <c r="GX38" i="12"/>
  <c r="GU38" i="12"/>
  <c r="GR38" i="12"/>
  <c r="GO38" i="12"/>
  <c r="GL38" i="12"/>
  <c r="GI38" i="12"/>
  <c r="GF38" i="12"/>
  <c r="GC38" i="12"/>
  <c r="FZ38" i="12"/>
  <c r="FW38" i="12"/>
  <c r="FT38" i="12"/>
  <c r="FQ38" i="12"/>
  <c r="FN38" i="12"/>
  <c r="FK38" i="12"/>
  <c r="FH38" i="12"/>
  <c r="FE38" i="12"/>
  <c r="FB38" i="12"/>
  <c r="EY38" i="12"/>
  <c r="EV38" i="12"/>
  <c r="ES38" i="12"/>
  <c r="EP38" i="12"/>
  <c r="EM38" i="12"/>
  <c r="EJ38" i="12"/>
  <c r="EG38" i="12"/>
  <c r="ED38" i="12"/>
  <c r="EA38" i="12"/>
  <c r="DX38" i="12"/>
  <c r="DU38" i="12"/>
  <c r="DR38" i="12"/>
  <c r="DO38" i="12"/>
  <c r="DL38" i="12"/>
  <c r="DI38" i="12"/>
  <c r="DF38" i="12"/>
  <c r="DC38" i="12"/>
  <c r="CZ38" i="12"/>
  <c r="CW38" i="12"/>
  <c r="CT38" i="12"/>
  <c r="CQ38" i="12"/>
  <c r="CN38" i="12"/>
  <c r="CK38" i="12"/>
  <c r="CH38" i="12"/>
  <c r="CE38" i="12"/>
  <c r="CB38" i="12"/>
  <c r="BY38" i="12"/>
  <c r="BV38" i="12"/>
  <c r="BS38" i="12"/>
  <c r="BP38" i="12"/>
  <c r="BM38" i="12"/>
  <c r="BJ38" i="12"/>
  <c r="BG38" i="12"/>
  <c r="BD38" i="12"/>
  <c r="BA38" i="12"/>
  <c r="AX38" i="12"/>
  <c r="AU38" i="12"/>
  <c r="AR38" i="12"/>
  <c r="AO38" i="12"/>
  <c r="AL38" i="12"/>
  <c r="AI38" i="12"/>
  <c r="AF38" i="12"/>
  <c r="AC38" i="12"/>
  <c r="Z38" i="12"/>
  <c r="W38" i="12"/>
  <c r="T38" i="12"/>
  <c r="Q38" i="12"/>
  <c r="N38" i="12"/>
  <c r="K38" i="12"/>
  <c r="H38" i="12"/>
  <c r="E38" i="12"/>
  <c r="NI37" i="12"/>
  <c r="NH37" i="12"/>
  <c r="NF37" i="12"/>
  <c r="NE37" i="12"/>
  <c r="NG37" i="12" s="1"/>
  <c r="ND37" i="12"/>
  <c r="NA37" i="12"/>
  <c r="MX37" i="12"/>
  <c r="MU37" i="12"/>
  <c r="MR37" i="12"/>
  <c r="MO37" i="12"/>
  <c r="ML37" i="12"/>
  <c r="MI37" i="12"/>
  <c r="MF37" i="12"/>
  <c r="MC37" i="12"/>
  <c r="LZ37" i="12"/>
  <c r="LW37" i="12"/>
  <c r="LT37" i="12"/>
  <c r="LQ37" i="12"/>
  <c r="LN37" i="12"/>
  <c r="LK37" i="12"/>
  <c r="LH37" i="12"/>
  <c r="LE37" i="12"/>
  <c r="LB37" i="12"/>
  <c r="KY37" i="12"/>
  <c r="KV37" i="12"/>
  <c r="KS37" i="12"/>
  <c r="KP37" i="12"/>
  <c r="KM37" i="12"/>
  <c r="KJ37" i="12"/>
  <c r="KG37" i="12"/>
  <c r="KD37" i="12"/>
  <c r="KA37" i="12"/>
  <c r="JX37" i="12"/>
  <c r="JU37" i="12"/>
  <c r="JR37" i="12"/>
  <c r="JO37" i="12"/>
  <c r="JL37" i="12"/>
  <c r="JI37" i="12"/>
  <c r="JF37" i="12"/>
  <c r="JC37" i="12"/>
  <c r="IZ37" i="12"/>
  <c r="IW37" i="12"/>
  <c r="IT37" i="12"/>
  <c r="IQ37" i="12"/>
  <c r="IN37" i="12"/>
  <c r="IK37" i="12"/>
  <c r="IH37" i="12"/>
  <c r="IE37" i="12"/>
  <c r="IB37" i="12"/>
  <c r="HY37" i="12"/>
  <c r="HV37" i="12"/>
  <c r="HS37" i="12"/>
  <c r="HP37" i="12"/>
  <c r="HM37" i="12"/>
  <c r="HJ37" i="12"/>
  <c r="HG37" i="12"/>
  <c r="HD37" i="12"/>
  <c r="HA37" i="12"/>
  <c r="GX37" i="12"/>
  <c r="GU37" i="12"/>
  <c r="GR37" i="12"/>
  <c r="GO37" i="12"/>
  <c r="GL37" i="12"/>
  <c r="GI37" i="12"/>
  <c r="GF37" i="12"/>
  <c r="GC37" i="12"/>
  <c r="FZ37" i="12"/>
  <c r="FW37" i="12"/>
  <c r="FT37" i="12"/>
  <c r="FQ37" i="12"/>
  <c r="FN37" i="12"/>
  <c r="FK37" i="12"/>
  <c r="FH37" i="12"/>
  <c r="FE37" i="12"/>
  <c r="FB37" i="12"/>
  <c r="EY37" i="12"/>
  <c r="EV37" i="12"/>
  <c r="ES37" i="12"/>
  <c r="EP37" i="12"/>
  <c r="EM37" i="12"/>
  <c r="EJ37" i="12"/>
  <c r="EG37" i="12"/>
  <c r="ED37" i="12"/>
  <c r="EA37" i="12"/>
  <c r="DX37" i="12"/>
  <c r="DU37" i="12"/>
  <c r="DR37" i="12"/>
  <c r="DO37" i="12"/>
  <c r="DL37" i="12"/>
  <c r="DI37" i="12"/>
  <c r="DF37" i="12"/>
  <c r="DC37" i="12"/>
  <c r="CZ37" i="12"/>
  <c r="CW37" i="12"/>
  <c r="CT37" i="12"/>
  <c r="CQ37" i="12"/>
  <c r="CN37" i="12"/>
  <c r="CK37" i="12"/>
  <c r="CH37" i="12"/>
  <c r="CE37" i="12"/>
  <c r="CB37" i="12"/>
  <c r="BY37" i="12"/>
  <c r="BV37" i="12"/>
  <c r="BS37" i="12"/>
  <c r="BP37" i="12"/>
  <c r="BM37" i="12"/>
  <c r="BJ37" i="12"/>
  <c r="BG37" i="12"/>
  <c r="BD37" i="12"/>
  <c r="BA37" i="12"/>
  <c r="AX37" i="12"/>
  <c r="AU37" i="12"/>
  <c r="AR37" i="12"/>
  <c r="AO37" i="12"/>
  <c r="AL37" i="12"/>
  <c r="AI37" i="12"/>
  <c r="AF37" i="12"/>
  <c r="AC37" i="12"/>
  <c r="Z37" i="12"/>
  <c r="W37" i="12"/>
  <c r="T37" i="12"/>
  <c r="Q37" i="12"/>
  <c r="N37" i="12"/>
  <c r="K37" i="12"/>
  <c r="H37" i="12"/>
  <c r="E37" i="12"/>
  <c r="NI36" i="12"/>
  <c r="NH36" i="12"/>
  <c r="NF36" i="12"/>
  <c r="NE36" i="12"/>
  <c r="ND36" i="12"/>
  <c r="NA36" i="12"/>
  <c r="MX36" i="12"/>
  <c r="MU36" i="12"/>
  <c r="MR36" i="12"/>
  <c r="MO36" i="12"/>
  <c r="ML36" i="12"/>
  <c r="MI36" i="12"/>
  <c r="MF36" i="12"/>
  <c r="MC36" i="12"/>
  <c r="LZ36" i="12"/>
  <c r="LW36" i="12"/>
  <c r="LT36" i="12"/>
  <c r="LQ36" i="12"/>
  <c r="LN36" i="12"/>
  <c r="LK36" i="12"/>
  <c r="LH36" i="12"/>
  <c r="LE36" i="12"/>
  <c r="LB36" i="12"/>
  <c r="KY36" i="12"/>
  <c r="KV36" i="12"/>
  <c r="KS36" i="12"/>
  <c r="KP36" i="12"/>
  <c r="KM36" i="12"/>
  <c r="KJ36" i="12"/>
  <c r="KG36" i="12"/>
  <c r="KD36" i="12"/>
  <c r="KA36" i="12"/>
  <c r="JX36" i="12"/>
  <c r="JU36" i="12"/>
  <c r="JR36" i="12"/>
  <c r="JO36" i="12"/>
  <c r="JL36" i="12"/>
  <c r="JI36" i="12"/>
  <c r="JF36" i="12"/>
  <c r="JC36" i="12"/>
  <c r="IZ36" i="12"/>
  <c r="IW36" i="12"/>
  <c r="IT36" i="12"/>
  <c r="IQ36" i="12"/>
  <c r="IN36" i="12"/>
  <c r="IK36" i="12"/>
  <c r="IH36" i="12"/>
  <c r="IE36" i="12"/>
  <c r="IB36" i="12"/>
  <c r="HY36" i="12"/>
  <c r="HV36" i="12"/>
  <c r="HS36" i="12"/>
  <c r="HP36" i="12"/>
  <c r="HM36" i="12"/>
  <c r="HJ36" i="12"/>
  <c r="HG36" i="12"/>
  <c r="HD36" i="12"/>
  <c r="HA36" i="12"/>
  <c r="GX36" i="12"/>
  <c r="GU36" i="12"/>
  <c r="GR36" i="12"/>
  <c r="GO36" i="12"/>
  <c r="GL36" i="12"/>
  <c r="GI36" i="12"/>
  <c r="GF36" i="12"/>
  <c r="GC36" i="12"/>
  <c r="FZ36" i="12"/>
  <c r="FW36" i="12"/>
  <c r="FT36" i="12"/>
  <c r="FQ36" i="12"/>
  <c r="FN36" i="12"/>
  <c r="FK36" i="12"/>
  <c r="FH36" i="12"/>
  <c r="FE36" i="12"/>
  <c r="FB36" i="12"/>
  <c r="EY36" i="12"/>
  <c r="EV36" i="12"/>
  <c r="ES36" i="12"/>
  <c r="EP36" i="12"/>
  <c r="EM36" i="12"/>
  <c r="EJ36" i="12"/>
  <c r="EG36" i="12"/>
  <c r="ED36" i="12"/>
  <c r="EA36" i="12"/>
  <c r="DX36" i="12"/>
  <c r="DU36" i="12"/>
  <c r="DR36" i="12"/>
  <c r="DO36" i="12"/>
  <c r="DL36" i="12"/>
  <c r="DI36" i="12"/>
  <c r="DF36" i="12"/>
  <c r="DC36" i="12"/>
  <c r="CZ36" i="12"/>
  <c r="CW36" i="12"/>
  <c r="CT36" i="12"/>
  <c r="CQ36" i="12"/>
  <c r="CN36" i="12"/>
  <c r="CK36" i="12"/>
  <c r="CH36" i="12"/>
  <c r="CE36" i="12"/>
  <c r="CB36" i="12"/>
  <c r="BY36" i="12"/>
  <c r="BV36" i="12"/>
  <c r="BS36" i="12"/>
  <c r="BP36" i="12"/>
  <c r="BM36" i="12"/>
  <c r="BJ36" i="12"/>
  <c r="BG36" i="12"/>
  <c r="BD36" i="12"/>
  <c r="BA36" i="12"/>
  <c r="AX36" i="12"/>
  <c r="AU36" i="12"/>
  <c r="AR36" i="12"/>
  <c r="AO36" i="12"/>
  <c r="AL36" i="12"/>
  <c r="AI36" i="12"/>
  <c r="AF36" i="12"/>
  <c r="AC36" i="12"/>
  <c r="Z36" i="12"/>
  <c r="W36" i="12"/>
  <c r="T36" i="12"/>
  <c r="Q36" i="12"/>
  <c r="N36" i="12"/>
  <c r="K36" i="12"/>
  <c r="H36" i="12"/>
  <c r="E36" i="12"/>
  <c r="NI35" i="12"/>
  <c r="NH35" i="12"/>
  <c r="NJ35" i="12" s="1"/>
  <c r="NF35" i="12"/>
  <c r="NE35" i="12"/>
  <c r="NG35" i="12" s="1"/>
  <c r="ND35" i="12"/>
  <c r="NA35" i="12"/>
  <c r="MX35" i="12"/>
  <c r="MU35" i="12"/>
  <c r="MR35" i="12"/>
  <c r="MO35" i="12"/>
  <c r="ML35" i="12"/>
  <c r="MI35" i="12"/>
  <c r="MF35" i="12"/>
  <c r="MC35" i="12"/>
  <c r="LZ35" i="12"/>
  <c r="LW35" i="12"/>
  <c r="LT35" i="12"/>
  <c r="LQ35" i="12"/>
  <c r="LN35" i="12"/>
  <c r="LK35" i="12"/>
  <c r="LH35" i="12"/>
  <c r="LE35" i="12"/>
  <c r="LB35" i="12"/>
  <c r="KY35" i="12"/>
  <c r="KV35" i="12"/>
  <c r="KS35" i="12"/>
  <c r="KP35" i="12"/>
  <c r="KM35" i="12"/>
  <c r="KJ35" i="12"/>
  <c r="KG35" i="12"/>
  <c r="KD35" i="12"/>
  <c r="KA35" i="12"/>
  <c r="JX35" i="12"/>
  <c r="JU35" i="12"/>
  <c r="JR35" i="12"/>
  <c r="JO35" i="12"/>
  <c r="JL35" i="12"/>
  <c r="JI35" i="12"/>
  <c r="JF35" i="12"/>
  <c r="JC35" i="12"/>
  <c r="IZ35" i="12"/>
  <c r="IW35" i="12"/>
  <c r="IT35" i="12"/>
  <c r="IQ35" i="12"/>
  <c r="IN35" i="12"/>
  <c r="IK35" i="12"/>
  <c r="IH35" i="12"/>
  <c r="IE35" i="12"/>
  <c r="IB35" i="12"/>
  <c r="HY35" i="12"/>
  <c r="HV35" i="12"/>
  <c r="HS35" i="12"/>
  <c r="HP35" i="12"/>
  <c r="HM35" i="12"/>
  <c r="HJ35" i="12"/>
  <c r="HG35" i="12"/>
  <c r="HD35" i="12"/>
  <c r="HA35" i="12"/>
  <c r="GX35" i="12"/>
  <c r="GU35" i="12"/>
  <c r="GR35" i="12"/>
  <c r="GO35" i="12"/>
  <c r="GL35" i="12"/>
  <c r="GI35" i="12"/>
  <c r="GF35" i="12"/>
  <c r="GC35" i="12"/>
  <c r="FZ35" i="12"/>
  <c r="FW35" i="12"/>
  <c r="FT35" i="12"/>
  <c r="FQ35" i="12"/>
  <c r="FN35" i="12"/>
  <c r="FK35" i="12"/>
  <c r="FH35" i="12"/>
  <c r="FE35" i="12"/>
  <c r="FB35" i="12"/>
  <c r="EY35" i="12"/>
  <c r="EV35" i="12"/>
  <c r="ES35" i="12"/>
  <c r="EP35" i="12"/>
  <c r="EM35" i="12"/>
  <c r="EJ35" i="12"/>
  <c r="EG35" i="12"/>
  <c r="ED35" i="12"/>
  <c r="EA35" i="12"/>
  <c r="DX35" i="12"/>
  <c r="DU35" i="12"/>
  <c r="DR35" i="12"/>
  <c r="DO35" i="12"/>
  <c r="DL35" i="12"/>
  <c r="DI35" i="12"/>
  <c r="DF35" i="12"/>
  <c r="DC35" i="12"/>
  <c r="CZ35" i="12"/>
  <c r="CW35" i="12"/>
  <c r="CT35" i="12"/>
  <c r="CQ35" i="12"/>
  <c r="CN35" i="12"/>
  <c r="CK35" i="12"/>
  <c r="CH35" i="12"/>
  <c r="CE35" i="12"/>
  <c r="CB35" i="12"/>
  <c r="BY35" i="12"/>
  <c r="BV35" i="12"/>
  <c r="BS35" i="12"/>
  <c r="BP35" i="12"/>
  <c r="BM35" i="12"/>
  <c r="BJ35" i="12"/>
  <c r="BG35" i="12"/>
  <c r="BD35" i="12"/>
  <c r="BA35" i="12"/>
  <c r="AX35" i="12"/>
  <c r="AU35" i="12"/>
  <c r="AR35" i="12"/>
  <c r="AO35" i="12"/>
  <c r="AL35" i="12"/>
  <c r="AI35" i="12"/>
  <c r="AF35" i="12"/>
  <c r="AC35" i="12"/>
  <c r="Z35" i="12"/>
  <c r="W35" i="12"/>
  <c r="T35" i="12"/>
  <c r="Q35" i="12"/>
  <c r="N35" i="12"/>
  <c r="K35" i="12"/>
  <c r="H35" i="12"/>
  <c r="E35" i="12"/>
  <c r="NI34" i="12"/>
  <c r="NH34" i="12"/>
  <c r="NF34" i="12"/>
  <c r="NE34" i="12"/>
  <c r="NG34" i="12" s="1"/>
  <c r="ND34" i="12"/>
  <c r="NA34" i="12"/>
  <c r="MX34" i="12"/>
  <c r="MU34" i="12"/>
  <c r="MR34" i="12"/>
  <c r="MO34" i="12"/>
  <c r="ML34" i="12"/>
  <c r="MI34" i="12"/>
  <c r="MF34" i="12"/>
  <c r="MC34" i="12"/>
  <c r="LZ34" i="12"/>
  <c r="LW34" i="12"/>
  <c r="LT34" i="12"/>
  <c r="LQ34" i="12"/>
  <c r="LN34" i="12"/>
  <c r="LK34" i="12"/>
  <c r="LH34" i="12"/>
  <c r="LE34" i="12"/>
  <c r="LB34" i="12"/>
  <c r="KY34" i="12"/>
  <c r="KV34" i="12"/>
  <c r="KS34" i="12"/>
  <c r="KP34" i="12"/>
  <c r="KM34" i="12"/>
  <c r="KJ34" i="12"/>
  <c r="KG34" i="12"/>
  <c r="KD34" i="12"/>
  <c r="KA34" i="12"/>
  <c r="JX34" i="12"/>
  <c r="JU34" i="12"/>
  <c r="JR34" i="12"/>
  <c r="JO34" i="12"/>
  <c r="JL34" i="12"/>
  <c r="JI34" i="12"/>
  <c r="JF34" i="12"/>
  <c r="JC34" i="12"/>
  <c r="IZ34" i="12"/>
  <c r="IW34" i="12"/>
  <c r="IT34" i="12"/>
  <c r="IQ34" i="12"/>
  <c r="IN34" i="12"/>
  <c r="IK34" i="12"/>
  <c r="IH34" i="12"/>
  <c r="IE34" i="12"/>
  <c r="IB34" i="12"/>
  <c r="HY34" i="12"/>
  <c r="HV34" i="12"/>
  <c r="HS34" i="12"/>
  <c r="HP34" i="12"/>
  <c r="HM34" i="12"/>
  <c r="HJ34" i="12"/>
  <c r="HG34" i="12"/>
  <c r="HD34" i="12"/>
  <c r="HA34" i="12"/>
  <c r="GX34" i="12"/>
  <c r="GU34" i="12"/>
  <c r="GR34" i="12"/>
  <c r="GO34" i="12"/>
  <c r="GL34" i="12"/>
  <c r="GI34" i="12"/>
  <c r="GF34" i="12"/>
  <c r="GC34" i="12"/>
  <c r="FZ34" i="12"/>
  <c r="FW34" i="12"/>
  <c r="FT34" i="12"/>
  <c r="FQ34" i="12"/>
  <c r="FN34" i="12"/>
  <c r="FK34" i="12"/>
  <c r="FH34" i="12"/>
  <c r="FE34" i="12"/>
  <c r="FB34" i="12"/>
  <c r="EY34" i="12"/>
  <c r="EV34" i="12"/>
  <c r="ES34" i="12"/>
  <c r="EP34" i="12"/>
  <c r="EM34" i="12"/>
  <c r="EJ34" i="12"/>
  <c r="EG34" i="12"/>
  <c r="ED34" i="12"/>
  <c r="EA34" i="12"/>
  <c r="DX34" i="12"/>
  <c r="DU34" i="12"/>
  <c r="DR34" i="12"/>
  <c r="DO34" i="12"/>
  <c r="DL34" i="12"/>
  <c r="DI34" i="12"/>
  <c r="DF34" i="12"/>
  <c r="DC34" i="12"/>
  <c r="CZ34" i="12"/>
  <c r="CW34" i="12"/>
  <c r="CT34" i="12"/>
  <c r="CQ34" i="12"/>
  <c r="CN34" i="12"/>
  <c r="CK34" i="12"/>
  <c r="CH34" i="12"/>
  <c r="CE34" i="12"/>
  <c r="CB34" i="12"/>
  <c r="BY34" i="12"/>
  <c r="BV34" i="12"/>
  <c r="BS34" i="12"/>
  <c r="BP34" i="12"/>
  <c r="BM34" i="12"/>
  <c r="BJ34" i="12"/>
  <c r="BG34" i="12"/>
  <c r="BD34" i="12"/>
  <c r="BA34" i="12"/>
  <c r="AX34" i="12"/>
  <c r="AU34" i="12"/>
  <c r="AR34" i="12"/>
  <c r="AO34" i="12"/>
  <c r="AL34" i="12"/>
  <c r="AI34" i="12"/>
  <c r="AF34" i="12"/>
  <c r="AC34" i="12"/>
  <c r="Z34" i="12"/>
  <c r="W34" i="12"/>
  <c r="T34" i="12"/>
  <c r="Q34" i="12"/>
  <c r="N34" i="12"/>
  <c r="K34" i="12"/>
  <c r="H34" i="12"/>
  <c r="E34" i="12"/>
  <c r="NI33" i="12"/>
  <c r="NH33" i="12"/>
  <c r="NF33" i="12"/>
  <c r="NE33" i="12"/>
  <c r="NG33" i="12" s="1"/>
  <c r="ND33" i="12"/>
  <c r="NA33" i="12"/>
  <c r="MX33" i="12"/>
  <c r="MU33" i="12"/>
  <c r="MR33" i="12"/>
  <c r="MO33" i="12"/>
  <c r="ML33" i="12"/>
  <c r="MI33" i="12"/>
  <c r="MF33" i="12"/>
  <c r="MC33" i="12"/>
  <c r="LZ33" i="12"/>
  <c r="LW33" i="12"/>
  <c r="LT33" i="12"/>
  <c r="LQ33" i="12"/>
  <c r="LN33" i="12"/>
  <c r="LK33" i="12"/>
  <c r="LH33" i="12"/>
  <c r="LE33" i="12"/>
  <c r="LB33" i="12"/>
  <c r="KY33" i="12"/>
  <c r="KV33" i="12"/>
  <c r="KS33" i="12"/>
  <c r="KP33" i="12"/>
  <c r="KM33" i="12"/>
  <c r="KJ33" i="12"/>
  <c r="KG33" i="12"/>
  <c r="KD33" i="12"/>
  <c r="KA33" i="12"/>
  <c r="JX33" i="12"/>
  <c r="JU33" i="12"/>
  <c r="JR33" i="12"/>
  <c r="JO33" i="12"/>
  <c r="JL33" i="12"/>
  <c r="JI33" i="12"/>
  <c r="JF33" i="12"/>
  <c r="JC33" i="12"/>
  <c r="IZ33" i="12"/>
  <c r="IW33" i="12"/>
  <c r="IT33" i="12"/>
  <c r="IQ33" i="12"/>
  <c r="IN33" i="12"/>
  <c r="IK33" i="12"/>
  <c r="IH33" i="12"/>
  <c r="IE33" i="12"/>
  <c r="IB33" i="12"/>
  <c r="HY33" i="12"/>
  <c r="HV33" i="12"/>
  <c r="HS33" i="12"/>
  <c r="HP33" i="12"/>
  <c r="HM33" i="12"/>
  <c r="HJ33" i="12"/>
  <c r="HG33" i="12"/>
  <c r="HD33" i="12"/>
  <c r="HA33" i="12"/>
  <c r="GX33" i="12"/>
  <c r="GU33" i="12"/>
  <c r="GR33" i="12"/>
  <c r="GO33" i="12"/>
  <c r="GL33" i="12"/>
  <c r="GI33" i="12"/>
  <c r="GF33" i="12"/>
  <c r="GC33" i="12"/>
  <c r="FZ33" i="12"/>
  <c r="FW33" i="12"/>
  <c r="FT33" i="12"/>
  <c r="FQ33" i="12"/>
  <c r="FN33" i="12"/>
  <c r="FK33" i="12"/>
  <c r="FH33" i="12"/>
  <c r="FE33" i="12"/>
  <c r="FB33" i="12"/>
  <c r="EY33" i="12"/>
  <c r="EV33" i="12"/>
  <c r="ES33" i="12"/>
  <c r="EP33" i="12"/>
  <c r="EM33" i="12"/>
  <c r="EJ33" i="12"/>
  <c r="EG33" i="12"/>
  <c r="ED33" i="12"/>
  <c r="EA33" i="12"/>
  <c r="DX33" i="12"/>
  <c r="DU33" i="12"/>
  <c r="DR33" i="12"/>
  <c r="DO33" i="12"/>
  <c r="DL33" i="12"/>
  <c r="DI33" i="12"/>
  <c r="DF33" i="12"/>
  <c r="DC33" i="12"/>
  <c r="CZ33" i="12"/>
  <c r="CW33" i="12"/>
  <c r="CT33" i="12"/>
  <c r="CQ33" i="12"/>
  <c r="CN33" i="12"/>
  <c r="CK33" i="12"/>
  <c r="CH33" i="12"/>
  <c r="CE33" i="12"/>
  <c r="CB33" i="12"/>
  <c r="BY33" i="12"/>
  <c r="BV33" i="12"/>
  <c r="BS33" i="12"/>
  <c r="BP33" i="12"/>
  <c r="BM33" i="12"/>
  <c r="BJ33" i="12"/>
  <c r="BG33" i="12"/>
  <c r="BD33" i="12"/>
  <c r="BA33" i="12"/>
  <c r="AX33" i="12"/>
  <c r="AU33" i="12"/>
  <c r="AR33" i="12"/>
  <c r="AO33" i="12"/>
  <c r="AL33" i="12"/>
  <c r="AI33" i="12"/>
  <c r="AF33" i="12"/>
  <c r="AC33" i="12"/>
  <c r="Z33" i="12"/>
  <c r="W33" i="12"/>
  <c r="T33" i="12"/>
  <c r="Q33" i="12"/>
  <c r="N33" i="12"/>
  <c r="K33" i="12"/>
  <c r="H33" i="12"/>
  <c r="E33" i="12"/>
  <c r="NI32" i="12"/>
  <c r="NH32" i="12"/>
  <c r="NJ32" i="12" s="1"/>
  <c r="NF32" i="12"/>
  <c r="NE32" i="12"/>
  <c r="NG32" i="12" s="1"/>
  <c r="ND32" i="12"/>
  <c r="NA32" i="12"/>
  <c r="MX32" i="12"/>
  <c r="MU32" i="12"/>
  <c r="MR32" i="12"/>
  <c r="MO32" i="12"/>
  <c r="ML32" i="12"/>
  <c r="MI32" i="12"/>
  <c r="MF32" i="12"/>
  <c r="MC32" i="12"/>
  <c r="LZ32" i="12"/>
  <c r="LW32" i="12"/>
  <c r="LT32" i="12"/>
  <c r="LQ32" i="12"/>
  <c r="LN32" i="12"/>
  <c r="LK32" i="12"/>
  <c r="LH32" i="12"/>
  <c r="LE32" i="12"/>
  <c r="LB32" i="12"/>
  <c r="KY32" i="12"/>
  <c r="KV32" i="12"/>
  <c r="KS32" i="12"/>
  <c r="KP32" i="12"/>
  <c r="KM32" i="12"/>
  <c r="KJ32" i="12"/>
  <c r="KG32" i="12"/>
  <c r="KD32" i="12"/>
  <c r="KA32" i="12"/>
  <c r="JX32" i="12"/>
  <c r="JU32" i="12"/>
  <c r="JR32" i="12"/>
  <c r="JO32" i="12"/>
  <c r="JL32" i="12"/>
  <c r="JI32" i="12"/>
  <c r="JF32" i="12"/>
  <c r="JC32" i="12"/>
  <c r="IZ32" i="12"/>
  <c r="IW32" i="12"/>
  <c r="IT32" i="12"/>
  <c r="IQ32" i="12"/>
  <c r="IN32" i="12"/>
  <c r="IK32" i="12"/>
  <c r="IH32" i="12"/>
  <c r="IE32" i="12"/>
  <c r="IB32" i="12"/>
  <c r="HY32" i="12"/>
  <c r="HV32" i="12"/>
  <c r="HS32" i="12"/>
  <c r="HP32" i="12"/>
  <c r="HM32" i="12"/>
  <c r="HJ32" i="12"/>
  <c r="HG32" i="12"/>
  <c r="HD32" i="12"/>
  <c r="HA32" i="12"/>
  <c r="GX32" i="12"/>
  <c r="GU32" i="12"/>
  <c r="GR32" i="12"/>
  <c r="GO32" i="12"/>
  <c r="GL32" i="12"/>
  <c r="GI32" i="12"/>
  <c r="GF32" i="12"/>
  <c r="GC32" i="12"/>
  <c r="FZ32" i="12"/>
  <c r="FW32" i="12"/>
  <c r="FT32" i="12"/>
  <c r="FQ32" i="12"/>
  <c r="FN32" i="12"/>
  <c r="FK32" i="12"/>
  <c r="FH32" i="12"/>
  <c r="FE32" i="12"/>
  <c r="FB32" i="12"/>
  <c r="EY32" i="12"/>
  <c r="EV32" i="12"/>
  <c r="ES32" i="12"/>
  <c r="EP32" i="12"/>
  <c r="EM32" i="12"/>
  <c r="EJ32" i="12"/>
  <c r="EG32" i="12"/>
  <c r="ED32" i="12"/>
  <c r="EA32" i="12"/>
  <c r="DX32" i="12"/>
  <c r="DU32" i="12"/>
  <c r="DR32" i="12"/>
  <c r="DO32" i="12"/>
  <c r="DL32" i="12"/>
  <c r="DI32" i="12"/>
  <c r="DF32" i="12"/>
  <c r="DC32" i="12"/>
  <c r="CZ32" i="12"/>
  <c r="CW32" i="12"/>
  <c r="CT32" i="12"/>
  <c r="CQ32" i="12"/>
  <c r="CN32" i="12"/>
  <c r="CK32" i="12"/>
  <c r="CH32" i="12"/>
  <c r="CE32" i="12"/>
  <c r="CB32" i="12"/>
  <c r="BY32" i="12"/>
  <c r="BV32" i="12"/>
  <c r="BS32" i="12"/>
  <c r="BP32" i="12"/>
  <c r="BM32" i="12"/>
  <c r="BJ32" i="12"/>
  <c r="BG32" i="12"/>
  <c r="BD32" i="12"/>
  <c r="BA32" i="12"/>
  <c r="AX32" i="12"/>
  <c r="AU32" i="12"/>
  <c r="AR32" i="12"/>
  <c r="AO32" i="12"/>
  <c r="AL32" i="12"/>
  <c r="AI32" i="12"/>
  <c r="AF32" i="12"/>
  <c r="AC32" i="12"/>
  <c r="Z32" i="12"/>
  <c r="W32" i="12"/>
  <c r="T32" i="12"/>
  <c r="Q32" i="12"/>
  <c r="N32" i="12"/>
  <c r="K32" i="12"/>
  <c r="H32" i="12"/>
  <c r="E32" i="12"/>
  <c r="NI31" i="12"/>
  <c r="NH31" i="12"/>
  <c r="NJ31" i="12" s="1"/>
  <c r="NG31" i="12"/>
  <c r="NF31" i="12"/>
  <c r="NE31" i="12"/>
  <c r="ND31" i="12"/>
  <c r="NA31" i="12"/>
  <c r="MX31" i="12"/>
  <c r="MU31" i="12"/>
  <c r="MR31" i="12"/>
  <c r="MO31" i="12"/>
  <c r="ML31" i="12"/>
  <c r="MI31" i="12"/>
  <c r="MF31" i="12"/>
  <c r="MC31" i="12"/>
  <c r="LZ31" i="12"/>
  <c r="LW31" i="12"/>
  <c r="LT31" i="12"/>
  <c r="LQ31" i="12"/>
  <c r="LN31" i="12"/>
  <c r="LK31" i="12"/>
  <c r="LH31" i="12"/>
  <c r="LE31" i="12"/>
  <c r="LB31" i="12"/>
  <c r="KY31" i="12"/>
  <c r="KV31" i="12"/>
  <c r="KS31" i="12"/>
  <c r="KP31" i="12"/>
  <c r="KM31" i="12"/>
  <c r="KJ31" i="12"/>
  <c r="KG31" i="12"/>
  <c r="KD31" i="12"/>
  <c r="KA31" i="12"/>
  <c r="JX31" i="12"/>
  <c r="JU31" i="12"/>
  <c r="JR31" i="12"/>
  <c r="JO31" i="12"/>
  <c r="JL31" i="12"/>
  <c r="JI31" i="12"/>
  <c r="JF31" i="12"/>
  <c r="JC31" i="12"/>
  <c r="IZ31" i="12"/>
  <c r="IW31" i="12"/>
  <c r="IT31" i="12"/>
  <c r="IQ31" i="12"/>
  <c r="IN31" i="12"/>
  <c r="IK31" i="12"/>
  <c r="IH31" i="12"/>
  <c r="IE31" i="12"/>
  <c r="IB31" i="12"/>
  <c r="HY31" i="12"/>
  <c r="HV31" i="12"/>
  <c r="HS31" i="12"/>
  <c r="HP31" i="12"/>
  <c r="HM31" i="12"/>
  <c r="HJ31" i="12"/>
  <c r="HG31" i="12"/>
  <c r="HD31" i="12"/>
  <c r="HA31" i="12"/>
  <c r="GX31" i="12"/>
  <c r="GU31" i="12"/>
  <c r="GR31" i="12"/>
  <c r="GO31" i="12"/>
  <c r="GL31" i="12"/>
  <c r="GI31" i="12"/>
  <c r="GF31" i="12"/>
  <c r="GC31" i="12"/>
  <c r="FZ31" i="12"/>
  <c r="FW31" i="12"/>
  <c r="FT31" i="12"/>
  <c r="FQ31" i="12"/>
  <c r="FN31" i="12"/>
  <c r="FK31" i="12"/>
  <c r="FH31" i="12"/>
  <c r="FE31" i="12"/>
  <c r="FB31" i="12"/>
  <c r="EY31" i="12"/>
  <c r="EV31" i="12"/>
  <c r="ES31" i="12"/>
  <c r="EP31" i="12"/>
  <c r="EM31" i="12"/>
  <c r="EJ31" i="12"/>
  <c r="EG31" i="12"/>
  <c r="ED31" i="12"/>
  <c r="EA31" i="12"/>
  <c r="DX31" i="12"/>
  <c r="DU31" i="12"/>
  <c r="DR31" i="12"/>
  <c r="DO31" i="12"/>
  <c r="DL31" i="12"/>
  <c r="DI31" i="12"/>
  <c r="DF31" i="12"/>
  <c r="DC31" i="12"/>
  <c r="CZ31" i="12"/>
  <c r="CW31" i="12"/>
  <c r="CT31" i="12"/>
  <c r="CQ31" i="12"/>
  <c r="CN31" i="12"/>
  <c r="CK31" i="12"/>
  <c r="CH31" i="12"/>
  <c r="CE31" i="12"/>
  <c r="CB31" i="12"/>
  <c r="BY31" i="12"/>
  <c r="BV31" i="12"/>
  <c r="BS31" i="12"/>
  <c r="BP31" i="12"/>
  <c r="BM31" i="12"/>
  <c r="BJ31" i="12"/>
  <c r="BG31" i="12"/>
  <c r="BD31" i="12"/>
  <c r="BA31" i="12"/>
  <c r="AX31" i="12"/>
  <c r="AU31" i="12"/>
  <c r="AR31" i="12"/>
  <c r="AO31" i="12"/>
  <c r="AL31" i="12"/>
  <c r="AI31" i="12"/>
  <c r="AF31" i="12"/>
  <c r="AC31" i="12"/>
  <c r="Z31" i="12"/>
  <c r="W31" i="12"/>
  <c r="T31" i="12"/>
  <c r="Q31" i="12"/>
  <c r="N31" i="12"/>
  <c r="K31" i="12"/>
  <c r="H31" i="12"/>
  <c r="E31" i="12"/>
  <c r="NI30" i="12"/>
  <c r="NH30" i="12"/>
  <c r="NJ30" i="12" s="1"/>
  <c r="NF30" i="12"/>
  <c r="NE30" i="12"/>
  <c r="NG30" i="12" s="1"/>
  <c r="ND30" i="12"/>
  <c r="NA30" i="12"/>
  <c r="MX30" i="12"/>
  <c r="MU30" i="12"/>
  <c r="MR30" i="12"/>
  <c r="MO30" i="12"/>
  <c r="ML30" i="12"/>
  <c r="MI30" i="12"/>
  <c r="MF30" i="12"/>
  <c r="MC30" i="12"/>
  <c r="LZ30" i="12"/>
  <c r="LW30" i="12"/>
  <c r="LT30" i="12"/>
  <c r="LQ30" i="12"/>
  <c r="LN30" i="12"/>
  <c r="LK30" i="12"/>
  <c r="LH30" i="12"/>
  <c r="LE30" i="12"/>
  <c r="LB30" i="12"/>
  <c r="KY30" i="12"/>
  <c r="KV30" i="12"/>
  <c r="KS30" i="12"/>
  <c r="KP30" i="12"/>
  <c r="KM30" i="12"/>
  <c r="KJ30" i="12"/>
  <c r="KG30" i="12"/>
  <c r="KD30" i="12"/>
  <c r="KA30" i="12"/>
  <c r="JX30" i="12"/>
  <c r="JU30" i="12"/>
  <c r="JR30" i="12"/>
  <c r="JO30" i="12"/>
  <c r="JL30" i="12"/>
  <c r="JI30" i="12"/>
  <c r="JF30" i="12"/>
  <c r="JC30" i="12"/>
  <c r="IZ30" i="12"/>
  <c r="IW30" i="12"/>
  <c r="IT30" i="12"/>
  <c r="IQ30" i="12"/>
  <c r="IN30" i="12"/>
  <c r="IK30" i="12"/>
  <c r="IH30" i="12"/>
  <c r="IE30" i="12"/>
  <c r="IB30" i="12"/>
  <c r="HY30" i="12"/>
  <c r="HV30" i="12"/>
  <c r="HS30" i="12"/>
  <c r="HP30" i="12"/>
  <c r="HM30" i="12"/>
  <c r="HJ30" i="12"/>
  <c r="HG30" i="12"/>
  <c r="HD30" i="12"/>
  <c r="HA30" i="12"/>
  <c r="GX30" i="12"/>
  <c r="GU30" i="12"/>
  <c r="GR30" i="12"/>
  <c r="GO30" i="12"/>
  <c r="GL30" i="12"/>
  <c r="GI30" i="12"/>
  <c r="GF30" i="12"/>
  <c r="GC30" i="12"/>
  <c r="FZ30" i="12"/>
  <c r="FW30" i="12"/>
  <c r="FT30" i="12"/>
  <c r="FQ30" i="12"/>
  <c r="FN30" i="12"/>
  <c r="FK30" i="12"/>
  <c r="FH30" i="12"/>
  <c r="FE30" i="12"/>
  <c r="FB30" i="12"/>
  <c r="EY30" i="12"/>
  <c r="EV30" i="12"/>
  <c r="ES30" i="12"/>
  <c r="EP30" i="12"/>
  <c r="EM30" i="12"/>
  <c r="EJ30" i="12"/>
  <c r="EG30" i="12"/>
  <c r="ED30" i="12"/>
  <c r="EA30" i="12"/>
  <c r="DX30" i="12"/>
  <c r="DU30" i="12"/>
  <c r="DR30" i="12"/>
  <c r="DO30" i="12"/>
  <c r="DL30" i="12"/>
  <c r="DI30" i="12"/>
  <c r="DF30" i="12"/>
  <c r="DC30" i="12"/>
  <c r="CZ30" i="12"/>
  <c r="CW30" i="12"/>
  <c r="CT30" i="12"/>
  <c r="CQ30" i="12"/>
  <c r="CN30" i="12"/>
  <c r="CK30" i="12"/>
  <c r="CH30" i="12"/>
  <c r="CE30" i="12"/>
  <c r="CB30" i="12"/>
  <c r="BY30" i="12"/>
  <c r="BV30" i="12"/>
  <c r="BS30" i="12"/>
  <c r="BP30" i="12"/>
  <c r="BM30" i="12"/>
  <c r="BJ30" i="12"/>
  <c r="BG30" i="12"/>
  <c r="BD30" i="12"/>
  <c r="BA30" i="12"/>
  <c r="AX30" i="12"/>
  <c r="AU30" i="12"/>
  <c r="AR30" i="12"/>
  <c r="AO30" i="12"/>
  <c r="AL30" i="12"/>
  <c r="AI30" i="12"/>
  <c r="AF30" i="12"/>
  <c r="AC30" i="12"/>
  <c r="Z30" i="12"/>
  <c r="W30" i="12"/>
  <c r="T30" i="12"/>
  <c r="Q30" i="12"/>
  <c r="N30" i="12"/>
  <c r="K30" i="12"/>
  <c r="H30" i="12"/>
  <c r="E30" i="12"/>
  <c r="NJ29" i="12"/>
  <c r="NI29" i="12"/>
  <c r="NH29" i="12"/>
  <c r="NF29" i="12"/>
  <c r="NE29" i="12"/>
  <c r="NG29" i="12" s="1"/>
  <c r="ND29" i="12"/>
  <c r="NA29" i="12"/>
  <c r="MX29" i="12"/>
  <c r="MU29" i="12"/>
  <c r="MR29" i="12"/>
  <c r="MO29" i="12"/>
  <c r="ML29" i="12"/>
  <c r="MI29" i="12"/>
  <c r="MF29" i="12"/>
  <c r="MC29" i="12"/>
  <c r="LZ29" i="12"/>
  <c r="LW29" i="12"/>
  <c r="LT29" i="12"/>
  <c r="LQ29" i="12"/>
  <c r="LN29" i="12"/>
  <c r="LK29" i="12"/>
  <c r="LH29" i="12"/>
  <c r="LE29" i="12"/>
  <c r="LB29" i="12"/>
  <c r="KY29" i="12"/>
  <c r="KV29" i="12"/>
  <c r="KS29" i="12"/>
  <c r="KP29" i="12"/>
  <c r="KM29" i="12"/>
  <c r="KJ29" i="12"/>
  <c r="KG29" i="12"/>
  <c r="KD29" i="12"/>
  <c r="KA29" i="12"/>
  <c r="JX29" i="12"/>
  <c r="JU29" i="12"/>
  <c r="JR29" i="12"/>
  <c r="JO29" i="12"/>
  <c r="JL29" i="12"/>
  <c r="JI29" i="12"/>
  <c r="JF29" i="12"/>
  <c r="JC29" i="12"/>
  <c r="IZ29" i="12"/>
  <c r="IW29" i="12"/>
  <c r="IT29" i="12"/>
  <c r="IQ29" i="12"/>
  <c r="IN29" i="12"/>
  <c r="IK29" i="12"/>
  <c r="IH29" i="12"/>
  <c r="IE29" i="12"/>
  <c r="IB29" i="12"/>
  <c r="HY29" i="12"/>
  <c r="HV29" i="12"/>
  <c r="HS29" i="12"/>
  <c r="HP29" i="12"/>
  <c r="HM29" i="12"/>
  <c r="HJ29" i="12"/>
  <c r="HG29" i="12"/>
  <c r="HD29" i="12"/>
  <c r="HA29" i="12"/>
  <c r="GX29" i="12"/>
  <c r="GU29" i="12"/>
  <c r="GR29" i="12"/>
  <c r="GO29" i="12"/>
  <c r="GL29" i="12"/>
  <c r="GI29" i="12"/>
  <c r="GF29" i="12"/>
  <c r="GC29" i="12"/>
  <c r="FZ29" i="12"/>
  <c r="FW29" i="12"/>
  <c r="FT29" i="12"/>
  <c r="FQ29" i="12"/>
  <c r="FN29" i="12"/>
  <c r="FK29" i="12"/>
  <c r="FH29" i="12"/>
  <c r="FE29" i="12"/>
  <c r="FB29" i="12"/>
  <c r="EY29" i="12"/>
  <c r="EV29" i="12"/>
  <c r="ES29" i="12"/>
  <c r="EP29" i="12"/>
  <c r="EM29" i="12"/>
  <c r="EJ29" i="12"/>
  <c r="EG29" i="12"/>
  <c r="ED29" i="12"/>
  <c r="EA29" i="12"/>
  <c r="DX29" i="12"/>
  <c r="DU29" i="12"/>
  <c r="DR29" i="12"/>
  <c r="DO29" i="12"/>
  <c r="DL29" i="12"/>
  <c r="DI29" i="12"/>
  <c r="DF29" i="12"/>
  <c r="DC29" i="12"/>
  <c r="CZ29" i="12"/>
  <c r="CW29" i="12"/>
  <c r="CT29" i="12"/>
  <c r="CQ29" i="12"/>
  <c r="CN29" i="12"/>
  <c r="CK29" i="12"/>
  <c r="CH29" i="12"/>
  <c r="CE29" i="12"/>
  <c r="CB29" i="12"/>
  <c r="BY29" i="12"/>
  <c r="BV29" i="12"/>
  <c r="BS29" i="12"/>
  <c r="BP29" i="12"/>
  <c r="BM29" i="12"/>
  <c r="BJ29" i="12"/>
  <c r="BG29" i="12"/>
  <c r="BD29" i="12"/>
  <c r="BA29" i="12"/>
  <c r="AX29" i="12"/>
  <c r="AU29" i="12"/>
  <c r="AR29" i="12"/>
  <c r="AO29" i="12"/>
  <c r="AL29" i="12"/>
  <c r="AI29" i="12"/>
  <c r="AF29" i="12"/>
  <c r="AC29" i="12"/>
  <c r="Z29" i="12"/>
  <c r="W29" i="12"/>
  <c r="T29" i="12"/>
  <c r="Q29" i="12"/>
  <c r="N29" i="12"/>
  <c r="K29" i="12"/>
  <c r="H29" i="12"/>
  <c r="E29" i="12"/>
  <c r="NI28" i="12"/>
  <c r="NH28" i="12"/>
  <c r="NJ28" i="12" s="1"/>
  <c r="NF28" i="12"/>
  <c r="NE28" i="12"/>
  <c r="NG28" i="12" s="1"/>
  <c r="ND28" i="12"/>
  <c r="NA28" i="12"/>
  <c r="MX28" i="12"/>
  <c r="MU28" i="12"/>
  <c r="MR28" i="12"/>
  <c r="MO28" i="12"/>
  <c r="ML28" i="12"/>
  <c r="MI28" i="12"/>
  <c r="MF28" i="12"/>
  <c r="MC28" i="12"/>
  <c r="LZ28" i="12"/>
  <c r="LW28" i="12"/>
  <c r="LT28" i="12"/>
  <c r="LQ28" i="12"/>
  <c r="LN28" i="12"/>
  <c r="LK28" i="12"/>
  <c r="LH28" i="12"/>
  <c r="LE28" i="12"/>
  <c r="LB28" i="12"/>
  <c r="KY28" i="12"/>
  <c r="KV28" i="12"/>
  <c r="KS28" i="12"/>
  <c r="KP28" i="12"/>
  <c r="KM28" i="12"/>
  <c r="KJ28" i="12"/>
  <c r="KG28" i="12"/>
  <c r="KD28" i="12"/>
  <c r="KA28" i="12"/>
  <c r="JX28" i="12"/>
  <c r="JU28" i="12"/>
  <c r="JR28" i="12"/>
  <c r="JO28" i="12"/>
  <c r="JL28" i="12"/>
  <c r="JI28" i="12"/>
  <c r="JF28" i="12"/>
  <c r="JC28" i="12"/>
  <c r="IZ28" i="12"/>
  <c r="IW28" i="12"/>
  <c r="IT28" i="12"/>
  <c r="IQ28" i="12"/>
  <c r="IN28" i="12"/>
  <c r="IK28" i="12"/>
  <c r="IH28" i="12"/>
  <c r="IE28" i="12"/>
  <c r="IB28" i="12"/>
  <c r="HY28" i="12"/>
  <c r="HV28" i="12"/>
  <c r="HS28" i="12"/>
  <c r="HP28" i="12"/>
  <c r="HM28" i="12"/>
  <c r="HJ28" i="12"/>
  <c r="HG28" i="12"/>
  <c r="HD28" i="12"/>
  <c r="HA28" i="12"/>
  <c r="GX28" i="12"/>
  <c r="GU28" i="12"/>
  <c r="GR28" i="12"/>
  <c r="GO28" i="12"/>
  <c r="GL28" i="12"/>
  <c r="GI28" i="12"/>
  <c r="GF28" i="12"/>
  <c r="GC28" i="12"/>
  <c r="FZ28" i="12"/>
  <c r="FW28" i="12"/>
  <c r="FT28" i="12"/>
  <c r="FQ28" i="12"/>
  <c r="FN28" i="12"/>
  <c r="FK28" i="12"/>
  <c r="FH28" i="12"/>
  <c r="FE28" i="12"/>
  <c r="FB28" i="12"/>
  <c r="EY28" i="12"/>
  <c r="EV28" i="12"/>
  <c r="ES28" i="12"/>
  <c r="EP28" i="12"/>
  <c r="EM28" i="12"/>
  <c r="EJ28" i="12"/>
  <c r="EG28" i="12"/>
  <c r="ED28" i="12"/>
  <c r="EA28" i="12"/>
  <c r="DX28" i="12"/>
  <c r="DU28" i="12"/>
  <c r="DR28" i="12"/>
  <c r="DO28" i="12"/>
  <c r="DL28" i="12"/>
  <c r="DI28" i="12"/>
  <c r="DF28" i="12"/>
  <c r="DC28" i="12"/>
  <c r="CZ28" i="12"/>
  <c r="CW28" i="12"/>
  <c r="CT28" i="12"/>
  <c r="CQ28" i="12"/>
  <c r="CN28" i="12"/>
  <c r="CK28" i="12"/>
  <c r="CH28" i="12"/>
  <c r="CE28" i="12"/>
  <c r="CB28" i="12"/>
  <c r="BY28" i="12"/>
  <c r="BV28" i="12"/>
  <c r="BS28" i="12"/>
  <c r="BP28" i="12"/>
  <c r="BM28" i="12"/>
  <c r="BJ28" i="12"/>
  <c r="BG28" i="12"/>
  <c r="BD28" i="12"/>
  <c r="BA28" i="12"/>
  <c r="AX28" i="12"/>
  <c r="AU28" i="12"/>
  <c r="AR28" i="12"/>
  <c r="AO28" i="12"/>
  <c r="AL28" i="12"/>
  <c r="AI28" i="12"/>
  <c r="AF28" i="12"/>
  <c r="AC28" i="12"/>
  <c r="Z28" i="12"/>
  <c r="W28" i="12"/>
  <c r="T28" i="12"/>
  <c r="Q28" i="12"/>
  <c r="N28" i="12"/>
  <c r="K28" i="12"/>
  <c r="H28" i="12"/>
  <c r="E28" i="12"/>
  <c r="NI27" i="12"/>
  <c r="NH27" i="12"/>
  <c r="NJ27" i="12" s="1"/>
  <c r="NF27" i="12"/>
  <c r="NE27" i="12"/>
  <c r="NG27" i="12" s="1"/>
  <c r="ND27" i="12"/>
  <c r="NA27" i="12"/>
  <c r="MX27" i="12"/>
  <c r="MU27" i="12"/>
  <c r="MR27" i="12"/>
  <c r="MO27" i="12"/>
  <c r="ML27" i="12"/>
  <c r="MI27" i="12"/>
  <c r="MF27" i="12"/>
  <c r="MC27" i="12"/>
  <c r="LZ27" i="12"/>
  <c r="LW27" i="12"/>
  <c r="LT27" i="12"/>
  <c r="LQ27" i="12"/>
  <c r="LN27" i="12"/>
  <c r="LK27" i="12"/>
  <c r="LH27" i="12"/>
  <c r="LE27" i="12"/>
  <c r="LB27" i="12"/>
  <c r="KY27" i="12"/>
  <c r="KV27" i="12"/>
  <c r="KS27" i="12"/>
  <c r="KP27" i="12"/>
  <c r="KM27" i="12"/>
  <c r="KJ27" i="12"/>
  <c r="KG27" i="12"/>
  <c r="KD27" i="12"/>
  <c r="KA27" i="12"/>
  <c r="JX27" i="12"/>
  <c r="JU27" i="12"/>
  <c r="JR27" i="12"/>
  <c r="JO27" i="12"/>
  <c r="JL27" i="12"/>
  <c r="JI27" i="12"/>
  <c r="JF27" i="12"/>
  <c r="JC27" i="12"/>
  <c r="IZ27" i="12"/>
  <c r="IW27" i="12"/>
  <c r="IT27" i="12"/>
  <c r="IQ27" i="12"/>
  <c r="IN27" i="12"/>
  <c r="IK27" i="12"/>
  <c r="IH27" i="12"/>
  <c r="IE27" i="12"/>
  <c r="IB27" i="12"/>
  <c r="HY27" i="12"/>
  <c r="HV27" i="12"/>
  <c r="HS27" i="12"/>
  <c r="HP27" i="12"/>
  <c r="HM27" i="12"/>
  <c r="HJ27" i="12"/>
  <c r="HG27" i="12"/>
  <c r="HD27" i="12"/>
  <c r="HA27" i="12"/>
  <c r="GX27" i="12"/>
  <c r="GU27" i="12"/>
  <c r="GR27" i="12"/>
  <c r="GO27" i="12"/>
  <c r="GL27" i="12"/>
  <c r="GI27" i="12"/>
  <c r="GF27" i="12"/>
  <c r="GC27" i="12"/>
  <c r="FZ27" i="12"/>
  <c r="FW27" i="12"/>
  <c r="FT27" i="12"/>
  <c r="FQ27" i="12"/>
  <c r="FN27" i="12"/>
  <c r="FK27" i="12"/>
  <c r="FH27" i="12"/>
  <c r="FE27" i="12"/>
  <c r="FB27" i="12"/>
  <c r="EY27" i="12"/>
  <c r="EV27" i="12"/>
  <c r="ES27" i="12"/>
  <c r="EP27" i="12"/>
  <c r="EM27" i="12"/>
  <c r="EJ27" i="12"/>
  <c r="EG27" i="12"/>
  <c r="ED27" i="12"/>
  <c r="EA27" i="12"/>
  <c r="DX27" i="12"/>
  <c r="DU27" i="12"/>
  <c r="DR27" i="12"/>
  <c r="DO27" i="12"/>
  <c r="DL27" i="12"/>
  <c r="DI27" i="12"/>
  <c r="DF27" i="12"/>
  <c r="DC27" i="12"/>
  <c r="CZ27" i="12"/>
  <c r="CW27" i="12"/>
  <c r="CT27" i="12"/>
  <c r="CQ27" i="12"/>
  <c r="CN27" i="12"/>
  <c r="CK27" i="12"/>
  <c r="CH27" i="12"/>
  <c r="CE27" i="12"/>
  <c r="CB27" i="12"/>
  <c r="BY27" i="12"/>
  <c r="BV27" i="12"/>
  <c r="BS27" i="12"/>
  <c r="BP27" i="12"/>
  <c r="BM27" i="12"/>
  <c r="BJ27" i="12"/>
  <c r="BG27" i="12"/>
  <c r="BD27" i="12"/>
  <c r="BA27" i="12"/>
  <c r="AX27" i="12"/>
  <c r="AU27" i="12"/>
  <c r="AR27" i="12"/>
  <c r="AO27" i="12"/>
  <c r="AL27" i="12"/>
  <c r="AI27" i="12"/>
  <c r="AF27" i="12"/>
  <c r="AC27" i="12"/>
  <c r="Z27" i="12"/>
  <c r="W27" i="12"/>
  <c r="T27" i="12"/>
  <c r="Q27" i="12"/>
  <c r="N27" i="12"/>
  <c r="K27" i="12"/>
  <c r="H27" i="12"/>
  <c r="E27" i="12"/>
  <c r="NI26" i="12"/>
  <c r="NH26" i="12"/>
  <c r="NJ26" i="12" s="1"/>
  <c r="NF26" i="12"/>
  <c r="NE26" i="12"/>
  <c r="ND26" i="12"/>
  <c r="NA26" i="12"/>
  <c r="MX26" i="12"/>
  <c r="MU26" i="12"/>
  <c r="MR26" i="12"/>
  <c r="MO26" i="12"/>
  <c r="ML26" i="12"/>
  <c r="MI26" i="12"/>
  <c r="MF26" i="12"/>
  <c r="MC26" i="12"/>
  <c r="LZ26" i="12"/>
  <c r="LW26" i="12"/>
  <c r="LT26" i="12"/>
  <c r="LQ26" i="12"/>
  <c r="LN26" i="12"/>
  <c r="LK26" i="12"/>
  <c r="LH26" i="12"/>
  <c r="LE26" i="12"/>
  <c r="LB26" i="12"/>
  <c r="KY26" i="12"/>
  <c r="KV26" i="12"/>
  <c r="KS26" i="12"/>
  <c r="KP26" i="12"/>
  <c r="KM26" i="12"/>
  <c r="KJ26" i="12"/>
  <c r="KG26" i="12"/>
  <c r="KD26" i="12"/>
  <c r="KA26" i="12"/>
  <c r="JX26" i="12"/>
  <c r="JU26" i="12"/>
  <c r="JR26" i="12"/>
  <c r="JO26" i="12"/>
  <c r="JL26" i="12"/>
  <c r="JI26" i="12"/>
  <c r="JF26" i="12"/>
  <c r="JC26" i="12"/>
  <c r="IZ26" i="12"/>
  <c r="IW26" i="12"/>
  <c r="IT26" i="12"/>
  <c r="IQ26" i="12"/>
  <c r="IN26" i="12"/>
  <c r="IK26" i="12"/>
  <c r="IH26" i="12"/>
  <c r="IE26" i="12"/>
  <c r="IB26" i="12"/>
  <c r="HY26" i="12"/>
  <c r="HV26" i="12"/>
  <c r="HS26" i="12"/>
  <c r="HP26" i="12"/>
  <c r="HM26" i="12"/>
  <c r="HJ26" i="12"/>
  <c r="HG26" i="12"/>
  <c r="HD26" i="12"/>
  <c r="HA26" i="12"/>
  <c r="GX26" i="12"/>
  <c r="GU26" i="12"/>
  <c r="GR26" i="12"/>
  <c r="GO26" i="12"/>
  <c r="GL26" i="12"/>
  <c r="GI26" i="12"/>
  <c r="GF26" i="12"/>
  <c r="GC26" i="12"/>
  <c r="FZ26" i="12"/>
  <c r="FW26" i="12"/>
  <c r="FT26" i="12"/>
  <c r="FQ26" i="12"/>
  <c r="FN26" i="12"/>
  <c r="FK26" i="12"/>
  <c r="FH26" i="12"/>
  <c r="FE26" i="12"/>
  <c r="FB26" i="12"/>
  <c r="EY26" i="12"/>
  <c r="EV26" i="12"/>
  <c r="ES26" i="12"/>
  <c r="EP26" i="12"/>
  <c r="EM26" i="12"/>
  <c r="EJ26" i="12"/>
  <c r="EG26" i="12"/>
  <c r="ED26" i="12"/>
  <c r="EA26" i="12"/>
  <c r="DX26" i="12"/>
  <c r="DU26" i="12"/>
  <c r="DR26" i="12"/>
  <c r="DO26" i="12"/>
  <c r="DL26" i="12"/>
  <c r="DI26" i="12"/>
  <c r="DF26" i="12"/>
  <c r="DC26" i="12"/>
  <c r="CZ26" i="12"/>
  <c r="CW26" i="12"/>
  <c r="CT26" i="12"/>
  <c r="CQ26" i="12"/>
  <c r="CN26" i="12"/>
  <c r="CK26" i="12"/>
  <c r="CH26" i="12"/>
  <c r="CE26" i="12"/>
  <c r="CB26" i="12"/>
  <c r="BY26" i="12"/>
  <c r="BV26" i="12"/>
  <c r="BS26" i="12"/>
  <c r="BP26" i="12"/>
  <c r="BM26" i="12"/>
  <c r="BJ26" i="12"/>
  <c r="BG26" i="12"/>
  <c r="BD26" i="12"/>
  <c r="BA26" i="12"/>
  <c r="AX26" i="12"/>
  <c r="AU26" i="12"/>
  <c r="AR26" i="12"/>
  <c r="AO26" i="12"/>
  <c r="AL26" i="12"/>
  <c r="AI26" i="12"/>
  <c r="AF26" i="12"/>
  <c r="AC26" i="12"/>
  <c r="Z26" i="12"/>
  <c r="W26" i="12"/>
  <c r="T26" i="12"/>
  <c r="Q26" i="12"/>
  <c r="N26" i="12"/>
  <c r="K26" i="12"/>
  <c r="H26" i="12"/>
  <c r="E26" i="12"/>
  <c r="NI25" i="12"/>
  <c r="NH25" i="12"/>
  <c r="NF25" i="12"/>
  <c r="NE25" i="12"/>
  <c r="NG25" i="12" s="1"/>
  <c r="ND25" i="12"/>
  <c r="NA25" i="12"/>
  <c r="MX25" i="12"/>
  <c r="MU25" i="12"/>
  <c r="MR25" i="12"/>
  <c r="MO25" i="12"/>
  <c r="ML25" i="12"/>
  <c r="MI25" i="12"/>
  <c r="MF25" i="12"/>
  <c r="MC25" i="12"/>
  <c r="LZ25" i="12"/>
  <c r="LW25" i="12"/>
  <c r="LT25" i="12"/>
  <c r="LQ25" i="12"/>
  <c r="LN25" i="12"/>
  <c r="LK25" i="12"/>
  <c r="LH25" i="12"/>
  <c r="LE25" i="12"/>
  <c r="LB25" i="12"/>
  <c r="KY25" i="12"/>
  <c r="KV25" i="12"/>
  <c r="KS25" i="12"/>
  <c r="KP25" i="12"/>
  <c r="KM25" i="12"/>
  <c r="KJ25" i="12"/>
  <c r="KG25" i="12"/>
  <c r="KD25" i="12"/>
  <c r="KA25" i="12"/>
  <c r="JX25" i="12"/>
  <c r="JU25" i="12"/>
  <c r="JR25" i="12"/>
  <c r="JO25" i="12"/>
  <c r="JL25" i="12"/>
  <c r="JI25" i="12"/>
  <c r="JF25" i="12"/>
  <c r="JC25" i="12"/>
  <c r="IZ25" i="12"/>
  <c r="IW25" i="12"/>
  <c r="IT25" i="12"/>
  <c r="IQ25" i="12"/>
  <c r="IN25" i="12"/>
  <c r="IK25" i="12"/>
  <c r="IH25" i="12"/>
  <c r="IE25" i="12"/>
  <c r="IB25" i="12"/>
  <c r="HY25" i="12"/>
  <c r="HV25" i="12"/>
  <c r="HS25" i="12"/>
  <c r="HP25" i="12"/>
  <c r="HM25" i="12"/>
  <c r="HJ25" i="12"/>
  <c r="HG25" i="12"/>
  <c r="HD25" i="12"/>
  <c r="HA25" i="12"/>
  <c r="GX25" i="12"/>
  <c r="GU25" i="12"/>
  <c r="GR25" i="12"/>
  <c r="GO25" i="12"/>
  <c r="GL25" i="12"/>
  <c r="GI25" i="12"/>
  <c r="GF25" i="12"/>
  <c r="GC25" i="12"/>
  <c r="FZ25" i="12"/>
  <c r="FW25" i="12"/>
  <c r="FT25" i="12"/>
  <c r="FQ25" i="12"/>
  <c r="FN25" i="12"/>
  <c r="FK25" i="12"/>
  <c r="FH25" i="12"/>
  <c r="FE25" i="12"/>
  <c r="FB25" i="12"/>
  <c r="EY25" i="12"/>
  <c r="EV25" i="12"/>
  <c r="ES25" i="12"/>
  <c r="EP25" i="12"/>
  <c r="EM25" i="12"/>
  <c r="EJ25" i="12"/>
  <c r="EG25" i="12"/>
  <c r="ED25" i="12"/>
  <c r="EA25" i="12"/>
  <c r="DX25" i="12"/>
  <c r="DU25" i="12"/>
  <c r="DR25" i="12"/>
  <c r="DO25" i="12"/>
  <c r="DL25" i="12"/>
  <c r="DI25" i="12"/>
  <c r="DF25" i="12"/>
  <c r="DC25" i="12"/>
  <c r="CZ25" i="12"/>
  <c r="CW25" i="12"/>
  <c r="CT25" i="12"/>
  <c r="CQ25" i="12"/>
  <c r="CN25" i="12"/>
  <c r="CK25" i="12"/>
  <c r="CH25" i="12"/>
  <c r="CE25" i="12"/>
  <c r="CB25" i="12"/>
  <c r="BY25" i="12"/>
  <c r="BV25" i="12"/>
  <c r="BS25" i="12"/>
  <c r="BP25" i="12"/>
  <c r="BM25" i="12"/>
  <c r="BJ25" i="12"/>
  <c r="BG25" i="12"/>
  <c r="BD25" i="12"/>
  <c r="BA25" i="12"/>
  <c r="AX25" i="12"/>
  <c r="AU25" i="12"/>
  <c r="AR25" i="12"/>
  <c r="AO25" i="12"/>
  <c r="AL25" i="12"/>
  <c r="AI25" i="12"/>
  <c r="AF25" i="12"/>
  <c r="AC25" i="12"/>
  <c r="Z25" i="12"/>
  <c r="W25" i="12"/>
  <c r="T25" i="12"/>
  <c r="Q25" i="12"/>
  <c r="N25" i="12"/>
  <c r="K25" i="12"/>
  <c r="H25" i="12"/>
  <c r="E25" i="12"/>
  <c r="NI24" i="12"/>
  <c r="NH24" i="12"/>
  <c r="NJ24" i="12" s="1"/>
  <c r="NF24" i="12"/>
  <c r="NE24" i="12"/>
  <c r="ND24" i="12"/>
  <c r="NA24" i="12"/>
  <c r="MX24" i="12"/>
  <c r="MU24" i="12"/>
  <c r="MR24" i="12"/>
  <c r="MO24" i="12"/>
  <c r="ML24" i="12"/>
  <c r="MI24" i="12"/>
  <c r="MF24" i="12"/>
  <c r="MC24" i="12"/>
  <c r="LZ24" i="12"/>
  <c r="LW24" i="12"/>
  <c r="LT24" i="12"/>
  <c r="LQ24" i="12"/>
  <c r="LN24" i="12"/>
  <c r="LK24" i="12"/>
  <c r="LH24" i="12"/>
  <c r="LE24" i="12"/>
  <c r="LB24" i="12"/>
  <c r="KY24" i="12"/>
  <c r="KV24" i="12"/>
  <c r="KS24" i="12"/>
  <c r="KP24" i="12"/>
  <c r="KM24" i="12"/>
  <c r="KJ24" i="12"/>
  <c r="KG24" i="12"/>
  <c r="KD24" i="12"/>
  <c r="KA24" i="12"/>
  <c r="JX24" i="12"/>
  <c r="JU24" i="12"/>
  <c r="JR24" i="12"/>
  <c r="JO24" i="12"/>
  <c r="JL24" i="12"/>
  <c r="JI24" i="12"/>
  <c r="JF24" i="12"/>
  <c r="JC24" i="12"/>
  <c r="IZ24" i="12"/>
  <c r="IW24" i="12"/>
  <c r="IT24" i="12"/>
  <c r="IQ24" i="12"/>
  <c r="IN24" i="12"/>
  <c r="IK24" i="12"/>
  <c r="IH24" i="12"/>
  <c r="IE24" i="12"/>
  <c r="IB24" i="12"/>
  <c r="HY24" i="12"/>
  <c r="HV24" i="12"/>
  <c r="HS24" i="12"/>
  <c r="HP24" i="12"/>
  <c r="HM24" i="12"/>
  <c r="HJ24" i="12"/>
  <c r="HG24" i="12"/>
  <c r="HD24" i="12"/>
  <c r="HA24" i="12"/>
  <c r="GX24" i="12"/>
  <c r="GU24" i="12"/>
  <c r="GR24" i="12"/>
  <c r="GO24" i="12"/>
  <c r="GL24" i="12"/>
  <c r="GI24" i="12"/>
  <c r="GF24" i="12"/>
  <c r="GC24" i="12"/>
  <c r="FZ24" i="12"/>
  <c r="FW24" i="12"/>
  <c r="FT24" i="12"/>
  <c r="FQ24" i="12"/>
  <c r="FN24" i="12"/>
  <c r="FK24" i="12"/>
  <c r="FH24" i="12"/>
  <c r="FE24" i="12"/>
  <c r="FB24" i="12"/>
  <c r="EY24" i="12"/>
  <c r="EV24" i="12"/>
  <c r="ES24" i="12"/>
  <c r="EP24" i="12"/>
  <c r="EM24" i="12"/>
  <c r="EJ24" i="12"/>
  <c r="EG24" i="12"/>
  <c r="ED24" i="12"/>
  <c r="EA24" i="12"/>
  <c r="DX24" i="12"/>
  <c r="DU24" i="12"/>
  <c r="DR24" i="12"/>
  <c r="DO24" i="12"/>
  <c r="DL24" i="12"/>
  <c r="DI24" i="12"/>
  <c r="DF24" i="12"/>
  <c r="DC24" i="12"/>
  <c r="CZ24" i="12"/>
  <c r="CW24" i="12"/>
  <c r="CT24" i="12"/>
  <c r="CQ24" i="12"/>
  <c r="CN24" i="12"/>
  <c r="CK24" i="12"/>
  <c r="CH24" i="12"/>
  <c r="CE24" i="12"/>
  <c r="CB24" i="12"/>
  <c r="BY24" i="12"/>
  <c r="BV24" i="12"/>
  <c r="BS24" i="12"/>
  <c r="BP24" i="12"/>
  <c r="BM24" i="12"/>
  <c r="BJ24" i="12"/>
  <c r="BG24" i="12"/>
  <c r="BD24" i="12"/>
  <c r="BA24" i="12"/>
  <c r="AX24" i="12"/>
  <c r="AU24" i="12"/>
  <c r="AR24" i="12"/>
  <c r="AO24" i="12"/>
  <c r="AL24" i="12"/>
  <c r="AI24" i="12"/>
  <c r="AF24" i="12"/>
  <c r="AC24" i="12"/>
  <c r="Z24" i="12"/>
  <c r="W24" i="12"/>
  <c r="T24" i="12"/>
  <c r="Q24" i="12"/>
  <c r="N24" i="12"/>
  <c r="K24" i="12"/>
  <c r="H24" i="12"/>
  <c r="E24" i="12"/>
  <c r="NI23" i="12"/>
  <c r="NH23" i="12"/>
  <c r="NJ23" i="12" s="1"/>
  <c r="NF23" i="12"/>
  <c r="NE23" i="12"/>
  <c r="NG23" i="12" s="1"/>
  <c r="ND23" i="12"/>
  <c r="NA23" i="12"/>
  <c r="MX23" i="12"/>
  <c r="MU23" i="12"/>
  <c r="MR23" i="12"/>
  <c r="MO23" i="12"/>
  <c r="ML23" i="12"/>
  <c r="MI23" i="12"/>
  <c r="MF23" i="12"/>
  <c r="MC23" i="12"/>
  <c r="LZ23" i="12"/>
  <c r="LW23" i="12"/>
  <c r="LT23" i="12"/>
  <c r="LQ23" i="12"/>
  <c r="LN23" i="12"/>
  <c r="LK23" i="12"/>
  <c r="LH23" i="12"/>
  <c r="LE23" i="12"/>
  <c r="LB23" i="12"/>
  <c r="KY23" i="12"/>
  <c r="KV23" i="12"/>
  <c r="KS23" i="12"/>
  <c r="KP23" i="12"/>
  <c r="KM23" i="12"/>
  <c r="KJ23" i="12"/>
  <c r="KG23" i="12"/>
  <c r="KD23" i="12"/>
  <c r="KA23" i="12"/>
  <c r="JX23" i="12"/>
  <c r="JU23" i="12"/>
  <c r="JR23" i="12"/>
  <c r="JO23" i="12"/>
  <c r="JL23" i="12"/>
  <c r="JI23" i="12"/>
  <c r="JF23" i="12"/>
  <c r="JC23" i="12"/>
  <c r="IZ23" i="12"/>
  <c r="IW23" i="12"/>
  <c r="IT23" i="12"/>
  <c r="IQ23" i="12"/>
  <c r="IN23" i="12"/>
  <c r="IK23" i="12"/>
  <c r="IH23" i="12"/>
  <c r="IE23" i="12"/>
  <c r="IB23" i="12"/>
  <c r="HY23" i="12"/>
  <c r="HV23" i="12"/>
  <c r="HS23" i="12"/>
  <c r="HP23" i="12"/>
  <c r="HM23" i="12"/>
  <c r="HJ23" i="12"/>
  <c r="HG23" i="12"/>
  <c r="HD23" i="12"/>
  <c r="HA23" i="12"/>
  <c r="GX23" i="12"/>
  <c r="GU23" i="12"/>
  <c r="GR23" i="12"/>
  <c r="GO23" i="12"/>
  <c r="GL23" i="12"/>
  <c r="GI23" i="12"/>
  <c r="GF23" i="12"/>
  <c r="GC23" i="12"/>
  <c r="FZ23" i="12"/>
  <c r="FW23" i="12"/>
  <c r="FT23" i="12"/>
  <c r="FQ23" i="12"/>
  <c r="FN23" i="12"/>
  <c r="FK23" i="12"/>
  <c r="FH23" i="12"/>
  <c r="FE23" i="12"/>
  <c r="FB23" i="12"/>
  <c r="EY23" i="12"/>
  <c r="EV23" i="12"/>
  <c r="ES23" i="12"/>
  <c r="EP23" i="12"/>
  <c r="EM23" i="12"/>
  <c r="EJ23" i="12"/>
  <c r="EG23" i="12"/>
  <c r="ED23" i="12"/>
  <c r="EA23" i="12"/>
  <c r="DX23" i="12"/>
  <c r="DU23" i="12"/>
  <c r="DR23" i="12"/>
  <c r="DO23" i="12"/>
  <c r="DL23" i="12"/>
  <c r="DI23" i="12"/>
  <c r="DF23" i="12"/>
  <c r="DC23" i="12"/>
  <c r="CZ23" i="12"/>
  <c r="CW23" i="12"/>
  <c r="CT23" i="12"/>
  <c r="CQ23" i="12"/>
  <c r="CN23" i="12"/>
  <c r="CK23" i="12"/>
  <c r="CH23" i="12"/>
  <c r="CE23" i="12"/>
  <c r="CB23" i="12"/>
  <c r="BY23" i="12"/>
  <c r="BV23" i="12"/>
  <c r="BS23" i="12"/>
  <c r="BP23" i="12"/>
  <c r="BM23" i="12"/>
  <c r="BJ23" i="12"/>
  <c r="BG23" i="12"/>
  <c r="BD23" i="12"/>
  <c r="BA23" i="12"/>
  <c r="AX23" i="12"/>
  <c r="AU23" i="12"/>
  <c r="AR23" i="12"/>
  <c r="AO23" i="12"/>
  <c r="AL23" i="12"/>
  <c r="AI23" i="12"/>
  <c r="AF23" i="12"/>
  <c r="AC23" i="12"/>
  <c r="Z23" i="12"/>
  <c r="W23" i="12"/>
  <c r="T23" i="12"/>
  <c r="Q23" i="12"/>
  <c r="N23" i="12"/>
  <c r="K23" i="12"/>
  <c r="H23" i="12"/>
  <c r="E23" i="12"/>
  <c r="NI22" i="12"/>
  <c r="NH22" i="12"/>
  <c r="NF22" i="12"/>
  <c r="NE22" i="12"/>
  <c r="NG22" i="12" s="1"/>
  <c r="ND22" i="12"/>
  <c r="NA22" i="12"/>
  <c r="MX22" i="12"/>
  <c r="MU22" i="12"/>
  <c r="MR22" i="12"/>
  <c r="MO22" i="12"/>
  <c r="ML22" i="12"/>
  <c r="MI22" i="12"/>
  <c r="MF22" i="12"/>
  <c r="MC22" i="12"/>
  <c r="LZ22" i="12"/>
  <c r="LW22" i="12"/>
  <c r="LT22" i="12"/>
  <c r="LQ22" i="12"/>
  <c r="LN22" i="12"/>
  <c r="LK22" i="12"/>
  <c r="LH22" i="12"/>
  <c r="LE22" i="12"/>
  <c r="LB22" i="12"/>
  <c r="KY22" i="12"/>
  <c r="KV22" i="12"/>
  <c r="KS22" i="12"/>
  <c r="KP22" i="12"/>
  <c r="KM22" i="12"/>
  <c r="KJ22" i="12"/>
  <c r="KG22" i="12"/>
  <c r="KD22" i="12"/>
  <c r="KA22" i="12"/>
  <c r="JX22" i="12"/>
  <c r="JU22" i="12"/>
  <c r="JR22" i="12"/>
  <c r="JO22" i="12"/>
  <c r="JL22" i="12"/>
  <c r="JI22" i="12"/>
  <c r="JF22" i="12"/>
  <c r="JC22" i="12"/>
  <c r="IZ22" i="12"/>
  <c r="IW22" i="12"/>
  <c r="IT22" i="12"/>
  <c r="IQ22" i="12"/>
  <c r="IN22" i="12"/>
  <c r="IK22" i="12"/>
  <c r="IH22" i="12"/>
  <c r="IE22" i="12"/>
  <c r="IB22" i="12"/>
  <c r="HY22" i="12"/>
  <c r="HV22" i="12"/>
  <c r="HS22" i="12"/>
  <c r="HP22" i="12"/>
  <c r="HM22" i="12"/>
  <c r="HJ22" i="12"/>
  <c r="HG22" i="12"/>
  <c r="HD22" i="12"/>
  <c r="HA22" i="12"/>
  <c r="GX22" i="12"/>
  <c r="GU22" i="12"/>
  <c r="GR22" i="12"/>
  <c r="GO22" i="12"/>
  <c r="GL22" i="12"/>
  <c r="GI22" i="12"/>
  <c r="GF22" i="12"/>
  <c r="GC22" i="12"/>
  <c r="FZ22" i="12"/>
  <c r="FW22" i="12"/>
  <c r="FT22" i="12"/>
  <c r="FQ22" i="12"/>
  <c r="FN22" i="12"/>
  <c r="FK22" i="12"/>
  <c r="FH22" i="12"/>
  <c r="FE22" i="12"/>
  <c r="FB22" i="12"/>
  <c r="EY22" i="12"/>
  <c r="EV22" i="12"/>
  <c r="ES22" i="12"/>
  <c r="EP22" i="12"/>
  <c r="EM22" i="12"/>
  <c r="EJ22" i="12"/>
  <c r="EG22" i="12"/>
  <c r="ED22" i="12"/>
  <c r="EA22" i="12"/>
  <c r="DX22" i="12"/>
  <c r="DU22" i="12"/>
  <c r="DR22" i="12"/>
  <c r="DO22" i="12"/>
  <c r="DL22" i="12"/>
  <c r="DI22" i="12"/>
  <c r="DF22" i="12"/>
  <c r="DC22" i="12"/>
  <c r="CZ22" i="12"/>
  <c r="CW22" i="12"/>
  <c r="CT22" i="12"/>
  <c r="CQ22" i="12"/>
  <c r="CN22" i="12"/>
  <c r="CK22" i="12"/>
  <c r="CH22" i="12"/>
  <c r="CE22" i="12"/>
  <c r="CB22" i="12"/>
  <c r="BY22" i="12"/>
  <c r="BV22" i="12"/>
  <c r="BS22" i="12"/>
  <c r="BP22" i="12"/>
  <c r="BM22" i="12"/>
  <c r="BJ22" i="12"/>
  <c r="BG22" i="12"/>
  <c r="BD22" i="12"/>
  <c r="BA22" i="12"/>
  <c r="AX22" i="12"/>
  <c r="AU22" i="12"/>
  <c r="AR22" i="12"/>
  <c r="AO22" i="12"/>
  <c r="AL22" i="12"/>
  <c r="AI22" i="12"/>
  <c r="AF22" i="12"/>
  <c r="AC22" i="12"/>
  <c r="Z22" i="12"/>
  <c r="W22" i="12"/>
  <c r="T22" i="12"/>
  <c r="Q22" i="12"/>
  <c r="N22" i="12"/>
  <c r="K22" i="12"/>
  <c r="H22" i="12"/>
  <c r="E22" i="12"/>
  <c r="NI21" i="12"/>
  <c r="NH21" i="12"/>
  <c r="NJ21" i="12" s="1"/>
  <c r="NF21" i="12"/>
  <c r="NE21" i="12"/>
  <c r="NG21" i="12" s="1"/>
  <c r="ND21" i="12"/>
  <c r="NA21" i="12"/>
  <c r="MX21" i="12"/>
  <c r="MU21" i="12"/>
  <c r="MR21" i="12"/>
  <c r="MO21" i="12"/>
  <c r="ML21" i="12"/>
  <c r="MI21" i="12"/>
  <c r="MF21" i="12"/>
  <c r="MC21" i="12"/>
  <c r="LZ21" i="12"/>
  <c r="LW21" i="12"/>
  <c r="LT21" i="12"/>
  <c r="LQ21" i="12"/>
  <c r="LN21" i="12"/>
  <c r="LK21" i="12"/>
  <c r="LH21" i="12"/>
  <c r="LE21" i="12"/>
  <c r="LB21" i="12"/>
  <c r="KY21" i="12"/>
  <c r="KV21" i="12"/>
  <c r="KS21" i="12"/>
  <c r="KP21" i="12"/>
  <c r="KM21" i="12"/>
  <c r="KJ21" i="12"/>
  <c r="KG21" i="12"/>
  <c r="KD21" i="12"/>
  <c r="KA21" i="12"/>
  <c r="JX21" i="12"/>
  <c r="JU21" i="12"/>
  <c r="JR21" i="12"/>
  <c r="JO21" i="12"/>
  <c r="JL21" i="12"/>
  <c r="JI21" i="12"/>
  <c r="JF21" i="12"/>
  <c r="JC21" i="12"/>
  <c r="IZ21" i="12"/>
  <c r="IW21" i="12"/>
  <c r="IT21" i="12"/>
  <c r="IQ21" i="12"/>
  <c r="IN21" i="12"/>
  <c r="IK21" i="12"/>
  <c r="IH21" i="12"/>
  <c r="IE21" i="12"/>
  <c r="IB21" i="12"/>
  <c r="HY21" i="12"/>
  <c r="HV21" i="12"/>
  <c r="HS21" i="12"/>
  <c r="HP21" i="12"/>
  <c r="HM21" i="12"/>
  <c r="HJ21" i="12"/>
  <c r="HG21" i="12"/>
  <c r="HD21" i="12"/>
  <c r="HA21" i="12"/>
  <c r="GX21" i="12"/>
  <c r="GU21" i="12"/>
  <c r="GR21" i="12"/>
  <c r="GO21" i="12"/>
  <c r="GL21" i="12"/>
  <c r="GI21" i="12"/>
  <c r="GF21" i="12"/>
  <c r="GC21" i="12"/>
  <c r="FZ21" i="12"/>
  <c r="FW21" i="12"/>
  <c r="FT21" i="12"/>
  <c r="FQ21" i="12"/>
  <c r="FN21" i="12"/>
  <c r="FK21" i="12"/>
  <c r="FH21" i="12"/>
  <c r="FE21" i="12"/>
  <c r="FB21" i="12"/>
  <c r="EY21" i="12"/>
  <c r="EV21" i="12"/>
  <c r="ES21" i="12"/>
  <c r="EP21" i="12"/>
  <c r="EM21" i="12"/>
  <c r="EJ21" i="12"/>
  <c r="EG21" i="12"/>
  <c r="ED21" i="12"/>
  <c r="EA21" i="12"/>
  <c r="DX21" i="12"/>
  <c r="DU21" i="12"/>
  <c r="DR21" i="12"/>
  <c r="DO21" i="12"/>
  <c r="DL21" i="12"/>
  <c r="DI21" i="12"/>
  <c r="DF21" i="12"/>
  <c r="DC21" i="12"/>
  <c r="CZ21" i="12"/>
  <c r="CW21" i="12"/>
  <c r="CT21" i="12"/>
  <c r="CQ21" i="12"/>
  <c r="CN21" i="12"/>
  <c r="CK21" i="12"/>
  <c r="CH21" i="12"/>
  <c r="CE21" i="12"/>
  <c r="CB21" i="12"/>
  <c r="BY21" i="12"/>
  <c r="BV21" i="12"/>
  <c r="BS21" i="12"/>
  <c r="BP21" i="12"/>
  <c r="BM21" i="12"/>
  <c r="BJ21" i="12"/>
  <c r="BG21" i="12"/>
  <c r="BD21" i="12"/>
  <c r="BA21" i="12"/>
  <c r="AX21" i="12"/>
  <c r="AU21" i="12"/>
  <c r="AR21" i="12"/>
  <c r="AO21" i="12"/>
  <c r="AL21" i="12"/>
  <c r="AI21" i="12"/>
  <c r="AF21" i="12"/>
  <c r="AC21" i="12"/>
  <c r="Z21" i="12"/>
  <c r="W21" i="12"/>
  <c r="T21" i="12"/>
  <c r="Q21" i="12"/>
  <c r="N21" i="12"/>
  <c r="K21" i="12"/>
  <c r="H21" i="12"/>
  <c r="E21" i="12"/>
  <c r="NJ20" i="12"/>
  <c r="NI20" i="12"/>
  <c r="NH20" i="12"/>
  <c r="NF20" i="12"/>
  <c r="NE20" i="12"/>
  <c r="ND20" i="12"/>
  <c r="NA20" i="12"/>
  <c r="MX20" i="12"/>
  <c r="MU20" i="12"/>
  <c r="MR20" i="12"/>
  <c r="MO20" i="12"/>
  <c r="ML20" i="12"/>
  <c r="MI20" i="12"/>
  <c r="MF20" i="12"/>
  <c r="MC20" i="12"/>
  <c r="LZ20" i="12"/>
  <c r="LW20" i="12"/>
  <c r="LT20" i="12"/>
  <c r="LQ20" i="12"/>
  <c r="LN20" i="12"/>
  <c r="LK20" i="12"/>
  <c r="LH20" i="12"/>
  <c r="LE20" i="12"/>
  <c r="LB20" i="12"/>
  <c r="KY20" i="12"/>
  <c r="KV20" i="12"/>
  <c r="KS20" i="12"/>
  <c r="KP20" i="12"/>
  <c r="KM20" i="12"/>
  <c r="KJ20" i="12"/>
  <c r="KG20" i="12"/>
  <c r="KD20" i="12"/>
  <c r="KA20" i="12"/>
  <c r="JX20" i="12"/>
  <c r="JU20" i="12"/>
  <c r="JR20" i="12"/>
  <c r="JO20" i="12"/>
  <c r="JL20" i="12"/>
  <c r="JI20" i="12"/>
  <c r="JF20" i="12"/>
  <c r="JC20" i="12"/>
  <c r="IZ20" i="12"/>
  <c r="IW20" i="12"/>
  <c r="IT20" i="12"/>
  <c r="IQ20" i="12"/>
  <c r="IN20" i="12"/>
  <c r="IK20" i="12"/>
  <c r="IH20" i="12"/>
  <c r="IE20" i="12"/>
  <c r="IB20" i="12"/>
  <c r="HY20" i="12"/>
  <c r="HV20" i="12"/>
  <c r="HS20" i="12"/>
  <c r="HP20" i="12"/>
  <c r="HM20" i="12"/>
  <c r="HJ20" i="12"/>
  <c r="HG20" i="12"/>
  <c r="HD20" i="12"/>
  <c r="HA20" i="12"/>
  <c r="GX20" i="12"/>
  <c r="GU20" i="12"/>
  <c r="GR20" i="12"/>
  <c r="GO20" i="12"/>
  <c r="GL20" i="12"/>
  <c r="GI20" i="12"/>
  <c r="GF20" i="12"/>
  <c r="GC20" i="12"/>
  <c r="FZ20" i="12"/>
  <c r="FW20" i="12"/>
  <c r="FT20" i="12"/>
  <c r="FQ20" i="12"/>
  <c r="FN20" i="12"/>
  <c r="FK20" i="12"/>
  <c r="FH20" i="12"/>
  <c r="FE20" i="12"/>
  <c r="FB20" i="12"/>
  <c r="EY20" i="12"/>
  <c r="EV20" i="12"/>
  <c r="ES20" i="12"/>
  <c r="EP20" i="12"/>
  <c r="EM20" i="12"/>
  <c r="EJ20" i="12"/>
  <c r="EG20" i="12"/>
  <c r="ED20" i="12"/>
  <c r="EA20" i="12"/>
  <c r="DX20" i="12"/>
  <c r="DU20" i="12"/>
  <c r="DR20" i="12"/>
  <c r="DO20" i="12"/>
  <c r="DL20" i="12"/>
  <c r="DI20" i="12"/>
  <c r="DF20" i="12"/>
  <c r="DC20" i="12"/>
  <c r="CZ20" i="12"/>
  <c r="CW20" i="12"/>
  <c r="CT20" i="12"/>
  <c r="CQ20" i="12"/>
  <c r="CN20" i="12"/>
  <c r="CK20" i="12"/>
  <c r="CH20" i="12"/>
  <c r="CE20" i="12"/>
  <c r="CB20" i="12"/>
  <c r="BY20" i="12"/>
  <c r="BV20" i="12"/>
  <c r="BS20" i="12"/>
  <c r="BP20" i="12"/>
  <c r="BM20" i="12"/>
  <c r="BJ20" i="12"/>
  <c r="BG20" i="12"/>
  <c r="BD20" i="12"/>
  <c r="BA20" i="12"/>
  <c r="AX20" i="12"/>
  <c r="AU20" i="12"/>
  <c r="AR20" i="12"/>
  <c r="AO20" i="12"/>
  <c r="AL20" i="12"/>
  <c r="AI20" i="12"/>
  <c r="AF20" i="12"/>
  <c r="AC20" i="12"/>
  <c r="Z20" i="12"/>
  <c r="W20" i="12"/>
  <c r="T20" i="12"/>
  <c r="Q20" i="12"/>
  <c r="N20" i="12"/>
  <c r="K20" i="12"/>
  <c r="H20" i="12"/>
  <c r="E20" i="12"/>
  <c r="NI19" i="12"/>
  <c r="NH19" i="12"/>
  <c r="NJ19" i="12" s="1"/>
  <c r="NF19" i="12"/>
  <c r="NE19" i="12"/>
  <c r="NG19" i="12" s="1"/>
  <c r="ND19" i="12"/>
  <c r="NA19" i="12"/>
  <c r="MX19" i="12"/>
  <c r="MU19" i="12"/>
  <c r="MR19" i="12"/>
  <c r="MO19" i="12"/>
  <c r="ML19" i="12"/>
  <c r="MI19" i="12"/>
  <c r="MF19" i="12"/>
  <c r="MC19" i="12"/>
  <c r="LZ19" i="12"/>
  <c r="LW19" i="12"/>
  <c r="LT19" i="12"/>
  <c r="LQ19" i="12"/>
  <c r="LN19" i="12"/>
  <c r="LK19" i="12"/>
  <c r="LH19" i="12"/>
  <c r="LE19" i="12"/>
  <c r="LB19" i="12"/>
  <c r="KY19" i="12"/>
  <c r="KV19" i="12"/>
  <c r="KS19" i="12"/>
  <c r="KP19" i="12"/>
  <c r="KM19" i="12"/>
  <c r="KJ19" i="12"/>
  <c r="KG19" i="12"/>
  <c r="KD19" i="12"/>
  <c r="KA19" i="12"/>
  <c r="JX19" i="12"/>
  <c r="JU19" i="12"/>
  <c r="JR19" i="12"/>
  <c r="JO19" i="12"/>
  <c r="JL19" i="12"/>
  <c r="JI19" i="12"/>
  <c r="JF19" i="12"/>
  <c r="JC19" i="12"/>
  <c r="IZ19" i="12"/>
  <c r="IW19" i="12"/>
  <c r="IT19" i="12"/>
  <c r="IQ19" i="12"/>
  <c r="IN19" i="12"/>
  <c r="IK19" i="12"/>
  <c r="IH19" i="12"/>
  <c r="IE19" i="12"/>
  <c r="IB19" i="12"/>
  <c r="HY19" i="12"/>
  <c r="HV19" i="12"/>
  <c r="HS19" i="12"/>
  <c r="HP19" i="12"/>
  <c r="HM19" i="12"/>
  <c r="HJ19" i="12"/>
  <c r="HG19" i="12"/>
  <c r="HD19" i="12"/>
  <c r="HA19" i="12"/>
  <c r="GX19" i="12"/>
  <c r="GU19" i="12"/>
  <c r="GR19" i="12"/>
  <c r="GO19" i="12"/>
  <c r="GL19" i="12"/>
  <c r="GI19" i="12"/>
  <c r="GF19" i="12"/>
  <c r="GC19" i="12"/>
  <c r="FZ19" i="12"/>
  <c r="FW19" i="12"/>
  <c r="FT19" i="12"/>
  <c r="FQ19" i="12"/>
  <c r="FN19" i="12"/>
  <c r="FK19" i="12"/>
  <c r="FH19" i="12"/>
  <c r="FE19" i="12"/>
  <c r="FB19" i="12"/>
  <c r="EY19" i="12"/>
  <c r="EV19" i="12"/>
  <c r="ES19" i="12"/>
  <c r="EP19" i="12"/>
  <c r="EM19" i="12"/>
  <c r="EJ19" i="12"/>
  <c r="EG19" i="12"/>
  <c r="ED19" i="12"/>
  <c r="EA19" i="12"/>
  <c r="DX19" i="12"/>
  <c r="DU19" i="12"/>
  <c r="DR19" i="12"/>
  <c r="DO19" i="12"/>
  <c r="DL19" i="12"/>
  <c r="DI19" i="12"/>
  <c r="DF19" i="12"/>
  <c r="DC19" i="12"/>
  <c r="CZ19" i="12"/>
  <c r="CW19" i="12"/>
  <c r="CT19" i="12"/>
  <c r="CQ19" i="12"/>
  <c r="CN19" i="12"/>
  <c r="CK19" i="12"/>
  <c r="CH19" i="12"/>
  <c r="CE19" i="12"/>
  <c r="CB19" i="12"/>
  <c r="BY19" i="12"/>
  <c r="BV19" i="12"/>
  <c r="BS19" i="12"/>
  <c r="BP19" i="12"/>
  <c r="BM19" i="12"/>
  <c r="BJ19" i="12"/>
  <c r="BG19" i="12"/>
  <c r="BD19" i="12"/>
  <c r="BA19" i="12"/>
  <c r="AX19" i="12"/>
  <c r="AU19" i="12"/>
  <c r="AR19" i="12"/>
  <c r="AO19" i="12"/>
  <c r="AL19" i="12"/>
  <c r="AI19" i="12"/>
  <c r="AF19" i="12"/>
  <c r="AC19" i="12"/>
  <c r="Z19" i="12"/>
  <c r="W19" i="12"/>
  <c r="T19" i="12"/>
  <c r="Q19" i="12"/>
  <c r="N19" i="12"/>
  <c r="K19" i="12"/>
  <c r="H19" i="12"/>
  <c r="E19" i="12"/>
  <c r="NI18" i="12"/>
  <c r="NH18" i="12"/>
  <c r="NF18" i="12"/>
  <c r="NE18" i="12"/>
  <c r="NG18" i="12" s="1"/>
  <c r="ND18" i="12"/>
  <c r="NA18" i="12"/>
  <c r="MX18" i="12"/>
  <c r="MU18" i="12"/>
  <c r="MR18" i="12"/>
  <c r="MO18" i="12"/>
  <c r="ML18" i="12"/>
  <c r="MI18" i="12"/>
  <c r="MF18" i="12"/>
  <c r="MC18" i="12"/>
  <c r="LZ18" i="12"/>
  <c r="LW18" i="12"/>
  <c r="LT18" i="12"/>
  <c r="LQ18" i="12"/>
  <c r="LN18" i="12"/>
  <c r="LK18" i="12"/>
  <c r="LH18" i="12"/>
  <c r="LE18" i="12"/>
  <c r="LB18" i="12"/>
  <c r="KY18" i="12"/>
  <c r="KV18" i="12"/>
  <c r="KS18" i="12"/>
  <c r="KP18" i="12"/>
  <c r="KM18" i="12"/>
  <c r="KJ18" i="12"/>
  <c r="KG18" i="12"/>
  <c r="KD18" i="12"/>
  <c r="KA18" i="12"/>
  <c r="JX18" i="12"/>
  <c r="JU18" i="12"/>
  <c r="JR18" i="12"/>
  <c r="JO18" i="12"/>
  <c r="JL18" i="12"/>
  <c r="JI18" i="12"/>
  <c r="JF18" i="12"/>
  <c r="JC18" i="12"/>
  <c r="IZ18" i="12"/>
  <c r="IW18" i="12"/>
  <c r="IT18" i="12"/>
  <c r="IQ18" i="12"/>
  <c r="IN18" i="12"/>
  <c r="IK18" i="12"/>
  <c r="IH18" i="12"/>
  <c r="IE18" i="12"/>
  <c r="IB18" i="12"/>
  <c r="HY18" i="12"/>
  <c r="HV18" i="12"/>
  <c r="HS18" i="12"/>
  <c r="HP18" i="12"/>
  <c r="HM18" i="12"/>
  <c r="HJ18" i="12"/>
  <c r="HG18" i="12"/>
  <c r="HD18" i="12"/>
  <c r="HA18" i="12"/>
  <c r="GX18" i="12"/>
  <c r="GU18" i="12"/>
  <c r="GR18" i="12"/>
  <c r="GO18" i="12"/>
  <c r="GL18" i="12"/>
  <c r="GI18" i="12"/>
  <c r="GF18" i="12"/>
  <c r="GC18" i="12"/>
  <c r="FZ18" i="12"/>
  <c r="FW18" i="12"/>
  <c r="FT18" i="12"/>
  <c r="FQ18" i="12"/>
  <c r="FN18" i="12"/>
  <c r="FK18" i="12"/>
  <c r="FH18" i="12"/>
  <c r="FE18" i="12"/>
  <c r="FB18" i="12"/>
  <c r="EY18" i="12"/>
  <c r="EV18" i="12"/>
  <c r="ES18" i="12"/>
  <c r="EP18" i="12"/>
  <c r="EM18" i="12"/>
  <c r="EJ18" i="12"/>
  <c r="EG18" i="12"/>
  <c r="ED18" i="12"/>
  <c r="EA18" i="12"/>
  <c r="DX18" i="12"/>
  <c r="DU18" i="12"/>
  <c r="DR18" i="12"/>
  <c r="DO18" i="12"/>
  <c r="DL18" i="12"/>
  <c r="DI18" i="12"/>
  <c r="DF18" i="12"/>
  <c r="DC18" i="12"/>
  <c r="CZ18" i="12"/>
  <c r="CW18" i="12"/>
  <c r="CT18" i="12"/>
  <c r="CQ18" i="12"/>
  <c r="CN18" i="12"/>
  <c r="CK18" i="12"/>
  <c r="CH18" i="12"/>
  <c r="CE18" i="12"/>
  <c r="CB18" i="12"/>
  <c r="BY18" i="12"/>
  <c r="BV18" i="12"/>
  <c r="BS18" i="12"/>
  <c r="BP18" i="12"/>
  <c r="BM18" i="12"/>
  <c r="BJ18" i="12"/>
  <c r="BG18" i="12"/>
  <c r="BD18" i="12"/>
  <c r="BA18" i="12"/>
  <c r="AX18" i="12"/>
  <c r="AU18" i="12"/>
  <c r="AR18" i="12"/>
  <c r="AO18" i="12"/>
  <c r="AL18" i="12"/>
  <c r="AI18" i="12"/>
  <c r="AF18" i="12"/>
  <c r="AC18" i="12"/>
  <c r="Z18" i="12"/>
  <c r="W18" i="12"/>
  <c r="T18" i="12"/>
  <c r="Q18" i="12"/>
  <c r="N18" i="12"/>
  <c r="K18" i="12"/>
  <c r="H18" i="12"/>
  <c r="E18" i="12"/>
  <c r="NI17" i="12"/>
  <c r="NH17" i="12"/>
  <c r="NJ17" i="12" s="1"/>
  <c r="NF17" i="12"/>
  <c r="NE17" i="12"/>
  <c r="ND17" i="12"/>
  <c r="NA17" i="12"/>
  <c r="MX17" i="12"/>
  <c r="MU17" i="12"/>
  <c r="MR17" i="12"/>
  <c r="MO17" i="12"/>
  <c r="ML17" i="12"/>
  <c r="MI17" i="12"/>
  <c r="MF17" i="12"/>
  <c r="MC17" i="12"/>
  <c r="LZ17" i="12"/>
  <c r="LW17" i="12"/>
  <c r="LT17" i="12"/>
  <c r="LQ17" i="12"/>
  <c r="LN17" i="12"/>
  <c r="LK17" i="12"/>
  <c r="LH17" i="12"/>
  <c r="LE17" i="12"/>
  <c r="LB17" i="12"/>
  <c r="KY17" i="12"/>
  <c r="KV17" i="12"/>
  <c r="KS17" i="12"/>
  <c r="KP17" i="12"/>
  <c r="KM17" i="12"/>
  <c r="KJ17" i="12"/>
  <c r="KG17" i="12"/>
  <c r="KD17" i="12"/>
  <c r="KA17" i="12"/>
  <c r="JX17" i="12"/>
  <c r="JU17" i="12"/>
  <c r="JR17" i="12"/>
  <c r="JO17" i="12"/>
  <c r="JL17" i="12"/>
  <c r="JI17" i="12"/>
  <c r="JF17" i="12"/>
  <c r="JC17" i="12"/>
  <c r="IZ17" i="12"/>
  <c r="IW17" i="12"/>
  <c r="IT17" i="12"/>
  <c r="IQ17" i="12"/>
  <c r="IN17" i="12"/>
  <c r="IK17" i="12"/>
  <c r="IH17" i="12"/>
  <c r="IE17" i="12"/>
  <c r="IB17" i="12"/>
  <c r="HY17" i="12"/>
  <c r="HV17" i="12"/>
  <c r="HS17" i="12"/>
  <c r="HP17" i="12"/>
  <c r="HM17" i="12"/>
  <c r="HJ17" i="12"/>
  <c r="HG17" i="12"/>
  <c r="HD17" i="12"/>
  <c r="HA17" i="12"/>
  <c r="GX17" i="12"/>
  <c r="GU17" i="12"/>
  <c r="GR17" i="12"/>
  <c r="GO17" i="12"/>
  <c r="GL17" i="12"/>
  <c r="GI17" i="12"/>
  <c r="GF17" i="12"/>
  <c r="GC17" i="12"/>
  <c r="FZ17" i="12"/>
  <c r="FW17" i="12"/>
  <c r="FT17" i="12"/>
  <c r="FQ17" i="12"/>
  <c r="FN17" i="12"/>
  <c r="FK17" i="12"/>
  <c r="FH17" i="12"/>
  <c r="FE17" i="12"/>
  <c r="FB17" i="12"/>
  <c r="EY17" i="12"/>
  <c r="EV17" i="12"/>
  <c r="ES17" i="12"/>
  <c r="EP17" i="12"/>
  <c r="EM17" i="12"/>
  <c r="EJ17" i="12"/>
  <c r="EG17" i="12"/>
  <c r="ED17" i="12"/>
  <c r="EA17" i="12"/>
  <c r="DX17" i="12"/>
  <c r="DU17" i="12"/>
  <c r="DR17" i="12"/>
  <c r="DO17" i="12"/>
  <c r="DL17" i="12"/>
  <c r="DI17" i="12"/>
  <c r="DF17" i="12"/>
  <c r="DC17" i="12"/>
  <c r="CZ17" i="12"/>
  <c r="CW17" i="12"/>
  <c r="CT17" i="12"/>
  <c r="CQ17" i="12"/>
  <c r="CN17" i="12"/>
  <c r="CK17" i="12"/>
  <c r="CH17" i="12"/>
  <c r="CE17" i="12"/>
  <c r="CB17" i="12"/>
  <c r="BY17" i="12"/>
  <c r="BV17" i="12"/>
  <c r="BS17" i="12"/>
  <c r="BP17" i="12"/>
  <c r="BM17" i="12"/>
  <c r="BJ17" i="12"/>
  <c r="BG17" i="12"/>
  <c r="BD17" i="12"/>
  <c r="BA17" i="12"/>
  <c r="AX17" i="12"/>
  <c r="AU17" i="12"/>
  <c r="AR17" i="12"/>
  <c r="AO17" i="12"/>
  <c r="AL17" i="12"/>
  <c r="AI17" i="12"/>
  <c r="AF17" i="12"/>
  <c r="AC17" i="12"/>
  <c r="Z17" i="12"/>
  <c r="W17" i="12"/>
  <c r="T17" i="12"/>
  <c r="Q17" i="12"/>
  <c r="N17" i="12"/>
  <c r="K17" i="12"/>
  <c r="H17" i="12"/>
  <c r="E17" i="12"/>
  <c r="NI16" i="12"/>
  <c r="NH16" i="12"/>
  <c r="NF16" i="12"/>
  <c r="NE16" i="12"/>
  <c r="NG16" i="12" s="1"/>
  <c r="ND16" i="12"/>
  <c r="NA16" i="12"/>
  <c r="MX16" i="12"/>
  <c r="MU16" i="12"/>
  <c r="MR16" i="12"/>
  <c r="MO16" i="12"/>
  <c r="ML16" i="12"/>
  <c r="MI16" i="12"/>
  <c r="MF16" i="12"/>
  <c r="MC16" i="12"/>
  <c r="LZ16" i="12"/>
  <c r="LW16" i="12"/>
  <c r="LT16" i="12"/>
  <c r="LQ16" i="12"/>
  <c r="LN16" i="12"/>
  <c r="LK16" i="12"/>
  <c r="LH16" i="12"/>
  <c r="LE16" i="12"/>
  <c r="LB16" i="12"/>
  <c r="KY16" i="12"/>
  <c r="KV16" i="12"/>
  <c r="KS16" i="12"/>
  <c r="KP16" i="12"/>
  <c r="KM16" i="12"/>
  <c r="KJ16" i="12"/>
  <c r="KG16" i="12"/>
  <c r="KD16" i="12"/>
  <c r="KA16" i="12"/>
  <c r="JX16" i="12"/>
  <c r="JU16" i="12"/>
  <c r="JR16" i="12"/>
  <c r="JO16" i="12"/>
  <c r="JL16" i="12"/>
  <c r="JI16" i="12"/>
  <c r="JF16" i="12"/>
  <c r="JC16" i="12"/>
  <c r="IZ16" i="12"/>
  <c r="IW16" i="12"/>
  <c r="IT16" i="12"/>
  <c r="IQ16" i="12"/>
  <c r="IN16" i="12"/>
  <c r="IK16" i="12"/>
  <c r="IH16" i="12"/>
  <c r="IE16" i="12"/>
  <c r="IB16" i="12"/>
  <c r="HY16" i="12"/>
  <c r="HV16" i="12"/>
  <c r="HS16" i="12"/>
  <c r="HP16" i="12"/>
  <c r="HM16" i="12"/>
  <c r="HJ16" i="12"/>
  <c r="HG16" i="12"/>
  <c r="HD16" i="12"/>
  <c r="HA16" i="12"/>
  <c r="GX16" i="12"/>
  <c r="GU16" i="12"/>
  <c r="GR16" i="12"/>
  <c r="GO16" i="12"/>
  <c r="GL16" i="12"/>
  <c r="GI16" i="12"/>
  <c r="GF16" i="12"/>
  <c r="GC16" i="12"/>
  <c r="FZ16" i="12"/>
  <c r="FW16" i="12"/>
  <c r="FT16" i="12"/>
  <c r="FQ16" i="12"/>
  <c r="FN16" i="12"/>
  <c r="FK16" i="12"/>
  <c r="FH16" i="12"/>
  <c r="FE16" i="12"/>
  <c r="FB16" i="12"/>
  <c r="EY16" i="12"/>
  <c r="EV16" i="12"/>
  <c r="ES16" i="12"/>
  <c r="EP16" i="12"/>
  <c r="EM16" i="12"/>
  <c r="EJ16" i="12"/>
  <c r="EG16" i="12"/>
  <c r="ED16" i="12"/>
  <c r="EA16" i="12"/>
  <c r="DX16" i="12"/>
  <c r="DU16" i="12"/>
  <c r="DR16" i="12"/>
  <c r="DO16" i="12"/>
  <c r="DL16" i="12"/>
  <c r="DI16" i="12"/>
  <c r="DF16" i="12"/>
  <c r="DC16" i="12"/>
  <c r="CZ16" i="12"/>
  <c r="CW16" i="12"/>
  <c r="CT16" i="12"/>
  <c r="CQ16" i="12"/>
  <c r="CN16" i="12"/>
  <c r="CK16" i="12"/>
  <c r="CH16" i="12"/>
  <c r="CE16" i="12"/>
  <c r="CB16" i="12"/>
  <c r="BY16" i="12"/>
  <c r="BV16" i="12"/>
  <c r="BS16" i="12"/>
  <c r="BP16" i="12"/>
  <c r="BM16" i="12"/>
  <c r="BJ16" i="12"/>
  <c r="BG16" i="12"/>
  <c r="BD16" i="12"/>
  <c r="BA16" i="12"/>
  <c r="AX16" i="12"/>
  <c r="AU16" i="12"/>
  <c r="AR16" i="12"/>
  <c r="AO16" i="12"/>
  <c r="AL16" i="12"/>
  <c r="AI16" i="12"/>
  <c r="AF16" i="12"/>
  <c r="AC16" i="12"/>
  <c r="Z16" i="12"/>
  <c r="W16" i="12"/>
  <c r="T16" i="12"/>
  <c r="Q16" i="12"/>
  <c r="N16" i="12"/>
  <c r="K16" i="12"/>
  <c r="H16" i="12"/>
  <c r="E16" i="12"/>
  <c r="NI15" i="12"/>
  <c r="NH15" i="12"/>
  <c r="NG15" i="12"/>
  <c r="NF15" i="12"/>
  <c r="NE15" i="12"/>
  <c r="ND15" i="12"/>
  <c r="NA15" i="12"/>
  <c r="MX15" i="12"/>
  <c r="MU15" i="12"/>
  <c r="MR15" i="12"/>
  <c r="MO15" i="12"/>
  <c r="ML15" i="12"/>
  <c r="MI15" i="12"/>
  <c r="MF15" i="12"/>
  <c r="MC15" i="12"/>
  <c r="LZ15" i="12"/>
  <c r="LW15" i="12"/>
  <c r="LT15" i="12"/>
  <c r="LQ15" i="12"/>
  <c r="LN15" i="12"/>
  <c r="LK15" i="12"/>
  <c r="LH15" i="12"/>
  <c r="LE15" i="12"/>
  <c r="LB15" i="12"/>
  <c r="KY15" i="12"/>
  <c r="KV15" i="12"/>
  <c r="KS15" i="12"/>
  <c r="KP15" i="12"/>
  <c r="KM15" i="12"/>
  <c r="KJ15" i="12"/>
  <c r="KG15" i="12"/>
  <c r="KD15" i="12"/>
  <c r="KA15" i="12"/>
  <c r="JX15" i="12"/>
  <c r="JU15" i="12"/>
  <c r="JR15" i="12"/>
  <c r="JO15" i="12"/>
  <c r="JL15" i="12"/>
  <c r="JI15" i="12"/>
  <c r="JF15" i="12"/>
  <c r="JC15" i="12"/>
  <c r="IZ15" i="12"/>
  <c r="IW15" i="12"/>
  <c r="IT15" i="12"/>
  <c r="IQ15" i="12"/>
  <c r="IN15" i="12"/>
  <c r="IK15" i="12"/>
  <c r="IH15" i="12"/>
  <c r="IE15" i="12"/>
  <c r="IB15" i="12"/>
  <c r="HY15" i="12"/>
  <c r="HV15" i="12"/>
  <c r="HS15" i="12"/>
  <c r="HP15" i="12"/>
  <c r="HM15" i="12"/>
  <c r="HJ15" i="12"/>
  <c r="HG15" i="12"/>
  <c r="HD15" i="12"/>
  <c r="HA15" i="12"/>
  <c r="GX15" i="12"/>
  <c r="GU15" i="12"/>
  <c r="GR15" i="12"/>
  <c r="GO15" i="12"/>
  <c r="GL15" i="12"/>
  <c r="GI15" i="12"/>
  <c r="GF15" i="12"/>
  <c r="GC15" i="12"/>
  <c r="FZ15" i="12"/>
  <c r="FW15" i="12"/>
  <c r="FT15" i="12"/>
  <c r="FQ15" i="12"/>
  <c r="FN15" i="12"/>
  <c r="FK15" i="12"/>
  <c r="FH15" i="12"/>
  <c r="FE15" i="12"/>
  <c r="FB15" i="12"/>
  <c r="EY15" i="12"/>
  <c r="EV15" i="12"/>
  <c r="ES15" i="12"/>
  <c r="EP15" i="12"/>
  <c r="EM15" i="12"/>
  <c r="EJ15" i="12"/>
  <c r="EG15" i="12"/>
  <c r="ED15" i="12"/>
  <c r="EA15" i="12"/>
  <c r="DX15" i="12"/>
  <c r="DU15" i="12"/>
  <c r="DR15" i="12"/>
  <c r="DO15" i="12"/>
  <c r="DL15" i="12"/>
  <c r="DI15" i="12"/>
  <c r="DF15" i="12"/>
  <c r="DC15" i="12"/>
  <c r="CZ15" i="12"/>
  <c r="CW15" i="12"/>
  <c r="CT15" i="12"/>
  <c r="CQ15" i="12"/>
  <c r="CN15" i="12"/>
  <c r="CK15" i="12"/>
  <c r="CH15" i="12"/>
  <c r="CE15" i="12"/>
  <c r="CB15" i="12"/>
  <c r="BY15" i="12"/>
  <c r="BV15" i="12"/>
  <c r="BS15" i="12"/>
  <c r="BP15" i="12"/>
  <c r="BM15" i="12"/>
  <c r="BJ15" i="12"/>
  <c r="BG15" i="12"/>
  <c r="BD15" i="12"/>
  <c r="BA15" i="12"/>
  <c r="AX15" i="12"/>
  <c r="AU15" i="12"/>
  <c r="AR15" i="12"/>
  <c r="AO15" i="12"/>
  <c r="AL15" i="12"/>
  <c r="AI15" i="12"/>
  <c r="AF15" i="12"/>
  <c r="AC15" i="12"/>
  <c r="Z15" i="12"/>
  <c r="W15" i="12"/>
  <c r="T15" i="12"/>
  <c r="Q15" i="12"/>
  <c r="N15" i="12"/>
  <c r="K15" i="12"/>
  <c r="H15" i="12"/>
  <c r="E15" i="12"/>
  <c r="NI14" i="12"/>
  <c r="NH14" i="12"/>
  <c r="NJ14" i="12" s="1"/>
  <c r="NF14" i="12"/>
  <c r="NE14" i="12"/>
  <c r="NG14" i="12" s="1"/>
  <c r="ND14" i="12"/>
  <c r="NA14" i="12"/>
  <c r="MX14" i="12"/>
  <c r="MU14" i="12"/>
  <c r="MR14" i="12"/>
  <c r="MO14" i="12"/>
  <c r="ML14" i="12"/>
  <c r="MI14" i="12"/>
  <c r="MF14" i="12"/>
  <c r="MC14" i="12"/>
  <c r="LZ14" i="12"/>
  <c r="LW14" i="12"/>
  <c r="LT14" i="12"/>
  <c r="LQ14" i="12"/>
  <c r="LN14" i="12"/>
  <c r="LK14" i="12"/>
  <c r="LH14" i="12"/>
  <c r="LE14" i="12"/>
  <c r="LB14" i="12"/>
  <c r="KY14" i="12"/>
  <c r="KV14" i="12"/>
  <c r="KS14" i="12"/>
  <c r="KP14" i="12"/>
  <c r="KM14" i="12"/>
  <c r="KJ14" i="12"/>
  <c r="KG14" i="12"/>
  <c r="KD14" i="12"/>
  <c r="KA14" i="12"/>
  <c r="JX14" i="12"/>
  <c r="JU14" i="12"/>
  <c r="JR14" i="12"/>
  <c r="JO14" i="12"/>
  <c r="JL14" i="12"/>
  <c r="JI14" i="12"/>
  <c r="JF14" i="12"/>
  <c r="JC14" i="12"/>
  <c r="IZ14" i="12"/>
  <c r="IW14" i="12"/>
  <c r="IT14" i="12"/>
  <c r="IQ14" i="12"/>
  <c r="IN14" i="12"/>
  <c r="IK14" i="12"/>
  <c r="IH14" i="12"/>
  <c r="IE14" i="12"/>
  <c r="IB14" i="12"/>
  <c r="HY14" i="12"/>
  <c r="HV14" i="12"/>
  <c r="HS14" i="12"/>
  <c r="HP14" i="12"/>
  <c r="HM14" i="12"/>
  <c r="HJ14" i="12"/>
  <c r="HG14" i="12"/>
  <c r="HD14" i="12"/>
  <c r="HA14" i="12"/>
  <c r="GX14" i="12"/>
  <c r="GU14" i="12"/>
  <c r="GR14" i="12"/>
  <c r="GO14" i="12"/>
  <c r="GL14" i="12"/>
  <c r="GI14" i="12"/>
  <c r="GF14" i="12"/>
  <c r="GC14" i="12"/>
  <c r="FZ14" i="12"/>
  <c r="FW14" i="12"/>
  <c r="FT14" i="12"/>
  <c r="FQ14" i="12"/>
  <c r="FN14" i="12"/>
  <c r="FK14" i="12"/>
  <c r="FH14" i="12"/>
  <c r="FE14" i="12"/>
  <c r="FB14" i="12"/>
  <c r="EY14" i="12"/>
  <c r="EV14" i="12"/>
  <c r="ES14" i="12"/>
  <c r="EP14" i="12"/>
  <c r="EM14" i="12"/>
  <c r="EJ14" i="12"/>
  <c r="EG14" i="12"/>
  <c r="ED14" i="12"/>
  <c r="EA14" i="12"/>
  <c r="DX14" i="12"/>
  <c r="DU14" i="12"/>
  <c r="DR14" i="12"/>
  <c r="DO14" i="12"/>
  <c r="DL14" i="12"/>
  <c r="DI14" i="12"/>
  <c r="DF14" i="12"/>
  <c r="DC14" i="12"/>
  <c r="CZ14" i="12"/>
  <c r="CW14" i="12"/>
  <c r="CT14" i="12"/>
  <c r="CQ14" i="12"/>
  <c r="CN14" i="12"/>
  <c r="CK14" i="12"/>
  <c r="CH14" i="12"/>
  <c r="CE14" i="12"/>
  <c r="CB14" i="12"/>
  <c r="BY14" i="12"/>
  <c r="BV14" i="12"/>
  <c r="BS14" i="12"/>
  <c r="BP14" i="12"/>
  <c r="BM14" i="12"/>
  <c r="BJ14" i="12"/>
  <c r="BG14" i="12"/>
  <c r="BD14" i="12"/>
  <c r="BA14" i="12"/>
  <c r="AX14" i="12"/>
  <c r="AU14" i="12"/>
  <c r="AR14" i="12"/>
  <c r="AO14" i="12"/>
  <c r="AL14" i="12"/>
  <c r="AI14" i="12"/>
  <c r="AF14" i="12"/>
  <c r="AC14" i="12"/>
  <c r="Z14" i="12"/>
  <c r="W14" i="12"/>
  <c r="T14" i="12"/>
  <c r="Q14" i="12"/>
  <c r="N14" i="12"/>
  <c r="K14" i="12"/>
  <c r="H14" i="12"/>
  <c r="E14" i="12"/>
  <c r="NJ13" i="12"/>
  <c r="NI13" i="12"/>
  <c r="NH13" i="12"/>
  <c r="NF13" i="12"/>
  <c r="NG13" i="12" s="1"/>
  <c r="NE13" i="12"/>
  <c r="ND13" i="12"/>
  <c r="NA13" i="12"/>
  <c r="MX13" i="12"/>
  <c r="MU13" i="12"/>
  <c r="MR13" i="12"/>
  <c r="MO13" i="12"/>
  <c r="ML13" i="12"/>
  <c r="MI13" i="12"/>
  <c r="MF13" i="12"/>
  <c r="MC13" i="12"/>
  <c r="LZ13" i="12"/>
  <c r="LW13" i="12"/>
  <c r="LT13" i="12"/>
  <c r="LQ13" i="12"/>
  <c r="LN13" i="12"/>
  <c r="LK13" i="12"/>
  <c r="LH13" i="12"/>
  <c r="LE13" i="12"/>
  <c r="LB13" i="12"/>
  <c r="KY13" i="12"/>
  <c r="KV13" i="12"/>
  <c r="KS13" i="12"/>
  <c r="KP13" i="12"/>
  <c r="KM13" i="12"/>
  <c r="KJ13" i="12"/>
  <c r="KG13" i="12"/>
  <c r="KD13" i="12"/>
  <c r="KA13" i="12"/>
  <c r="JX13" i="12"/>
  <c r="JU13" i="12"/>
  <c r="JR13" i="12"/>
  <c r="JO13" i="12"/>
  <c r="JL13" i="12"/>
  <c r="JI13" i="12"/>
  <c r="JF13" i="12"/>
  <c r="JC13" i="12"/>
  <c r="IZ13" i="12"/>
  <c r="IW13" i="12"/>
  <c r="IT13" i="12"/>
  <c r="IQ13" i="12"/>
  <c r="IN13" i="12"/>
  <c r="IK13" i="12"/>
  <c r="IH13" i="12"/>
  <c r="IE13" i="12"/>
  <c r="IB13" i="12"/>
  <c r="HY13" i="12"/>
  <c r="HV13" i="12"/>
  <c r="HS13" i="12"/>
  <c r="HP13" i="12"/>
  <c r="HM13" i="12"/>
  <c r="HJ13" i="12"/>
  <c r="HG13" i="12"/>
  <c r="HD13" i="12"/>
  <c r="HA13" i="12"/>
  <c r="GX13" i="12"/>
  <c r="GU13" i="12"/>
  <c r="GR13" i="12"/>
  <c r="GO13" i="12"/>
  <c r="GL13" i="12"/>
  <c r="GI13" i="12"/>
  <c r="GF13" i="12"/>
  <c r="GC13" i="12"/>
  <c r="FZ13" i="12"/>
  <c r="FW13" i="12"/>
  <c r="FT13" i="12"/>
  <c r="FQ13" i="12"/>
  <c r="FN13" i="12"/>
  <c r="FK13" i="12"/>
  <c r="FH13" i="12"/>
  <c r="FE13" i="12"/>
  <c r="FB13" i="12"/>
  <c r="EY13" i="12"/>
  <c r="EV13" i="12"/>
  <c r="ES13" i="12"/>
  <c r="EP13" i="12"/>
  <c r="EM13" i="12"/>
  <c r="EJ13" i="12"/>
  <c r="EG13" i="12"/>
  <c r="ED13" i="12"/>
  <c r="EA13" i="12"/>
  <c r="DX13" i="12"/>
  <c r="DU13" i="12"/>
  <c r="DR13" i="12"/>
  <c r="DO13" i="12"/>
  <c r="DL13" i="12"/>
  <c r="DI13" i="12"/>
  <c r="DF13" i="12"/>
  <c r="DC13" i="12"/>
  <c r="CZ13" i="12"/>
  <c r="CW13" i="12"/>
  <c r="CT13" i="12"/>
  <c r="CQ13" i="12"/>
  <c r="CN13" i="12"/>
  <c r="CK13" i="12"/>
  <c r="CH13" i="12"/>
  <c r="CE13" i="12"/>
  <c r="CB13" i="12"/>
  <c r="BY13" i="12"/>
  <c r="BV13" i="12"/>
  <c r="BS13" i="12"/>
  <c r="BP13" i="12"/>
  <c r="BM13" i="12"/>
  <c r="BJ13" i="12"/>
  <c r="BG13" i="12"/>
  <c r="BD13" i="12"/>
  <c r="BA13" i="12"/>
  <c r="AX13" i="12"/>
  <c r="AU13" i="12"/>
  <c r="AR13" i="12"/>
  <c r="AO13" i="12"/>
  <c r="AL13" i="12"/>
  <c r="AI13" i="12"/>
  <c r="AF13" i="12"/>
  <c r="AC13" i="12"/>
  <c r="Z13" i="12"/>
  <c r="W13" i="12"/>
  <c r="T13" i="12"/>
  <c r="Q13" i="12"/>
  <c r="N13" i="12"/>
  <c r="K13" i="12"/>
  <c r="H13" i="12"/>
  <c r="E13" i="12"/>
  <c r="NI12" i="12"/>
  <c r="NH12" i="12"/>
  <c r="NJ12" i="12" s="1"/>
  <c r="NF12" i="12"/>
  <c r="NE12" i="12"/>
  <c r="NG12" i="12" s="1"/>
  <c r="ND12" i="12"/>
  <c r="NA12" i="12"/>
  <c r="MX12" i="12"/>
  <c r="MU12" i="12"/>
  <c r="MR12" i="12"/>
  <c r="MO12" i="12"/>
  <c r="ML12" i="12"/>
  <c r="MI12" i="12"/>
  <c r="MF12" i="12"/>
  <c r="MC12" i="12"/>
  <c r="LZ12" i="12"/>
  <c r="LW12" i="12"/>
  <c r="LT12" i="12"/>
  <c r="LQ12" i="12"/>
  <c r="LN12" i="12"/>
  <c r="LK12" i="12"/>
  <c r="LH12" i="12"/>
  <c r="LE12" i="12"/>
  <c r="LB12" i="12"/>
  <c r="KY12" i="12"/>
  <c r="KV12" i="12"/>
  <c r="KS12" i="12"/>
  <c r="KP12" i="12"/>
  <c r="KM12" i="12"/>
  <c r="KJ12" i="12"/>
  <c r="KG12" i="12"/>
  <c r="KD12" i="12"/>
  <c r="KA12" i="12"/>
  <c r="JX12" i="12"/>
  <c r="JU12" i="12"/>
  <c r="JR12" i="12"/>
  <c r="JO12" i="12"/>
  <c r="JL12" i="12"/>
  <c r="JI12" i="12"/>
  <c r="JF12" i="12"/>
  <c r="JC12" i="12"/>
  <c r="IZ12" i="12"/>
  <c r="IW12" i="12"/>
  <c r="IT12" i="12"/>
  <c r="IQ12" i="12"/>
  <c r="IN12" i="12"/>
  <c r="IK12" i="12"/>
  <c r="IH12" i="12"/>
  <c r="IE12" i="12"/>
  <c r="IB12" i="12"/>
  <c r="HY12" i="12"/>
  <c r="HV12" i="12"/>
  <c r="HS12" i="12"/>
  <c r="HP12" i="12"/>
  <c r="HM12" i="12"/>
  <c r="HJ12" i="12"/>
  <c r="HG12" i="12"/>
  <c r="HD12" i="12"/>
  <c r="HA12" i="12"/>
  <c r="GX12" i="12"/>
  <c r="GU12" i="12"/>
  <c r="GR12" i="12"/>
  <c r="GO12" i="12"/>
  <c r="GL12" i="12"/>
  <c r="GI12" i="12"/>
  <c r="GF12" i="12"/>
  <c r="GC12" i="12"/>
  <c r="FZ12" i="12"/>
  <c r="FW12" i="12"/>
  <c r="FT12" i="12"/>
  <c r="FQ12" i="12"/>
  <c r="FN12" i="12"/>
  <c r="FK12" i="12"/>
  <c r="FH12" i="12"/>
  <c r="FE12" i="12"/>
  <c r="FB12" i="12"/>
  <c r="EY12" i="12"/>
  <c r="EV12" i="12"/>
  <c r="ES12" i="12"/>
  <c r="EP12" i="12"/>
  <c r="EM12" i="12"/>
  <c r="EJ12" i="12"/>
  <c r="EG12" i="12"/>
  <c r="ED12" i="12"/>
  <c r="EA12" i="12"/>
  <c r="DX12" i="12"/>
  <c r="DU12" i="12"/>
  <c r="DR12" i="12"/>
  <c r="DO12" i="12"/>
  <c r="DL12" i="12"/>
  <c r="DI12" i="12"/>
  <c r="DF12" i="12"/>
  <c r="DC12" i="12"/>
  <c r="CZ12" i="12"/>
  <c r="CW12" i="12"/>
  <c r="CT12" i="12"/>
  <c r="CQ12" i="12"/>
  <c r="CN12" i="12"/>
  <c r="CK12" i="12"/>
  <c r="CH12" i="12"/>
  <c r="CE12" i="12"/>
  <c r="CB12" i="12"/>
  <c r="BY12" i="12"/>
  <c r="BV12" i="12"/>
  <c r="BS12" i="12"/>
  <c r="BP12" i="12"/>
  <c r="BM12" i="12"/>
  <c r="BJ12" i="12"/>
  <c r="BG12" i="12"/>
  <c r="BD12" i="12"/>
  <c r="BA12" i="12"/>
  <c r="AX12" i="12"/>
  <c r="AU12" i="12"/>
  <c r="AR12" i="12"/>
  <c r="AO12" i="12"/>
  <c r="AL12" i="12"/>
  <c r="AI12" i="12"/>
  <c r="AF12" i="12"/>
  <c r="AC12" i="12"/>
  <c r="Z12" i="12"/>
  <c r="W12" i="12"/>
  <c r="T12" i="12"/>
  <c r="Q12" i="12"/>
  <c r="N12" i="12"/>
  <c r="K12" i="12"/>
  <c r="H12" i="12"/>
  <c r="E12" i="12"/>
  <c r="NI11" i="12"/>
  <c r="NJ11" i="12" s="1"/>
  <c r="NH11" i="12"/>
  <c r="NF11" i="12"/>
  <c r="NE11" i="12"/>
  <c r="NG11" i="12" s="1"/>
  <c r="ND11" i="12"/>
  <c r="NA11" i="12"/>
  <c r="MX11" i="12"/>
  <c r="MU11" i="12"/>
  <c r="MR11" i="12"/>
  <c r="MO11" i="12"/>
  <c r="ML11" i="12"/>
  <c r="MI11" i="12"/>
  <c r="MF11" i="12"/>
  <c r="MC11" i="12"/>
  <c r="LZ11" i="12"/>
  <c r="LW11" i="12"/>
  <c r="LT11" i="12"/>
  <c r="LQ11" i="12"/>
  <c r="LN11" i="12"/>
  <c r="LK11" i="12"/>
  <c r="LH11" i="12"/>
  <c r="LE11" i="12"/>
  <c r="LB11" i="12"/>
  <c r="KY11" i="12"/>
  <c r="KV11" i="12"/>
  <c r="KS11" i="12"/>
  <c r="KP11" i="12"/>
  <c r="KM11" i="12"/>
  <c r="KJ11" i="12"/>
  <c r="KG11" i="12"/>
  <c r="KD11" i="12"/>
  <c r="KA11" i="12"/>
  <c r="JX11" i="12"/>
  <c r="JU11" i="12"/>
  <c r="JR11" i="12"/>
  <c r="JO11" i="12"/>
  <c r="JL11" i="12"/>
  <c r="JI11" i="12"/>
  <c r="JF11" i="12"/>
  <c r="JC11" i="12"/>
  <c r="IZ11" i="12"/>
  <c r="IW11" i="12"/>
  <c r="IT11" i="12"/>
  <c r="IQ11" i="12"/>
  <c r="IN11" i="12"/>
  <c r="IK11" i="12"/>
  <c r="IH11" i="12"/>
  <c r="IE11" i="12"/>
  <c r="IB11" i="12"/>
  <c r="HY11" i="12"/>
  <c r="HV11" i="12"/>
  <c r="HS11" i="12"/>
  <c r="HP11" i="12"/>
  <c r="HM11" i="12"/>
  <c r="HJ11" i="12"/>
  <c r="HG11" i="12"/>
  <c r="HD11" i="12"/>
  <c r="HA11" i="12"/>
  <c r="GX11" i="12"/>
  <c r="GU11" i="12"/>
  <c r="GR11" i="12"/>
  <c r="GO11" i="12"/>
  <c r="GL11" i="12"/>
  <c r="GI11" i="12"/>
  <c r="GF11" i="12"/>
  <c r="GC11" i="12"/>
  <c r="FZ11" i="12"/>
  <c r="FW11" i="12"/>
  <c r="FT11" i="12"/>
  <c r="FQ11" i="12"/>
  <c r="FN11" i="12"/>
  <c r="FK11" i="12"/>
  <c r="FH11" i="12"/>
  <c r="FE11" i="12"/>
  <c r="FB11" i="12"/>
  <c r="EY11" i="12"/>
  <c r="EV11" i="12"/>
  <c r="ES11" i="12"/>
  <c r="EP11" i="12"/>
  <c r="EM11" i="12"/>
  <c r="EJ11" i="12"/>
  <c r="EG11" i="12"/>
  <c r="ED11" i="12"/>
  <c r="EA11" i="12"/>
  <c r="DX11" i="12"/>
  <c r="DU11" i="12"/>
  <c r="DR11" i="12"/>
  <c r="DO11" i="12"/>
  <c r="DL11" i="12"/>
  <c r="DI11" i="12"/>
  <c r="DF11" i="12"/>
  <c r="DC11" i="12"/>
  <c r="CZ11" i="12"/>
  <c r="CW11" i="12"/>
  <c r="CT11" i="12"/>
  <c r="CQ11" i="12"/>
  <c r="CN11" i="12"/>
  <c r="CK11" i="12"/>
  <c r="CH11" i="12"/>
  <c r="CE11" i="12"/>
  <c r="CB11" i="12"/>
  <c r="BY11" i="12"/>
  <c r="BV11" i="12"/>
  <c r="BS11" i="12"/>
  <c r="BP11" i="12"/>
  <c r="BM11" i="12"/>
  <c r="BJ11" i="12"/>
  <c r="BG11" i="12"/>
  <c r="BD11" i="12"/>
  <c r="BA11" i="12"/>
  <c r="AX11" i="12"/>
  <c r="AU11" i="12"/>
  <c r="AR11" i="12"/>
  <c r="AO11" i="12"/>
  <c r="AL11" i="12"/>
  <c r="AI11" i="12"/>
  <c r="AF11" i="12"/>
  <c r="AC11" i="12"/>
  <c r="Z11" i="12"/>
  <c r="W11" i="12"/>
  <c r="T11" i="12"/>
  <c r="Q11" i="12"/>
  <c r="N11" i="12"/>
  <c r="K11" i="12"/>
  <c r="H11" i="12"/>
  <c r="E11" i="12"/>
  <c r="NI10" i="12"/>
  <c r="NH10" i="12"/>
  <c r="NJ10" i="12" s="1"/>
  <c r="NF10" i="12"/>
  <c r="NG10" i="12" s="1"/>
  <c r="NE10" i="12"/>
  <c r="ND10" i="12"/>
  <c r="NA10" i="12"/>
  <c r="MX10" i="12"/>
  <c r="MU10" i="12"/>
  <c r="MR10" i="12"/>
  <c r="MO10" i="12"/>
  <c r="ML10" i="12"/>
  <c r="MI10" i="12"/>
  <c r="MF10" i="12"/>
  <c r="MC10" i="12"/>
  <c r="LZ10" i="12"/>
  <c r="LW10" i="12"/>
  <c r="LT10" i="12"/>
  <c r="LQ10" i="12"/>
  <c r="LN10" i="12"/>
  <c r="LK10" i="12"/>
  <c r="LH10" i="12"/>
  <c r="LE10" i="12"/>
  <c r="LB10" i="12"/>
  <c r="KY10" i="12"/>
  <c r="KV10" i="12"/>
  <c r="KS10" i="12"/>
  <c r="KP10" i="12"/>
  <c r="KM10" i="12"/>
  <c r="KJ10" i="12"/>
  <c r="KG10" i="12"/>
  <c r="KD10" i="12"/>
  <c r="KA10" i="12"/>
  <c r="JX10" i="12"/>
  <c r="JU10" i="12"/>
  <c r="JR10" i="12"/>
  <c r="JO10" i="12"/>
  <c r="JL10" i="12"/>
  <c r="JI10" i="12"/>
  <c r="JF10" i="12"/>
  <c r="JC10" i="12"/>
  <c r="IZ10" i="12"/>
  <c r="IW10" i="12"/>
  <c r="IT10" i="12"/>
  <c r="IQ10" i="12"/>
  <c r="IN10" i="12"/>
  <c r="IK10" i="12"/>
  <c r="IH10" i="12"/>
  <c r="IE10" i="12"/>
  <c r="IB10" i="12"/>
  <c r="HY10" i="12"/>
  <c r="HV10" i="12"/>
  <c r="HS10" i="12"/>
  <c r="HP10" i="12"/>
  <c r="HM10" i="12"/>
  <c r="HJ10" i="12"/>
  <c r="HG10" i="12"/>
  <c r="HD10" i="12"/>
  <c r="HA10" i="12"/>
  <c r="GX10" i="12"/>
  <c r="GU10" i="12"/>
  <c r="GR10" i="12"/>
  <c r="GO10" i="12"/>
  <c r="GL10" i="12"/>
  <c r="GI10" i="12"/>
  <c r="GF10" i="12"/>
  <c r="GC10" i="12"/>
  <c r="FZ10" i="12"/>
  <c r="FW10" i="12"/>
  <c r="FT10" i="12"/>
  <c r="FQ10" i="12"/>
  <c r="FN10" i="12"/>
  <c r="FK10" i="12"/>
  <c r="FH10" i="12"/>
  <c r="FE10" i="12"/>
  <c r="FB10" i="12"/>
  <c r="EY10" i="12"/>
  <c r="EV10" i="12"/>
  <c r="ES10" i="12"/>
  <c r="EP10" i="12"/>
  <c r="EM10" i="12"/>
  <c r="EJ10" i="12"/>
  <c r="EG10" i="12"/>
  <c r="ED10" i="12"/>
  <c r="EA10" i="12"/>
  <c r="DX10" i="12"/>
  <c r="DU10" i="12"/>
  <c r="DR10" i="12"/>
  <c r="DO10" i="12"/>
  <c r="DL10" i="12"/>
  <c r="DI10" i="12"/>
  <c r="DF10" i="12"/>
  <c r="DC10" i="12"/>
  <c r="CZ10" i="12"/>
  <c r="CW10" i="12"/>
  <c r="CT10" i="12"/>
  <c r="CQ10" i="12"/>
  <c r="CN10" i="12"/>
  <c r="CK10" i="12"/>
  <c r="CH10" i="12"/>
  <c r="CE10" i="12"/>
  <c r="CB10" i="12"/>
  <c r="BY10" i="12"/>
  <c r="BV10" i="12"/>
  <c r="BS10" i="12"/>
  <c r="BP10" i="12"/>
  <c r="BM10" i="12"/>
  <c r="BJ10" i="12"/>
  <c r="BG10" i="12"/>
  <c r="BD10" i="12"/>
  <c r="BA10" i="12"/>
  <c r="AX10" i="12"/>
  <c r="AU10" i="12"/>
  <c r="AR10" i="12"/>
  <c r="AO10" i="12"/>
  <c r="AL10" i="12"/>
  <c r="AI10" i="12"/>
  <c r="AF10" i="12"/>
  <c r="AC10" i="12"/>
  <c r="Z10" i="12"/>
  <c r="W10" i="12"/>
  <c r="T10" i="12"/>
  <c r="Q10" i="12"/>
  <c r="N10" i="12"/>
  <c r="K10" i="12"/>
  <c r="H10" i="12"/>
  <c r="E10" i="12"/>
  <c r="NI9" i="12"/>
  <c r="NH9" i="12"/>
  <c r="NJ9" i="12" s="1"/>
  <c r="NF9" i="12"/>
  <c r="NE9" i="12"/>
  <c r="NG9" i="12" s="1"/>
  <c r="ND9" i="12"/>
  <c r="NB5" i="12" s="1"/>
  <c r="NA9" i="12"/>
  <c r="MY5" i="12" s="1"/>
  <c r="MX9" i="12"/>
  <c r="MV5" i="12" s="1"/>
  <c r="MU9" i="12"/>
  <c r="MS5" i="12" s="1"/>
  <c r="MR9" i="12"/>
  <c r="MO9" i="12"/>
  <c r="ML9" i="12"/>
  <c r="MI9" i="12"/>
  <c r="MG5" i="12" s="1"/>
  <c r="MF9" i="12"/>
  <c r="MD5" i="12" s="1"/>
  <c r="MC9" i="12"/>
  <c r="MA5" i="12" s="1"/>
  <c r="LZ9" i="12"/>
  <c r="LX5" i="12" s="1"/>
  <c r="LW9" i="12"/>
  <c r="LT9" i="12"/>
  <c r="LQ9" i="12"/>
  <c r="LN9" i="12"/>
  <c r="LL5" i="12" s="1"/>
  <c r="LK9" i="12"/>
  <c r="LI5" i="12" s="1"/>
  <c r="LH9" i="12"/>
  <c r="LF5" i="12" s="1"/>
  <c r="LE9" i="12"/>
  <c r="LB9" i="12"/>
  <c r="KZ5" i="12" s="1"/>
  <c r="KY9" i="12"/>
  <c r="KW5" i="12" s="1"/>
  <c r="KV9" i="12"/>
  <c r="KT5" i="12" s="1"/>
  <c r="KS9" i="12"/>
  <c r="KQ5" i="12" s="1"/>
  <c r="KP9" i="12"/>
  <c r="KN5" i="12" s="1"/>
  <c r="KM9" i="12"/>
  <c r="KK5" i="12" s="1"/>
  <c r="KJ9" i="12"/>
  <c r="KH5" i="12" s="1"/>
  <c r="KG9" i="12"/>
  <c r="KE5" i="12" s="1"/>
  <c r="KD9" i="12"/>
  <c r="KB5" i="12" s="1"/>
  <c r="KA9" i="12"/>
  <c r="JY5" i="12" s="1"/>
  <c r="JX9" i="12"/>
  <c r="JU9" i="12"/>
  <c r="JR9" i="12"/>
  <c r="JO9" i="12"/>
  <c r="JM5" i="12" s="1"/>
  <c r="JL9" i="12"/>
  <c r="JJ5" i="12" s="1"/>
  <c r="JI9" i="12"/>
  <c r="JG5" i="12" s="1"/>
  <c r="JF9" i="12"/>
  <c r="JD5" i="12" s="1"/>
  <c r="JC9" i="12"/>
  <c r="JA5" i="12" s="1"/>
  <c r="IZ9" i="12"/>
  <c r="IX5" i="12" s="1"/>
  <c r="IW9" i="12"/>
  <c r="IU5" i="12" s="1"/>
  <c r="IT9" i="12"/>
  <c r="IR5" i="12" s="1"/>
  <c r="IQ9" i="12"/>
  <c r="IO5" i="12" s="1"/>
  <c r="IN9" i="12"/>
  <c r="IL5" i="12" s="1"/>
  <c r="IK9" i="12"/>
  <c r="IH9" i="12"/>
  <c r="IE9" i="12"/>
  <c r="IC5" i="12" s="1"/>
  <c r="IB9" i="12"/>
  <c r="HZ5" i="12" s="1"/>
  <c r="HY9" i="12"/>
  <c r="HW5" i="12" s="1"/>
  <c r="HV9" i="12"/>
  <c r="HT5" i="12" s="1"/>
  <c r="HS9" i="12"/>
  <c r="HP9" i="12"/>
  <c r="HM9" i="12"/>
  <c r="HJ9" i="12"/>
  <c r="HG9" i="12"/>
  <c r="HD9" i="12"/>
  <c r="HA9" i="12"/>
  <c r="GX9" i="12"/>
  <c r="GU9" i="12"/>
  <c r="GS5" i="12" s="1"/>
  <c r="GR9" i="12"/>
  <c r="GP5" i="12" s="1"/>
  <c r="GO9" i="12"/>
  <c r="GM5" i="12" s="1"/>
  <c r="GL9" i="12"/>
  <c r="GJ5" i="12" s="1"/>
  <c r="GI9" i="12"/>
  <c r="GG5" i="12" s="1"/>
  <c r="GF9" i="12"/>
  <c r="GD5" i="12" s="1"/>
  <c r="GC9" i="12"/>
  <c r="GA5" i="12" s="1"/>
  <c r="FZ9" i="12"/>
  <c r="FX5" i="12" s="1"/>
  <c r="FW9" i="12"/>
  <c r="FU5" i="12" s="1"/>
  <c r="FT9" i="12"/>
  <c r="FQ9" i="12"/>
  <c r="FN9" i="12"/>
  <c r="FK9" i="12"/>
  <c r="FI5" i="12" s="1"/>
  <c r="FH9" i="12"/>
  <c r="FF5" i="12" s="1"/>
  <c r="FE9" i="12"/>
  <c r="FC5" i="12" s="1"/>
  <c r="FB9" i="12"/>
  <c r="EZ5" i="12" s="1"/>
  <c r="EY9" i="12"/>
  <c r="EW5" i="12" s="1"/>
  <c r="EV9" i="12"/>
  <c r="ES9" i="12"/>
  <c r="EP9" i="12"/>
  <c r="EN5" i="12" s="1"/>
  <c r="EM9" i="12"/>
  <c r="EK5" i="12" s="1"/>
  <c r="EJ9" i="12"/>
  <c r="EH5" i="12" s="1"/>
  <c r="EG9" i="12"/>
  <c r="ED9" i="12"/>
  <c r="EB5" i="12" s="1"/>
  <c r="EA9" i="12"/>
  <c r="DY5" i="12" s="1"/>
  <c r="DX9" i="12"/>
  <c r="DV5" i="12" s="1"/>
  <c r="DU9" i="12"/>
  <c r="DS5" i="12" s="1"/>
  <c r="DR9" i="12"/>
  <c r="DP5" i="12" s="1"/>
  <c r="DO9" i="12"/>
  <c r="DM5" i="12" s="1"/>
  <c r="DL9" i="12"/>
  <c r="DJ5" i="12" s="1"/>
  <c r="DI9" i="12"/>
  <c r="DG5" i="12" s="1"/>
  <c r="DF9" i="12"/>
  <c r="DD5" i="12" s="1"/>
  <c r="DC9" i="12"/>
  <c r="DA5" i="12" s="1"/>
  <c r="CZ9" i="12"/>
  <c r="CW9" i="12"/>
  <c r="CT9" i="12"/>
  <c r="CQ9" i="12"/>
  <c r="CO5" i="12" s="1"/>
  <c r="CN9" i="12"/>
  <c r="CL5" i="12" s="1"/>
  <c r="CK9" i="12"/>
  <c r="CI5" i="12" s="1"/>
  <c r="CH9" i="12"/>
  <c r="CF5" i="12" s="1"/>
  <c r="CE9" i="12"/>
  <c r="CC5" i="12" s="1"/>
  <c r="CB9" i="12"/>
  <c r="BZ5" i="12" s="1"/>
  <c r="BY9" i="12"/>
  <c r="BW5" i="12" s="1"/>
  <c r="BV9" i="12"/>
  <c r="BT5" i="12" s="1"/>
  <c r="BS9" i="12"/>
  <c r="BQ5" i="12" s="1"/>
  <c r="BP9" i="12"/>
  <c r="BM9" i="12"/>
  <c r="BJ9" i="12"/>
  <c r="BG9" i="12"/>
  <c r="BE5" i="12" s="1"/>
  <c r="BD9" i="12"/>
  <c r="BB5" i="12" s="1"/>
  <c r="BA9" i="12"/>
  <c r="AY5" i="12" s="1"/>
  <c r="AX9" i="12"/>
  <c r="AV5" i="12" s="1"/>
  <c r="AU9" i="12"/>
  <c r="AS5" i="12" s="1"/>
  <c r="AR9" i="12"/>
  <c r="AO9" i="12"/>
  <c r="AL9" i="12"/>
  <c r="AI9" i="12"/>
  <c r="AF9" i="12"/>
  <c r="AC9" i="12"/>
  <c r="Z9" i="12"/>
  <c r="W9" i="12"/>
  <c r="U5" i="12" s="1"/>
  <c r="T9" i="12"/>
  <c r="R5" i="12" s="1"/>
  <c r="Q9" i="12"/>
  <c r="O5" i="12" s="1"/>
  <c r="N9" i="12"/>
  <c r="L5" i="12" s="1"/>
  <c r="K9" i="12"/>
  <c r="I5" i="12" s="1"/>
  <c r="H9" i="12"/>
  <c r="F5" i="12" s="1"/>
  <c r="E9" i="12"/>
  <c r="C5" i="12" s="1"/>
  <c r="NB7" i="12"/>
  <c r="MY7" i="12"/>
  <c r="MV7" i="12"/>
  <c r="MS7" i="12"/>
  <c r="MP7" i="12"/>
  <c r="MM7" i="12"/>
  <c r="MJ7" i="12"/>
  <c r="MG7" i="12"/>
  <c r="MD7" i="12"/>
  <c r="MA7" i="12"/>
  <c r="LX7" i="12"/>
  <c r="LU7" i="12"/>
  <c r="LR7" i="12"/>
  <c r="LO7" i="12"/>
  <c r="LL7" i="12"/>
  <c r="LI7" i="12"/>
  <c r="LF7" i="12"/>
  <c r="LC7" i="12"/>
  <c r="KZ7" i="12"/>
  <c r="KW7" i="12"/>
  <c r="KT7" i="12"/>
  <c r="KQ7" i="12"/>
  <c r="KN7" i="12"/>
  <c r="KK7" i="12"/>
  <c r="KH7" i="12"/>
  <c r="KE7" i="12"/>
  <c r="KB7" i="12"/>
  <c r="JY7" i="12"/>
  <c r="JV7" i="12"/>
  <c r="JS7" i="12"/>
  <c r="JP7" i="12"/>
  <c r="JM7" i="12"/>
  <c r="JJ7" i="12"/>
  <c r="JG7" i="12"/>
  <c r="JD7" i="12"/>
  <c r="JA7" i="12"/>
  <c r="IX7" i="12"/>
  <c r="IU7" i="12"/>
  <c r="IR7" i="12"/>
  <c r="IO7" i="12"/>
  <c r="IL7" i="12"/>
  <c r="II7" i="12"/>
  <c r="IF7" i="12"/>
  <c r="IC7" i="12"/>
  <c r="HZ7" i="12"/>
  <c r="HW7" i="12"/>
  <c r="HT7" i="12"/>
  <c r="HQ7" i="12"/>
  <c r="HN7" i="12"/>
  <c r="HK7" i="12"/>
  <c r="HH7" i="12"/>
  <c r="HE7" i="12"/>
  <c r="HB7" i="12"/>
  <c r="GY7" i="12"/>
  <c r="GV7" i="12"/>
  <c r="GS7" i="12"/>
  <c r="GP7" i="12"/>
  <c r="GM7" i="12"/>
  <c r="GJ7" i="12"/>
  <c r="GG7" i="12"/>
  <c r="GD7" i="12"/>
  <c r="GA7" i="12"/>
  <c r="FX7" i="12"/>
  <c r="FU7" i="12"/>
  <c r="FR7" i="12"/>
  <c r="FO7" i="12"/>
  <c r="FL7" i="12"/>
  <c r="FI7" i="12"/>
  <c r="FF7" i="12"/>
  <c r="FC7" i="12"/>
  <c r="EZ7" i="12"/>
  <c r="EW7" i="12"/>
  <c r="ET7" i="12"/>
  <c r="EQ7" i="12"/>
  <c r="EN7" i="12"/>
  <c r="EK7" i="12"/>
  <c r="EH7" i="12"/>
  <c r="EE7" i="12"/>
  <c r="EB7" i="12"/>
  <c r="DY7" i="12"/>
  <c r="DV7" i="12"/>
  <c r="DS7" i="12"/>
  <c r="DP7" i="12"/>
  <c r="DM7" i="12"/>
  <c r="DJ7" i="12"/>
  <c r="DG7" i="12"/>
  <c r="DD7" i="12"/>
  <c r="DA7" i="12"/>
  <c r="CX7" i="12"/>
  <c r="CU7" i="12"/>
  <c r="CR7" i="12"/>
  <c r="CO7" i="12"/>
  <c r="CL7" i="12"/>
  <c r="CI7" i="12"/>
  <c r="CF7" i="12"/>
  <c r="CC7" i="12"/>
  <c r="BZ7" i="12"/>
  <c r="BW7" i="12"/>
  <c r="BT7" i="12"/>
  <c r="BQ7" i="12"/>
  <c r="BN7" i="12"/>
  <c r="BK7" i="12"/>
  <c r="BH7" i="12"/>
  <c r="BE7" i="12"/>
  <c r="BB7" i="12"/>
  <c r="AY7" i="12"/>
  <c r="AV7" i="12"/>
  <c r="AS7" i="12"/>
  <c r="AP7" i="12"/>
  <c r="AM7" i="12"/>
  <c r="AJ7" i="12"/>
  <c r="AG7" i="12"/>
  <c r="AD7" i="12"/>
  <c r="AA7" i="12"/>
  <c r="X7" i="12"/>
  <c r="U7" i="12"/>
  <c r="R7" i="12"/>
  <c r="O7" i="12"/>
  <c r="L7" i="12"/>
  <c r="I7" i="12"/>
  <c r="F7" i="12"/>
  <c r="C7" i="12"/>
  <c r="NB6" i="12"/>
  <c r="MY6" i="12"/>
  <c r="MV6" i="12"/>
  <c r="MS6" i="12"/>
  <c r="MP6" i="12"/>
  <c r="MM6" i="12"/>
  <c r="MJ6" i="12"/>
  <c r="MG6" i="12"/>
  <c r="MD6" i="12"/>
  <c r="MA6" i="12"/>
  <c r="LX6" i="12"/>
  <c r="LU6" i="12"/>
  <c r="LR6" i="12"/>
  <c r="LO6" i="12"/>
  <c r="LL6" i="12"/>
  <c r="LI6" i="12"/>
  <c r="LF6" i="12"/>
  <c r="LC6" i="12"/>
  <c r="KZ6" i="12"/>
  <c r="KW6" i="12"/>
  <c r="KT6" i="12"/>
  <c r="KQ6" i="12"/>
  <c r="KN6" i="12"/>
  <c r="KK6" i="12"/>
  <c r="KH6" i="12"/>
  <c r="KE6" i="12"/>
  <c r="KB6" i="12"/>
  <c r="JY6" i="12"/>
  <c r="JV6" i="12"/>
  <c r="JS6" i="12"/>
  <c r="JP6" i="12"/>
  <c r="JM6" i="12"/>
  <c r="JJ6" i="12"/>
  <c r="JG6" i="12"/>
  <c r="JD6" i="12"/>
  <c r="JA6" i="12"/>
  <c r="IX6" i="12"/>
  <c r="IU6" i="12"/>
  <c r="IR6" i="12"/>
  <c r="IO6" i="12"/>
  <c r="IL6" i="12"/>
  <c r="II6" i="12"/>
  <c r="IF6" i="12"/>
  <c r="IC6" i="12"/>
  <c r="HZ6" i="12"/>
  <c r="HW6" i="12"/>
  <c r="HT6" i="12"/>
  <c r="HQ6" i="12"/>
  <c r="HN6" i="12"/>
  <c r="HK6" i="12"/>
  <c r="HH6" i="12"/>
  <c r="HE6" i="12"/>
  <c r="HB6" i="12"/>
  <c r="GY6" i="12"/>
  <c r="GV6" i="12"/>
  <c r="GS6" i="12"/>
  <c r="GP6" i="12"/>
  <c r="GM6" i="12"/>
  <c r="GJ6" i="12"/>
  <c r="GG6" i="12"/>
  <c r="GD6" i="12"/>
  <c r="GA6" i="12"/>
  <c r="FX6" i="12"/>
  <c r="FU6" i="12"/>
  <c r="FR6" i="12"/>
  <c r="FO6" i="12"/>
  <c r="FL6" i="12"/>
  <c r="FI6" i="12"/>
  <c r="FF6" i="12"/>
  <c r="FC6" i="12"/>
  <c r="EZ6" i="12"/>
  <c r="EW6" i="12"/>
  <c r="ET6" i="12"/>
  <c r="EQ6" i="12"/>
  <c r="EN6" i="12"/>
  <c r="EK6" i="12"/>
  <c r="EH6" i="12"/>
  <c r="EE6" i="12"/>
  <c r="EB6" i="12"/>
  <c r="DY6" i="12"/>
  <c r="DV6" i="12"/>
  <c r="DS6" i="12"/>
  <c r="DP6" i="12"/>
  <c r="DM6" i="12"/>
  <c r="DJ6" i="12"/>
  <c r="DG6" i="12"/>
  <c r="DD6" i="12"/>
  <c r="DA6" i="12"/>
  <c r="CX6" i="12"/>
  <c r="CU6" i="12"/>
  <c r="CR6" i="12"/>
  <c r="CO6" i="12"/>
  <c r="CL6" i="12"/>
  <c r="CI6" i="12"/>
  <c r="CF6" i="12"/>
  <c r="CC6" i="12"/>
  <c r="BZ6" i="12"/>
  <c r="BW6" i="12"/>
  <c r="BT6" i="12"/>
  <c r="BQ6" i="12"/>
  <c r="BN6" i="12"/>
  <c r="BK6" i="12"/>
  <c r="BH6" i="12"/>
  <c r="BE6" i="12"/>
  <c r="BB6" i="12"/>
  <c r="AY6" i="12"/>
  <c r="AV6" i="12"/>
  <c r="AS6" i="12"/>
  <c r="AP6" i="12"/>
  <c r="AM6" i="12"/>
  <c r="AJ6" i="12"/>
  <c r="AG6" i="12"/>
  <c r="AD6" i="12"/>
  <c r="AA6" i="12"/>
  <c r="X6" i="12"/>
  <c r="U6" i="12"/>
  <c r="R6" i="12"/>
  <c r="O6" i="12"/>
  <c r="L6" i="12"/>
  <c r="I6" i="12"/>
  <c r="F6" i="12"/>
  <c r="C6" i="12"/>
  <c r="MP5" i="12"/>
  <c r="MM5" i="12"/>
  <c r="MJ5" i="12"/>
  <c r="LU5" i="12"/>
  <c r="LR5" i="12"/>
  <c r="LO5" i="12"/>
  <c r="LC5" i="12"/>
  <c r="JV5" i="12"/>
  <c r="JS5" i="12"/>
  <c r="JP5" i="12"/>
  <c r="II5" i="12"/>
  <c r="IF5" i="12"/>
  <c r="HQ5" i="12"/>
  <c r="HN5" i="12"/>
  <c r="HK5" i="12"/>
  <c r="HH5" i="12"/>
  <c r="HE5" i="12"/>
  <c r="HB5" i="12"/>
  <c r="GY5" i="12"/>
  <c r="GV5" i="12"/>
  <c r="FR5" i="12"/>
  <c r="FO5" i="12"/>
  <c r="FL5" i="12"/>
  <c r="ET5" i="12"/>
  <c r="EQ5" i="12"/>
  <c r="EE5" i="12"/>
  <c r="CX5" i="12"/>
  <c r="CU5" i="12"/>
  <c r="CR5" i="12"/>
  <c r="BN5" i="12"/>
  <c r="BK5" i="12"/>
  <c r="BH5" i="12"/>
  <c r="AP5" i="12"/>
  <c r="AM5" i="12"/>
  <c r="AJ5" i="12"/>
  <c r="AG5" i="12"/>
  <c r="AD5" i="12"/>
  <c r="AA5" i="12"/>
  <c r="X5" i="12"/>
  <c r="BA7" i="11"/>
  <c r="AZ7" i="11"/>
  <c r="AY7" i="11"/>
  <c r="AX4" i="11"/>
  <c r="AU4" i="11"/>
  <c r="AR4" i="11"/>
  <c r="AO4" i="11"/>
  <c r="AL4" i="11"/>
  <c r="AI4" i="11"/>
  <c r="AF4" i="11"/>
  <c r="AC4" i="11"/>
  <c r="Z4" i="11"/>
  <c r="W4" i="11"/>
  <c r="T4" i="11"/>
  <c r="Q4" i="11"/>
  <c r="N4" i="11"/>
  <c r="K4" i="11"/>
  <c r="H4" i="11"/>
  <c r="E4" i="11"/>
  <c r="AI73" i="9"/>
  <c r="AF73" i="9"/>
  <c r="AC73" i="9"/>
  <c r="Z73" i="9"/>
  <c r="W73" i="9"/>
  <c r="T73" i="9"/>
  <c r="Q73" i="9"/>
  <c r="N73" i="9"/>
  <c r="K73" i="9"/>
  <c r="H73" i="9"/>
  <c r="E73" i="9"/>
  <c r="AI72" i="9"/>
  <c r="AF72" i="9"/>
  <c r="AC72" i="9"/>
  <c r="Z72" i="9"/>
  <c r="W72" i="9"/>
  <c r="T72" i="9"/>
  <c r="Q72" i="9"/>
  <c r="N72" i="9"/>
  <c r="K72" i="9"/>
  <c r="H72" i="9"/>
  <c r="E72" i="9"/>
  <c r="AI71" i="9"/>
  <c r="AF71" i="9"/>
  <c r="AC71" i="9"/>
  <c r="Z71" i="9"/>
  <c r="W71" i="9"/>
  <c r="T71" i="9"/>
  <c r="Q71" i="9"/>
  <c r="N71" i="9"/>
  <c r="K71" i="9"/>
  <c r="H71" i="9"/>
  <c r="E71" i="9"/>
  <c r="AI70" i="9"/>
  <c r="AF70" i="9"/>
  <c r="AC70" i="9"/>
  <c r="Z70" i="9"/>
  <c r="W70" i="9"/>
  <c r="T70" i="9"/>
  <c r="Q70" i="9"/>
  <c r="N70" i="9"/>
  <c r="K70" i="9"/>
  <c r="H70" i="9"/>
  <c r="E70" i="9"/>
  <c r="AI69" i="9"/>
  <c r="AF69" i="9"/>
  <c r="AC69" i="9"/>
  <c r="Z69" i="9"/>
  <c r="W69" i="9"/>
  <c r="T69" i="9"/>
  <c r="Q69" i="9"/>
  <c r="N69" i="9"/>
  <c r="K69" i="9"/>
  <c r="H69" i="9"/>
  <c r="E69" i="9"/>
  <c r="AI68" i="9"/>
  <c r="AF68" i="9"/>
  <c r="AC68" i="9"/>
  <c r="Z68" i="9"/>
  <c r="W68" i="9"/>
  <c r="T68" i="9"/>
  <c r="Q68" i="9"/>
  <c r="N68" i="9"/>
  <c r="K68" i="9"/>
  <c r="H68" i="9"/>
  <c r="E68" i="9"/>
  <c r="AI67" i="9"/>
  <c r="AF67" i="9"/>
  <c r="AC67" i="9"/>
  <c r="Z67" i="9"/>
  <c r="W67" i="9"/>
  <c r="T67" i="9"/>
  <c r="Q67" i="9"/>
  <c r="N67" i="9"/>
  <c r="K67" i="9"/>
  <c r="H67" i="9"/>
  <c r="E67" i="9"/>
  <c r="AI66" i="9"/>
  <c r="AF66" i="9"/>
  <c r="AC66" i="9"/>
  <c r="Z66" i="9"/>
  <c r="W66" i="9"/>
  <c r="T66" i="9"/>
  <c r="Q66" i="9"/>
  <c r="N66" i="9"/>
  <c r="K66" i="9"/>
  <c r="H66" i="9"/>
  <c r="E66" i="9"/>
  <c r="AI65" i="9"/>
  <c r="AF65" i="9"/>
  <c r="AC65" i="9"/>
  <c r="Z65" i="9"/>
  <c r="W65" i="9"/>
  <c r="T65" i="9"/>
  <c r="Q65" i="9"/>
  <c r="N65" i="9"/>
  <c r="K65" i="9"/>
  <c r="H65" i="9"/>
  <c r="E65" i="9"/>
  <c r="AI64" i="9"/>
  <c r="AF64" i="9"/>
  <c r="AC64" i="9"/>
  <c r="Z64" i="9"/>
  <c r="W64" i="9"/>
  <c r="T64" i="9"/>
  <c r="Q64" i="9"/>
  <c r="N64" i="9"/>
  <c r="K64" i="9"/>
  <c r="H64" i="9"/>
  <c r="E64" i="9"/>
  <c r="AI63" i="9"/>
  <c r="AF63" i="9"/>
  <c r="AC63" i="9"/>
  <c r="Z63" i="9"/>
  <c r="W63" i="9"/>
  <c r="T63" i="9"/>
  <c r="Q63" i="9"/>
  <c r="N63" i="9"/>
  <c r="K63" i="9"/>
  <c r="H63" i="9"/>
  <c r="E63" i="9"/>
  <c r="AI62" i="9"/>
  <c r="AF62" i="9"/>
  <c r="AC62" i="9"/>
  <c r="Z62" i="9"/>
  <c r="W62" i="9"/>
  <c r="T62" i="9"/>
  <c r="Q62" i="9"/>
  <c r="N62" i="9"/>
  <c r="K62" i="9"/>
  <c r="H62" i="9"/>
  <c r="E62" i="9"/>
  <c r="AI61" i="9"/>
  <c r="AF61" i="9"/>
  <c r="AC61" i="9"/>
  <c r="Z61" i="9"/>
  <c r="W61" i="9"/>
  <c r="T61" i="9"/>
  <c r="Q61" i="9"/>
  <c r="N61" i="9"/>
  <c r="K61" i="9"/>
  <c r="H61" i="9"/>
  <c r="E61" i="9"/>
  <c r="AI60" i="9"/>
  <c r="AF60" i="9"/>
  <c r="AC60" i="9"/>
  <c r="Z60" i="9"/>
  <c r="W60" i="9"/>
  <c r="T60" i="9"/>
  <c r="Q60" i="9"/>
  <c r="N60" i="9"/>
  <c r="K60" i="9"/>
  <c r="H60" i="9"/>
  <c r="E60" i="9"/>
  <c r="AI59" i="9"/>
  <c r="AF59" i="9"/>
  <c r="AC59" i="9"/>
  <c r="Z59" i="9"/>
  <c r="W59" i="9"/>
  <c r="T59" i="9"/>
  <c r="Q59" i="9"/>
  <c r="N59" i="9"/>
  <c r="K59" i="9"/>
  <c r="H59" i="9"/>
  <c r="E59" i="9"/>
  <c r="AI58" i="9"/>
  <c r="AF58" i="9"/>
  <c r="AC58" i="9"/>
  <c r="Z58" i="9"/>
  <c r="W58" i="9"/>
  <c r="T58" i="9"/>
  <c r="Q58" i="9"/>
  <c r="N58" i="9"/>
  <c r="K58" i="9"/>
  <c r="H58" i="9"/>
  <c r="E58" i="9"/>
  <c r="AI57" i="9"/>
  <c r="AF57" i="9"/>
  <c r="AC57" i="9"/>
  <c r="Z57" i="9"/>
  <c r="W57" i="9"/>
  <c r="T57" i="9"/>
  <c r="Q57" i="9"/>
  <c r="N57" i="9"/>
  <c r="K57" i="9"/>
  <c r="H57" i="9"/>
  <c r="E57" i="9"/>
  <c r="AI56" i="9"/>
  <c r="AF56" i="9"/>
  <c r="AC56" i="9"/>
  <c r="Z56" i="9"/>
  <c r="W56" i="9"/>
  <c r="T56" i="9"/>
  <c r="Q56" i="9"/>
  <c r="N56" i="9"/>
  <c r="K56" i="9"/>
  <c r="H56" i="9"/>
  <c r="E56" i="9"/>
  <c r="AI55" i="9"/>
  <c r="AF55" i="9"/>
  <c r="AC55" i="9"/>
  <c r="Z55" i="9"/>
  <c r="W55" i="9"/>
  <c r="T55" i="9"/>
  <c r="Q55" i="9"/>
  <c r="N55" i="9"/>
  <c r="K55" i="9"/>
  <c r="H55" i="9"/>
  <c r="E55" i="9"/>
  <c r="AI54" i="9"/>
  <c r="AF54" i="9"/>
  <c r="AC54" i="9"/>
  <c r="Z54" i="9"/>
  <c r="W54" i="9"/>
  <c r="T54" i="9"/>
  <c r="Q54" i="9"/>
  <c r="N54" i="9"/>
  <c r="K54" i="9"/>
  <c r="H54" i="9"/>
  <c r="E54" i="9"/>
  <c r="AI53" i="9"/>
  <c r="AF53" i="9"/>
  <c r="AC53" i="9"/>
  <c r="Z53" i="9"/>
  <c r="W53" i="9"/>
  <c r="T53" i="9"/>
  <c r="Q53" i="9"/>
  <c r="N53" i="9"/>
  <c r="K53" i="9"/>
  <c r="H53" i="9"/>
  <c r="E53" i="9"/>
  <c r="AI52" i="9"/>
  <c r="AF52" i="9"/>
  <c r="AC52" i="9"/>
  <c r="Z52" i="9"/>
  <c r="W52" i="9"/>
  <c r="T52" i="9"/>
  <c r="Q52" i="9"/>
  <c r="N52" i="9"/>
  <c r="K52" i="9"/>
  <c r="H52" i="9"/>
  <c r="E52" i="9"/>
  <c r="AI51" i="9"/>
  <c r="AF51" i="9"/>
  <c r="AC51" i="9"/>
  <c r="Z51" i="9"/>
  <c r="W51" i="9"/>
  <c r="T51" i="9"/>
  <c r="Q51" i="9"/>
  <c r="N51" i="9"/>
  <c r="K51" i="9"/>
  <c r="H51" i="9"/>
  <c r="E51" i="9"/>
  <c r="AI50" i="9"/>
  <c r="AF50" i="9"/>
  <c r="AC50" i="9"/>
  <c r="Z50" i="9"/>
  <c r="W50" i="9"/>
  <c r="T50" i="9"/>
  <c r="Q50" i="9"/>
  <c r="N50" i="9"/>
  <c r="K50" i="9"/>
  <c r="H50" i="9"/>
  <c r="E50" i="9"/>
  <c r="AI49" i="9"/>
  <c r="AF49" i="9"/>
  <c r="AC49" i="9"/>
  <c r="Z49" i="9"/>
  <c r="W49" i="9"/>
  <c r="T49" i="9"/>
  <c r="Q49" i="9"/>
  <c r="N49" i="9"/>
  <c r="K49" i="9"/>
  <c r="H49" i="9"/>
  <c r="E49" i="9"/>
  <c r="AI48" i="9"/>
  <c r="AF48" i="9"/>
  <c r="AC48" i="9"/>
  <c r="Z48" i="9"/>
  <c r="W48" i="9"/>
  <c r="T48" i="9"/>
  <c r="Q48" i="9"/>
  <c r="N48" i="9"/>
  <c r="K48" i="9"/>
  <c r="H48" i="9"/>
  <c r="E48" i="9"/>
  <c r="AI47" i="9"/>
  <c r="AF47" i="9"/>
  <c r="AC47" i="9"/>
  <c r="Z47" i="9"/>
  <c r="W47" i="9"/>
  <c r="T47" i="9"/>
  <c r="Q47" i="9"/>
  <c r="N47" i="9"/>
  <c r="K47" i="9"/>
  <c r="H47" i="9"/>
  <c r="E47" i="9"/>
  <c r="AI46" i="9"/>
  <c r="AF46" i="9"/>
  <c r="AC46" i="9"/>
  <c r="Z46" i="9"/>
  <c r="W46" i="9"/>
  <c r="T46" i="9"/>
  <c r="Q46" i="9"/>
  <c r="N46" i="9"/>
  <c r="K46" i="9"/>
  <c r="H46" i="9"/>
  <c r="E46" i="9"/>
  <c r="AI45" i="9"/>
  <c r="AF45" i="9"/>
  <c r="AC45" i="9"/>
  <c r="Z45" i="9"/>
  <c r="W45" i="9"/>
  <c r="T45" i="9"/>
  <c r="Q45" i="9"/>
  <c r="N45" i="9"/>
  <c r="K45" i="9"/>
  <c r="H45" i="9"/>
  <c r="E45" i="9"/>
  <c r="AI44" i="9"/>
  <c r="AF44" i="9"/>
  <c r="AC44" i="9"/>
  <c r="Z44" i="9"/>
  <c r="W44" i="9"/>
  <c r="T44" i="9"/>
  <c r="Q44" i="9"/>
  <c r="N44" i="9"/>
  <c r="K44" i="9"/>
  <c r="H44" i="9"/>
  <c r="E44" i="9"/>
  <c r="AI43" i="9"/>
  <c r="AF43" i="9"/>
  <c r="AC43" i="9"/>
  <c r="Z43" i="9"/>
  <c r="W43" i="9"/>
  <c r="T43" i="9"/>
  <c r="Q43" i="9"/>
  <c r="N43" i="9"/>
  <c r="K43" i="9"/>
  <c r="H43" i="9"/>
  <c r="E43" i="9"/>
  <c r="AI42" i="9"/>
  <c r="AF42" i="9"/>
  <c r="AC42" i="9"/>
  <c r="Z42" i="9"/>
  <c r="W42" i="9"/>
  <c r="T42" i="9"/>
  <c r="Q42" i="9"/>
  <c r="N42" i="9"/>
  <c r="K42" i="9"/>
  <c r="H42" i="9"/>
  <c r="E42" i="9"/>
  <c r="AI41" i="9"/>
  <c r="AF41" i="9"/>
  <c r="AC41" i="9"/>
  <c r="Z41" i="9"/>
  <c r="W41" i="9"/>
  <c r="T41" i="9"/>
  <c r="Q41" i="9"/>
  <c r="N41" i="9"/>
  <c r="K41" i="9"/>
  <c r="H41" i="9"/>
  <c r="E41" i="9"/>
  <c r="AI40" i="9"/>
  <c r="AF40" i="9"/>
  <c r="AC40" i="9"/>
  <c r="Z40" i="9"/>
  <c r="W40" i="9"/>
  <c r="T40" i="9"/>
  <c r="Q40" i="9"/>
  <c r="N40" i="9"/>
  <c r="K40" i="9"/>
  <c r="H40" i="9"/>
  <c r="E40" i="9"/>
  <c r="AI39" i="9"/>
  <c r="AF39" i="9"/>
  <c r="AC39" i="9"/>
  <c r="Z39" i="9"/>
  <c r="W39" i="9"/>
  <c r="T39" i="9"/>
  <c r="Q39" i="9"/>
  <c r="N39" i="9"/>
  <c r="K39" i="9"/>
  <c r="H39" i="9"/>
  <c r="E39" i="9"/>
  <c r="AI38" i="9"/>
  <c r="AF38" i="9"/>
  <c r="AC38" i="9"/>
  <c r="Z38" i="9"/>
  <c r="W38" i="9"/>
  <c r="T38" i="9"/>
  <c r="Q38" i="9"/>
  <c r="N38" i="9"/>
  <c r="K38" i="9"/>
  <c r="H38" i="9"/>
  <c r="E38" i="9"/>
  <c r="AI37" i="9"/>
  <c r="AF37" i="9"/>
  <c r="AC37" i="9"/>
  <c r="Z37" i="9"/>
  <c r="W37" i="9"/>
  <c r="T37" i="9"/>
  <c r="Q37" i="9"/>
  <c r="N37" i="9"/>
  <c r="K37" i="9"/>
  <c r="H37" i="9"/>
  <c r="E37" i="9"/>
  <c r="AI36" i="9"/>
  <c r="AF36" i="9"/>
  <c r="AC36" i="9"/>
  <c r="Z36" i="9"/>
  <c r="W36" i="9"/>
  <c r="T36" i="9"/>
  <c r="Q36" i="9"/>
  <c r="N36" i="9"/>
  <c r="K36" i="9"/>
  <c r="H36" i="9"/>
  <c r="E36" i="9"/>
  <c r="AI35" i="9"/>
  <c r="AF35" i="9"/>
  <c r="AC35" i="9"/>
  <c r="Z35" i="9"/>
  <c r="W35" i="9"/>
  <c r="T35" i="9"/>
  <c r="Q35" i="9"/>
  <c r="N35" i="9"/>
  <c r="K35" i="9"/>
  <c r="H35" i="9"/>
  <c r="E35" i="9"/>
  <c r="AI34" i="9"/>
  <c r="AF34" i="9"/>
  <c r="AC34" i="9"/>
  <c r="Z34" i="9"/>
  <c r="W34" i="9"/>
  <c r="T34" i="9"/>
  <c r="Q34" i="9"/>
  <c r="N34" i="9"/>
  <c r="K34" i="9"/>
  <c r="H34" i="9"/>
  <c r="E34" i="9"/>
  <c r="AI33" i="9"/>
  <c r="AF33" i="9"/>
  <c r="AC33" i="9"/>
  <c r="Z33" i="9"/>
  <c r="W33" i="9"/>
  <c r="T33" i="9"/>
  <c r="Q33" i="9"/>
  <c r="N33" i="9"/>
  <c r="K33" i="9"/>
  <c r="H33" i="9"/>
  <c r="E33" i="9"/>
  <c r="AI32" i="9"/>
  <c r="AF32" i="9"/>
  <c r="AC32" i="9"/>
  <c r="Z32" i="9"/>
  <c r="W32" i="9"/>
  <c r="T32" i="9"/>
  <c r="Q32" i="9"/>
  <c r="N32" i="9"/>
  <c r="K32" i="9"/>
  <c r="H32" i="9"/>
  <c r="E32" i="9"/>
  <c r="AI31" i="9"/>
  <c r="AF31" i="9"/>
  <c r="AC31" i="9"/>
  <c r="Z31" i="9"/>
  <c r="W31" i="9"/>
  <c r="T31" i="9"/>
  <c r="Q31" i="9"/>
  <c r="N31" i="9"/>
  <c r="K31" i="9"/>
  <c r="H31" i="9"/>
  <c r="E31" i="9"/>
  <c r="AI30" i="9"/>
  <c r="AF30" i="9"/>
  <c r="AC30" i="9"/>
  <c r="Z30" i="9"/>
  <c r="W30" i="9"/>
  <c r="T30" i="9"/>
  <c r="Q30" i="9"/>
  <c r="N30" i="9"/>
  <c r="K30" i="9"/>
  <c r="H30" i="9"/>
  <c r="E30" i="9"/>
  <c r="AI29" i="9"/>
  <c r="AF29" i="9"/>
  <c r="AC29" i="9"/>
  <c r="Z29" i="9"/>
  <c r="W29" i="9"/>
  <c r="T29" i="9"/>
  <c r="Q29" i="9"/>
  <c r="N29" i="9"/>
  <c r="K29" i="9"/>
  <c r="H29" i="9"/>
  <c r="E29" i="9"/>
  <c r="AI28" i="9"/>
  <c r="AF28" i="9"/>
  <c r="AC28" i="9"/>
  <c r="Z28" i="9"/>
  <c r="W28" i="9"/>
  <c r="T28" i="9"/>
  <c r="Q28" i="9"/>
  <c r="N28" i="9"/>
  <c r="K28" i="9"/>
  <c r="H28" i="9"/>
  <c r="E28" i="9"/>
  <c r="AI27" i="9"/>
  <c r="AF27" i="9"/>
  <c r="AC27" i="9"/>
  <c r="Z27" i="9"/>
  <c r="W27" i="9"/>
  <c r="T27" i="9"/>
  <c r="Q27" i="9"/>
  <c r="N27" i="9"/>
  <c r="K27" i="9"/>
  <c r="H27" i="9"/>
  <c r="E27" i="9"/>
  <c r="AI26" i="9"/>
  <c r="AF26" i="9"/>
  <c r="AC26" i="9"/>
  <c r="Z26" i="9"/>
  <c r="W26" i="9"/>
  <c r="T26" i="9"/>
  <c r="Q26" i="9"/>
  <c r="N26" i="9"/>
  <c r="K26" i="9"/>
  <c r="H26" i="9"/>
  <c r="E26" i="9"/>
  <c r="AI25" i="9"/>
  <c r="AF25" i="9"/>
  <c r="AC25" i="9"/>
  <c r="Z25" i="9"/>
  <c r="W25" i="9"/>
  <c r="T25" i="9"/>
  <c r="Q25" i="9"/>
  <c r="N25" i="9"/>
  <c r="K25" i="9"/>
  <c r="H25" i="9"/>
  <c r="E25" i="9"/>
  <c r="AI24" i="9"/>
  <c r="AF24" i="9"/>
  <c r="AC24" i="9"/>
  <c r="Z24" i="9"/>
  <c r="W24" i="9"/>
  <c r="T24" i="9"/>
  <c r="Q24" i="9"/>
  <c r="N24" i="9"/>
  <c r="K24" i="9"/>
  <c r="H24" i="9"/>
  <c r="E24" i="9"/>
  <c r="AI23" i="9"/>
  <c r="AF23" i="9"/>
  <c r="AC23" i="9"/>
  <c r="Z23" i="9"/>
  <c r="W23" i="9"/>
  <c r="T23" i="9"/>
  <c r="Q23" i="9"/>
  <c r="N23" i="9"/>
  <c r="K23" i="9"/>
  <c r="H23" i="9"/>
  <c r="E23" i="9"/>
  <c r="AI22" i="9"/>
  <c r="AF22" i="9"/>
  <c r="AC22" i="9"/>
  <c r="Z22" i="9"/>
  <c r="W22" i="9"/>
  <c r="T22" i="9"/>
  <c r="Q22" i="9"/>
  <c r="N22" i="9"/>
  <c r="K22" i="9"/>
  <c r="H22" i="9"/>
  <c r="E22" i="9"/>
  <c r="AI21" i="9"/>
  <c r="AF21" i="9"/>
  <c r="AC21" i="9"/>
  <c r="Z21" i="9"/>
  <c r="W21" i="9"/>
  <c r="T21" i="9"/>
  <c r="Q21" i="9"/>
  <c r="N21" i="9"/>
  <c r="K21" i="9"/>
  <c r="H21" i="9"/>
  <c r="E21" i="9"/>
  <c r="AI20" i="9"/>
  <c r="AF20" i="9"/>
  <c r="AC20" i="9"/>
  <c r="Z20" i="9"/>
  <c r="W20" i="9"/>
  <c r="T20" i="9"/>
  <c r="Q20" i="9"/>
  <c r="N20" i="9"/>
  <c r="K20" i="9"/>
  <c r="H20" i="9"/>
  <c r="E20" i="9"/>
  <c r="AI19" i="9"/>
  <c r="AF19" i="9"/>
  <c r="AC19" i="9"/>
  <c r="Z19" i="9"/>
  <c r="W19" i="9"/>
  <c r="T19" i="9"/>
  <c r="Q19" i="9"/>
  <c r="N19" i="9"/>
  <c r="K19" i="9"/>
  <c r="H19" i="9"/>
  <c r="E19" i="9"/>
  <c r="AI18" i="9"/>
  <c r="AF18" i="9"/>
  <c r="AC18" i="9"/>
  <c r="Z18" i="9"/>
  <c r="W18" i="9"/>
  <c r="T18" i="9"/>
  <c r="Q18" i="9"/>
  <c r="N18" i="9"/>
  <c r="K18" i="9"/>
  <c r="H18" i="9"/>
  <c r="E18" i="9"/>
  <c r="AI17" i="9"/>
  <c r="AF17" i="9"/>
  <c r="AC17" i="9"/>
  <c r="Z17" i="9"/>
  <c r="W17" i="9"/>
  <c r="T17" i="9"/>
  <c r="Q17" i="9"/>
  <c r="N17" i="9"/>
  <c r="K17" i="9"/>
  <c r="H17" i="9"/>
  <c r="E17" i="9"/>
  <c r="AI16" i="9"/>
  <c r="AF16" i="9"/>
  <c r="AC16" i="9"/>
  <c r="Z16" i="9"/>
  <c r="W16" i="9"/>
  <c r="T16" i="9"/>
  <c r="Q16" i="9"/>
  <c r="N16" i="9"/>
  <c r="K16" i="9"/>
  <c r="H16" i="9"/>
  <c r="E16" i="9"/>
  <c r="AI15" i="9"/>
  <c r="AF15" i="9"/>
  <c r="AC15" i="9"/>
  <c r="Z15" i="9"/>
  <c r="W15" i="9"/>
  <c r="T15" i="9"/>
  <c r="Q15" i="9"/>
  <c r="N15" i="9"/>
  <c r="K15" i="9"/>
  <c r="H15" i="9"/>
  <c r="E15" i="9"/>
  <c r="AI14" i="9"/>
  <c r="AF14" i="9"/>
  <c r="AC14" i="9"/>
  <c r="Z14" i="9"/>
  <c r="W14" i="9"/>
  <c r="T14" i="9"/>
  <c r="Q14" i="9"/>
  <c r="N14" i="9"/>
  <c r="K14" i="9"/>
  <c r="H14" i="9"/>
  <c r="E14" i="9"/>
  <c r="AI13" i="9"/>
  <c r="AF13" i="9"/>
  <c r="AC13" i="9"/>
  <c r="Z13" i="9"/>
  <c r="W13" i="9"/>
  <c r="T13" i="9"/>
  <c r="Q13" i="9"/>
  <c r="N13" i="9"/>
  <c r="K13" i="9"/>
  <c r="H13" i="9"/>
  <c r="E13" i="9"/>
  <c r="AI12" i="9"/>
  <c r="AF12" i="9"/>
  <c r="AC12" i="9"/>
  <c r="Z12" i="9"/>
  <c r="W12" i="9"/>
  <c r="T12" i="9"/>
  <c r="Q12" i="9"/>
  <c r="N12" i="9"/>
  <c r="K12" i="9"/>
  <c r="H12" i="9"/>
  <c r="E12" i="9"/>
  <c r="AI11" i="9"/>
  <c r="AF11" i="9"/>
  <c r="AC11" i="9"/>
  <c r="Z11" i="9"/>
  <c r="W11" i="9"/>
  <c r="T11" i="9"/>
  <c r="Q11" i="9"/>
  <c r="N11" i="9"/>
  <c r="K11" i="9"/>
  <c r="H11" i="9"/>
  <c r="E11" i="9"/>
  <c r="AI10" i="9"/>
  <c r="AF10" i="9"/>
  <c r="AC10" i="9"/>
  <c r="Z10" i="9"/>
  <c r="W10" i="9"/>
  <c r="T10" i="9"/>
  <c r="Q10" i="9"/>
  <c r="N10" i="9"/>
  <c r="K10" i="9"/>
  <c r="H10" i="9"/>
  <c r="E10" i="9"/>
  <c r="AI9" i="9"/>
  <c r="AF9" i="9"/>
  <c r="AC9" i="9"/>
  <c r="Z9" i="9"/>
  <c r="W9" i="9"/>
  <c r="T9" i="9"/>
  <c r="Q9" i="9"/>
  <c r="N9" i="9"/>
  <c r="K9" i="9"/>
  <c r="H9" i="9"/>
  <c r="E9" i="9"/>
  <c r="AI8" i="9"/>
  <c r="AF8" i="9"/>
  <c r="AC8" i="9"/>
  <c r="Z8" i="9"/>
  <c r="W8" i="9"/>
  <c r="T8" i="9"/>
  <c r="Q8" i="9"/>
  <c r="N8" i="9"/>
  <c r="K8" i="9"/>
  <c r="H8" i="9"/>
  <c r="E8" i="9"/>
  <c r="AI7" i="9"/>
  <c r="AF7" i="9"/>
  <c r="AC7" i="9"/>
  <c r="Z7" i="9"/>
  <c r="W7" i="9"/>
  <c r="T7" i="9"/>
  <c r="Q7" i="9"/>
  <c r="N7" i="9"/>
  <c r="K7" i="9"/>
  <c r="H7" i="9"/>
  <c r="E7" i="9"/>
  <c r="AI6" i="9"/>
  <c r="AF6" i="9"/>
  <c r="AC6" i="9"/>
  <c r="Z6" i="9"/>
  <c r="W6" i="9"/>
  <c r="T6" i="9"/>
  <c r="Q6" i="9"/>
  <c r="N6" i="9"/>
  <c r="K6" i="9"/>
  <c r="H6" i="9"/>
  <c r="E6" i="9"/>
  <c r="AI5" i="9"/>
  <c r="AF5" i="9"/>
  <c r="AC5" i="9"/>
  <c r="Z5" i="9"/>
  <c r="W5" i="9"/>
  <c r="T5" i="9"/>
  <c r="Q5" i="9"/>
  <c r="N5" i="9"/>
  <c r="K5" i="9"/>
  <c r="H5" i="9"/>
  <c r="E5" i="9"/>
  <c r="N72" i="8"/>
  <c r="K72" i="8"/>
  <c r="H72" i="8"/>
  <c r="E72" i="8"/>
  <c r="N71" i="8"/>
  <c r="K71" i="8"/>
  <c r="H71" i="8"/>
  <c r="E71" i="8"/>
  <c r="N70" i="8"/>
  <c r="K70" i="8"/>
  <c r="H70" i="8"/>
  <c r="E70" i="8"/>
  <c r="N69" i="8"/>
  <c r="K69" i="8"/>
  <c r="H69" i="8"/>
  <c r="E69" i="8"/>
  <c r="N68" i="8"/>
  <c r="K68" i="8"/>
  <c r="H68" i="8"/>
  <c r="E68" i="8"/>
  <c r="N67" i="8"/>
  <c r="K67" i="8"/>
  <c r="H67" i="8"/>
  <c r="E67" i="8"/>
  <c r="N66" i="8"/>
  <c r="K66" i="8"/>
  <c r="H66" i="8"/>
  <c r="E66" i="8"/>
  <c r="N65" i="8"/>
  <c r="K65" i="8"/>
  <c r="H65" i="8"/>
  <c r="E65" i="8"/>
  <c r="N64" i="8"/>
  <c r="K64" i="8"/>
  <c r="H64" i="8"/>
  <c r="E64" i="8"/>
  <c r="N63" i="8"/>
  <c r="K63" i="8"/>
  <c r="H63" i="8"/>
  <c r="E63" i="8"/>
  <c r="N62" i="8"/>
  <c r="K62" i="8"/>
  <c r="H62" i="8"/>
  <c r="E62" i="8"/>
  <c r="N61" i="8"/>
  <c r="K61" i="8"/>
  <c r="H61" i="8"/>
  <c r="E61" i="8"/>
  <c r="N60" i="8"/>
  <c r="K60" i="8"/>
  <c r="H60" i="8"/>
  <c r="E60" i="8"/>
  <c r="N59" i="8"/>
  <c r="K59" i="8"/>
  <c r="H59" i="8"/>
  <c r="E59" i="8"/>
  <c r="N58" i="8"/>
  <c r="K58" i="8"/>
  <c r="H58" i="8"/>
  <c r="E58" i="8"/>
  <c r="N57" i="8"/>
  <c r="K57" i="8"/>
  <c r="H57" i="8"/>
  <c r="E57" i="8"/>
  <c r="N56" i="8"/>
  <c r="K56" i="8"/>
  <c r="H56" i="8"/>
  <c r="E56" i="8"/>
  <c r="N55" i="8"/>
  <c r="K55" i="8"/>
  <c r="H55" i="8"/>
  <c r="E55" i="8"/>
  <c r="N54" i="8"/>
  <c r="K54" i="8"/>
  <c r="H54" i="8"/>
  <c r="E54" i="8"/>
  <c r="N53" i="8"/>
  <c r="K53" i="8"/>
  <c r="H53" i="8"/>
  <c r="E53" i="8"/>
  <c r="N52" i="8"/>
  <c r="K52" i="8"/>
  <c r="H52" i="8"/>
  <c r="E52" i="8"/>
  <c r="N51" i="8"/>
  <c r="K51" i="8"/>
  <c r="H51" i="8"/>
  <c r="E51" i="8"/>
  <c r="N50" i="8"/>
  <c r="K50" i="8"/>
  <c r="H50" i="8"/>
  <c r="E50" i="8"/>
  <c r="N49" i="8"/>
  <c r="K49" i="8"/>
  <c r="H49" i="8"/>
  <c r="E49" i="8"/>
  <c r="N48" i="8"/>
  <c r="K48" i="8"/>
  <c r="H48" i="8"/>
  <c r="E48" i="8"/>
  <c r="N47" i="8"/>
  <c r="K47" i="8"/>
  <c r="H47" i="8"/>
  <c r="E47" i="8"/>
  <c r="N46" i="8"/>
  <c r="K46" i="8"/>
  <c r="H46" i="8"/>
  <c r="E46" i="8"/>
  <c r="N45" i="8"/>
  <c r="K45" i="8"/>
  <c r="H45" i="8"/>
  <c r="E45" i="8"/>
  <c r="N44" i="8"/>
  <c r="K44" i="8"/>
  <c r="H44" i="8"/>
  <c r="E44" i="8"/>
  <c r="N43" i="8"/>
  <c r="K43" i="8"/>
  <c r="H43" i="8"/>
  <c r="E43" i="8"/>
  <c r="N42" i="8"/>
  <c r="K42" i="8"/>
  <c r="H42" i="8"/>
  <c r="E42" i="8"/>
  <c r="N41" i="8"/>
  <c r="K41" i="8"/>
  <c r="H41" i="8"/>
  <c r="E41" i="8"/>
  <c r="N40" i="8"/>
  <c r="K40" i="8"/>
  <c r="H40" i="8"/>
  <c r="E40" i="8"/>
  <c r="N39" i="8"/>
  <c r="K39" i="8"/>
  <c r="H39" i="8"/>
  <c r="E39" i="8"/>
  <c r="N38" i="8"/>
  <c r="K38" i="8"/>
  <c r="H38" i="8"/>
  <c r="E38" i="8"/>
  <c r="N37" i="8"/>
  <c r="K37" i="8"/>
  <c r="H37" i="8"/>
  <c r="E37" i="8"/>
  <c r="N36" i="8"/>
  <c r="K36" i="8"/>
  <c r="H36" i="8"/>
  <c r="E36" i="8"/>
  <c r="N35" i="8"/>
  <c r="K35" i="8"/>
  <c r="H35" i="8"/>
  <c r="E35" i="8"/>
  <c r="N34" i="8"/>
  <c r="K34" i="8"/>
  <c r="H34" i="8"/>
  <c r="E34" i="8"/>
  <c r="N33" i="8"/>
  <c r="K33" i="8"/>
  <c r="H33" i="8"/>
  <c r="E33" i="8"/>
  <c r="N32" i="8"/>
  <c r="K32" i="8"/>
  <c r="H32" i="8"/>
  <c r="E32" i="8"/>
  <c r="N31" i="8"/>
  <c r="K31" i="8"/>
  <c r="H31" i="8"/>
  <c r="E31" i="8"/>
  <c r="N30" i="8"/>
  <c r="K30" i="8"/>
  <c r="H30" i="8"/>
  <c r="E30" i="8"/>
  <c r="N29" i="8"/>
  <c r="K29" i="8"/>
  <c r="H29" i="8"/>
  <c r="E29" i="8"/>
  <c r="N28" i="8"/>
  <c r="K28" i="8"/>
  <c r="H28" i="8"/>
  <c r="E28" i="8"/>
  <c r="N27" i="8"/>
  <c r="K27" i="8"/>
  <c r="H27" i="8"/>
  <c r="E27" i="8"/>
  <c r="N26" i="8"/>
  <c r="K26" i="8"/>
  <c r="H26" i="8"/>
  <c r="E26" i="8"/>
  <c r="N25" i="8"/>
  <c r="K25" i="8"/>
  <c r="H25" i="8"/>
  <c r="E25" i="8"/>
  <c r="N24" i="8"/>
  <c r="K24" i="8"/>
  <c r="H24" i="8"/>
  <c r="E24" i="8"/>
  <c r="N23" i="8"/>
  <c r="K23" i="8"/>
  <c r="H23" i="8"/>
  <c r="E23" i="8"/>
  <c r="N22" i="8"/>
  <c r="K22" i="8"/>
  <c r="H22" i="8"/>
  <c r="E22" i="8"/>
  <c r="N21" i="8"/>
  <c r="K21" i="8"/>
  <c r="H21" i="8"/>
  <c r="E21" i="8"/>
  <c r="N20" i="8"/>
  <c r="K20" i="8"/>
  <c r="H20" i="8"/>
  <c r="E20" i="8"/>
  <c r="N19" i="8"/>
  <c r="K19" i="8"/>
  <c r="H19" i="8"/>
  <c r="E19" i="8"/>
  <c r="N18" i="8"/>
  <c r="K18" i="8"/>
  <c r="H18" i="8"/>
  <c r="E18" i="8"/>
  <c r="N17" i="8"/>
  <c r="K17" i="8"/>
  <c r="H17" i="8"/>
  <c r="E17" i="8"/>
  <c r="N16" i="8"/>
  <c r="K16" i="8"/>
  <c r="H16" i="8"/>
  <c r="E16" i="8"/>
  <c r="N15" i="8"/>
  <c r="K15" i="8"/>
  <c r="H15" i="8"/>
  <c r="E15" i="8"/>
  <c r="N14" i="8"/>
  <c r="K14" i="8"/>
  <c r="H14" i="8"/>
  <c r="E14" i="8"/>
  <c r="N13" i="8"/>
  <c r="K13" i="8"/>
  <c r="H13" i="8"/>
  <c r="E13" i="8"/>
  <c r="N12" i="8"/>
  <c r="K12" i="8"/>
  <c r="H12" i="8"/>
  <c r="E12" i="8"/>
  <c r="N11" i="8"/>
  <c r="K11" i="8"/>
  <c r="H11" i="8"/>
  <c r="E11" i="8"/>
  <c r="N10" i="8"/>
  <c r="K10" i="8"/>
  <c r="H10" i="8"/>
  <c r="E10" i="8"/>
  <c r="N9" i="8"/>
  <c r="K9" i="8"/>
  <c r="H9" i="8"/>
  <c r="E9" i="8"/>
  <c r="N8" i="8"/>
  <c r="K8" i="8"/>
  <c r="H8" i="8"/>
  <c r="E8" i="8"/>
  <c r="N7" i="8"/>
  <c r="K7" i="8"/>
  <c r="H7" i="8"/>
  <c r="E7" i="8"/>
  <c r="N6" i="8"/>
  <c r="K6" i="8"/>
  <c r="H6" i="8"/>
  <c r="E6" i="8"/>
  <c r="N5" i="8"/>
  <c r="K5" i="8"/>
  <c r="H5" i="8"/>
  <c r="E5" i="8"/>
  <c r="N4" i="8"/>
  <c r="K4" i="8"/>
  <c r="H4" i="8"/>
  <c r="E4" i="8"/>
  <c r="AP6" i="7"/>
  <c r="AM5" i="7"/>
  <c r="AG8" i="6"/>
  <c r="AD6" i="6" s="1"/>
  <c r="AE7" i="6"/>
  <c r="AD7" i="6"/>
  <c r="AF7" i="6" s="1"/>
  <c r="AB7" i="6"/>
  <c r="AA7" i="6"/>
  <c r="Z7" i="6"/>
  <c r="Y7" i="6"/>
  <c r="X7" i="6"/>
  <c r="V7" i="6"/>
  <c r="U7" i="6"/>
  <c r="W7" i="6" s="1"/>
  <c r="S7" i="6"/>
  <c r="R7" i="6"/>
  <c r="T7" i="6" s="1"/>
  <c r="P7" i="6"/>
  <c r="O7" i="6"/>
  <c r="Q7" i="6" s="1"/>
  <c r="M7" i="6"/>
  <c r="L7" i="6"/>
  <c r="N7" i="6" s="1"/>
  <c r="J7" i="6"/>
  <c r="I7" i="6"/>
  <c r="G7" i="6"/>
  <c r="F7" i="6"/>
  <c r="H7" i="6" s="1"/>
  <c r="D7" i="6"/>
  <c r="C7" i="6"/>
  <c r="AA6" i="6"/>
  <c r="Y74" i="5"/>
  <c r="X74" i="5"/>
  <c r="Z74" i="5" s="1"/>
  <c r="Y73" i="5"/>
  <c r="X73" i="5"/>
  <c r="Z73" i="5" s="1"/>
  <c r="Y72" i="5"/>
  <c r="X72" i="5"/>
  <c r="Y71" i="5"/>
  <c r="X71" i="5"/>
  <c r="Y70" i="5"/>
  <c r="X70" i="5"/>
  <c r="Y69" i="5"/>
  <c r="X69" i="5"/>
  <c r="Z69" i="5" s="1"/>
  <c r="Y68" i="5"/>
  <c r="X68" i="5"/>
  <c r="Z68" i="5" s="1"/>
  <c r="Y67" i="5"/>
  <c r="X67" i="5"/>
  <c r="Z66" i="5"/>
  <c r="Y66" i="5"/>
  <c r="X66" i="5"/>
  <c r="Y65" i="5"/>
  <c r="X65" i="5"/>
  <c r="Z65" i="5" s="1"/>
  <c r="Y64" i="5"/>
  <c r="X64" i="5"/>
  <c r="Z64" i="5" s="1"/>
  <c r="Y63" i="5"/>
  <c r="X63" i="5"/>
  <c r="Z63" i="5" s="1"/>
  <c r="Y62" i="5"/>
  <c r="X62" i="5"/>
  <c r="Z62" i="5" s="1"/>
  <c r="Y61" i="5"/>
  <c r="X61" i="5"/>
  <c r="Y60" i="5"/>
  <c r="X60" i="5"/>
  <c r="Z60" i="5" s="1"/>
  <c r="Y59" i="5"/>
  <c r="X59" i="5"/>
  <c r="Y58" i="5"/>
  <c r="X58" i="5"/>
  <c r="Z58" i="5" s="1"/>
  <c r="Y57" i="5"/>
  <c r="X57" i="5"/>
  <c r="Y56" i="5"/>
  <c r="X56" i="5"/>
  <c r="Z56" i="5" s="1"/>
  <c r="Y55" i="5"/>
  <c r="X55" i="5"/>
  <c r="Y54" i="5"/>
  <c r="X54" i="5"/>
  <c r="Z54" i="5" s="1"/>
  <c r="Y53" i="5"/>
  <c r="X53" i="5"/>
  <c r="Z53" i="5" s="1"/>
  <c r="Y52" i="5"/>
  <c r="X52" i="5"/>
  <c r="Z52" i="5" s="1"/>
  <c r="Y51" i="5"/>
  <c r="X51" i="5"/>
  <c r="Z51" i="5" s="1"/>
  <c r="Y50" i="5"/>
  <c r="X50" i="5"/>
  <c r="Z50" i="5" s="1"/>
  <c r="Y49" i="5"/>
  <c r="X49" i="5"/>
  <c r="Y48" i="5"/>
  <c r="X48" i="5"/>
  <c r="Z48" i="5" s="1"/>
  <c r="Y47" i="5"/>
  <c r="X47" i="5"/>
  <c r="Y46" i="5"/>
  <c r="X46" i="5"/>
  <c r="Z46" i="5" s="1"/>
  <c r="Y45" i="5"/>
  <c r="X45" i="5"/>
  <c r="Z45" i="5" s="1"/>
  <c r="Y44" i="5"/>
  <c r="X44" i="5"/>
  <c r="Z44" i="5" s="1"/>
  <c r="Y43" i="5"/>
  <c r="X43" i="5"/>
  <c r="Y42" i="5"/>
  <c r="Z42" i="5" s="1"/>
  <c r="X42" i="5"/>
  <c r="Y41" i="5"/>
  <c r="X41" i="5"/>
  <c r="Z41" i="5" s="1"/>
  <c r="Y40" i="5"/>
  <c r="X40" i="5"/>
  <c r="Z40" i="5" s="1"/>
  <c r="Y39" i="5"/>
  <c r="X39" i="5"/>
  <c r="Z39" i="5" s="1"/>
  <c r="Z38" i="5"/>
  <c r="Y38" i="5"/>
  <c r="X38" i="5"/>
  <c r="Y37" i="5"/>
  <c r="X37" i="5"/>
  <c r="Z37" i="5" s="1"/>
  <c r="Y36" i="5"/>
  <c r="X36" i="5"/>
  <c r="Z36" i="5" s="1"/>
  <c r="Y35" i="5"/>
  <c r="X35" i="5"/>
  <c r="Z35" i="5" s="1"/>
  <c r="Y34" i="5"/>
  <c r="X34" i="5"/>
  <c r="Z34" i="5" s="1"/>
  <c r="Y33" i="5"/>
  <c r="X33" i="5"/>
  <c r="Y32" i="5"/>
  <c r="X32" i="5"/>
  <c r="Y31" i="5"/>
  <c r="X31" i="5"/>
  <c r="Z31" i="5" s="1"/>
  <c r="Y30" i="5"/>
  <c r="X30" i="5"/>
  <c r="Z30" i="5" s="1"/>
  <c r="Y29" i="5"/>
  <c r="X29" i="5"/>
  <c r="Y28" i="5"/>
  <c r="X28" i="5"/>
  <c r="Z28" i="5" s="1"/>
  <c r="Y27" i="5"/>
  <c r="X27" i="5"/>
  <c r="Z27" i="5" s="1"/>
  <c r="Y26" i="5"/>
  <c r="X26" i="5"/>
  <c r="Y25" i="5"/>
  <c r="X25" i="5"/>
  <c r="Z25" i="5" s="1"/>
  <c r="Y24" i="5"/>
  <c r="X24" i="5"/>
  <c r="Z24" i="5" s="1"/>
  <c r="Y23" i="5"/>
  <c r="X23" i="5"/>
  <c r="Y22" i="5"/>
  <c r="X22" i="5"/>
  <c r="Z22" i="5" s="1"/>
  <c r="Y21" i="5"/>
  <c r="X21" i="5"/>
  <c r="Z21" i="5" s="1"/>
  <c r="Y20" i="5"/>
  <c r="X20" i="5"/>
  <c r="Y19" i="5"/>
  <c r="X19" i="5"/>
  <c r="Y18" i="5"/>
  <c r="X18" i="5"/>
  <c r="Z18" i="5" s="1"/>
  <c r="Y17" i="5"/>
  <c r="X17" i="5"/>
  <c r="Z17" i="5" s="1"/>
  <c r="Y16" i="5"/>
  <c r="X16" i="5"/>
  <c r="Z16" i="5" s="1"/>
  <c r="Y15" i="5"/>
  <c r="X15" i="5"/>
  <c r="Y14" i="5"/>
  <c r="X14" i="5"/>
  <c r="Z14" i="5" s="1"/>
  <c r="Y13" i="5"/>
  <c r="X13" i="5"/>
  <c r="Z13" i="5" s="1"/>
  <c r="Y12" i="5"/>
  <c r="X12" i="5"/>
  <c r="Z12" i="5" s="1"/>
  <c r="Y11" i="5"/>
  <c r="X11" i="5"/>
  <c r="Z11" i="5" s="1"/>
  <c r="Y10" i="5"/>
  <c r="X10" i="5"/>
  <c r="Y9" i="5"/>
  <c r="Z9" i="5" s="1"/>
  <c r="X9" i="5"/>
  <c r="Y8" i="5"/>
  <c r="X8" i="5"/>
  <c r="Z8" i="5" s="1"/>
  <c r="Y7" i="5"/>
  <c r="X7" i="5"/>
  <c r="Z7" i="5" s="1"/>
  <c r="Y6" i="5"/>
  <c r="X6" i="5"/>
  <c r="Z6" i="5" s="1"/>
  <c r="X5" i="5"/>
  <c r="U5" i="5"/>
  <c r="E16" i="4"/>
  <c r="E15" i="4"/>
  <c r="I73" i="3"/>
  <c r="H72" i="3"/>
  <c r="G72" i="3"/>
  <c r="F72" i="3"/>
  <c r="E72" i="3"/>
  <c r="H67" i="3"/>
  <c r="G67" i="3"/>
  <c r="F67" i="3"/>
  <c r="E67" i="3"/>
  <c r="H62" i="3"/>
  <c r="G62" i="3"/>
  <c r="E14" i="4" s="1"/>
  <c r="F62" i="3"/>
  <c r="E62" i="3"/>
  <c r="N61" i="3"/>
  <c r="H56" i="3"/>
  <c r="G56" i="3"/>
  <c r="E13" i="4" s="1"/>
  <c r="F56" i="3"/>
  <c r="E56" i="3"/>
  <c r="H49" i="3"/>
  <c r="G49" i="3"/>
  <c r="E12" i="4" s="1"/>
  <c r="F49" i="3"/>
  <c r="E49" i="3"/>
  <c r="H43" i="3"/>
  <c r="G43" i="3"/>
  <c r="E11" i="4" s="1"/>
  <c r="F43" i="3"/>
  <c r="E43" i="3"/>
  <c r="H38" i="3"/>
  <c r="G38" i="3"/>
  <c r="E10" i="4" s="1"/>
  <c r="F38" i="3"/>
  <c r="E38" i="3"/>
  <c r="H33" i="3"/>
  <c r="G33" i="3"/>
  <c r="E9" i="4" s="1"/>
  <c r="F33" i="3"/>
  <c r="E33" i="3"/>
  <c r="H28" i="3"/>
  <c r="G28" i="3"/>
  <c r="E8" i="4" s="1"/>
  <c r="F28" i="3"/>
  <c r="E28" i="3"/>
  <c r="H22" i="3"/>
  <c r="G22" i="3"/>
  <c r="E7" i="4" s="1"/>
  <c r="F22" i="3"/>
  <c r="E22" i="3"/>
  <c r="H15" i="3"/>
  <c r="G15" i="3"/>
  <c r="E6" i="4" s="1"/>
  <c r="F15" i="3"/>
  <c r="E15" i="3"/>
  <c r="H9" i="3"/>
  <c r="G9" i="3"/>
  <c r="E5" i="4" s="1"/>
  <c r="F9" i="3"/>
  <c r="F73" i="3" s="1"/>
  <c r="E9" i="3"/>
  <c r="G71" i="2"/>
  <c r="F71" i="2"/>
  <c r="E71" i="2"/>
  <c r="H71" i="2" s="1"/>
  <c r="H70" i="2"/>
  <c r="H69" i="2"/>
  <c r="H68" i="2"/>
  <c r="H67" i="2"/>
  <c r="G66" i="2"/>
  <c r="F66" i="2"/>
  <c r="E66" i="2"/>
  <c r="H66" i="2" s="1"/>
  <c r="H65" i="2"/>
  <c r="H64" i="2"/>
  <c r="H63" i="2"/>
  <c r="H62" i="2"/>
  <c r="G61" i="2"/>
  <c r="F61" i="2"/>
  <c r="E61" i="2"/>
  <c r="H61" i="2" s="1"/>
  <c r="H60" i="2"/>
  <c r="H59" i="2"/>
  <c r="H58" i="2"/>
  <c r="H57" i="2"/>
  <c r="H56" i="2"/>
  <c r="G55" i="2"/>
  <c r="F55" i="2"/>
  <c r="E55" i="2"/>
  <c r="H54" i="2"/>
  <c r="H53" i="2"/>
  <c r="H52" i="2"/>
  <c r="H51" i="2"/>
  <c r="H50" i="2"/>
  <c r="H49" i="2"/>
  <c r="H48" i="2"/>
  <c r="G48" i="2"/>
  <c r="F48" i="2"/>
  <c r="E48" i="2"/>
  <c r="H47" i="2"/>
  <c r="H46" i="2"/>
  <c r="H45" i="2"/>
  <c r="H44" i="2"/>
  <c r="H43" i="2"/>
  <c r="G42" i="2"/>
  <c r="F42" i="2"/>
  <c r="E42" i="2"/>
  <c r="H42" i="2" s="1"/>
  <c r="H41" i="2"/>
  <c r="H40" i="2"/>
  <c r="H39" i="2"/>
  <c r="H38" i="2"/>
  <c r="G37" i="2"/>
  <c r="F37" i="2"/>
  <c r="E37" i="2"/>
  <c r="H37" i="2" s="1"/>
  <c r="H36" i="2"/>
  <c r="H35" i="2"/>
  <c r="H34" i="2"/>
  <c r="H33" i="2"/>
  <c r="G32" i="2"/>
  <c r="F32" i="2"/>
  <c r="E32" i="2"/>
  <c r="H31" i="2"/>
  <c r="H30" i="2"/>
  <c r="H29" i="2"/>
  <c r="H28" i="2"/>
  <c r="G27" i="2"/>
  <c r="F27" i="2"/>
  <c r="E27" i="2"/>
  <c r="H26" i="2"/>
  <c r="H25" i="2"/>
  <c r="H24" i="2"/>
  <c r="H23" i="2"/>
  <c r="H22" i="2"/>
  <c r="G21" i="2"/>
  <c r="F21" i="2"/>
  <c r="E21" i="2"/>
  <c r="H20" i="2"/>
  <c r="H19" i="2"/>
  <c r="H18" i="2"/>
  <c r="H17" i="2"/>
  <c r="H16" i="2"/>
  <c r="H15" i="2"/>
  <c r="G14" i="2"/>
  <c r="F14" i="2"/>
  <c r="E14" i="2"/>
  <c r="H13" i="2"/>
  <c r="H12" i="2"/>
  <c r="H11" i="2"/>
  <c r="H10" i="2"/>
  <c r="H9" i="2"/>
  <c r="G8" i="2"/>
  <c r="F8" i="2"/>
  <c r="E8" i="2"/>
  <c r="H8" i="2" s="1"/>
  <c r="H7" i="2"/>
  <c r="H6" i="2"/>
  <c r="H5" i="2"/>
  <c r="H4" i="2"/>
  <c r="M73" i="1"/>
  <c r="H72" i="1"/>
  <c r="G72" i="1"/>
  <c r="F72" i="1"/>
  <c r="I71" i="1"/>
  <c r="I70" i="1"/>
  <c r="I69" i="1"/>
  <c r="I68" i="1"/>
  <c r="H67" i="1"/>
  <c r="G67" i="1"/>
  <c r="F67" i="1"/>
  <c r="I66" i="1"/>
  <c r="I65" i="1"/>
  <c r="I64" i="1"/>
  <c r="I63" i="1"/>
  <c r="H62" i="1"/>
  <c r="G62" i="1"/>
  <c r="F62" i="1"/>
  <c r="I61" i="1"/>
  <c r="I60" i="1"/>
  <c r="I59" i="1"/>
  <c r="I58" i="1"/>
  <c r="I57" i="1"/>
  <c r="H56" i="1"/>
  <c r="G56" i="1"/>
  <c r="F56" i="1"/>
  <c r="I55" i="1"/>
  <c r="I54" i="1"/>
  <c r="I53" i="1"/>
  <c r="I52" i="1"/>
  <c r="I51" i="1"/>
  <c r="I50" i="1"/>
  <c r="H49" i="1"/>
  <c r="G49" i="1"/>
  <c r="F49" i="1"/>
  <c r="I48" i="1"/>
  <c r="I47" i="1"/>
  <c r="I46" i="1"/>
  <c r="I45" i="1"/>
  <c r="I44" i="1"/>
  <c r="H43" i="1"/>
  <c r="G43" i="1"/>
  <c r="F43" i="1"/>
  <c r="I42" i="1"/>
  <c r="I41" i="1"/>
  <c r="I40" i="1"/>
  <c r="I39" i="1"/>
  <c r="H38" i="1"/>
  <c r="G38" i="1"/>
  <c r="F38" i="1"/>
  <c r="I37" i="1"/>
  <c r="I36" i="1"/>
  <c r="I35" i="1"/>
  <c r="I34" i="1"/>
  <c r="H33" i="1"/>
  <c r="G33" i="1"/>
  <c r="F33" i="1"/>
  <c r="I32" i="1"/>
  <c r="I31" i="1"/>
  <c r="I30" i="1"/>
  <c r="I29" i="1"/>
  <c r="H28" i="1"/>
  <c r="G28" i="1"/>
  <c r="F28" i="1"/>
  <c r="I27" i="1"/>
  <c r="I26" i="1"/>
  <c r="I25" i="1"/>
  <c r="I24" i="1"/>
  <c r="I23" i="1"/>
  <c r="H22" i="1"/>
  <c r="G22" i="1"/>
  <c r="F22" i="1"/>
  <c r="I21" i="1"/>
  <c r="I20" i="1"/>
  <c r="I19" i="1"/>
  <c r="I18" i="1"/>
  <c r="I17" i="1"/>
  <c r="I16" i="1"/>
  <c r="H15" i="1"/>
  <c r="G15" i="1"/>
  <c r="F15" i="1"/>
  <c r="I14" i="1"/>
  <c r="I13" i="1"/>
  <c r="I12" i="1"/>
  <c r="I11" i="1"/>
  <c r="I10" i="1"/>
  <c r="H9" i="1"/>
  <c r="G9" i="1"/>
  <c r="F9" i="1"/>
  <c r="F73" i="1" s="1"/>
  <c r="I8" i="1"/>
  <c r="I7" i="1"/>
  <c r="I6" i="1"/>
  <c r="I5" i="1"/>
  <c r="NE5" i="12" l="1"/>
  <c r="NG60" i="12"/>
  <c r="Z10" i="5"/>
  <c r="Z59" i="5"/>
  <c r="Z70" i="5"/>
  <c r="E7" i="6"/>
  <c r="NJ16" i="12"/>
  <c r="NG20" i="12"/>
  <c r="NJ25" i="12"/>
  <c r="NJ37" i="12"/>
  <c r="NG41" i="12"/>
  <c r="NG53" i="12"/>
  <c r="NJ58" i="12"/>
  <c r="NG62" i="12"/>
  <c r="NG69" i="12"/>
  <c r="Z29" i="5"/>
  <c r="G73" i="1"/>
  <c r="H73" i="1"/>
  <c r="O73" i="1" s="1"/>
  <c r="NH7" i="12"/>
  <c r="H14" i="2"/>
  <c r="H32" i="2"/>
  <c r="H73" i="3"/>
  <c r="Z20" i="5"/>
  <c r="Z26" i="5"/>
  <c r="Z32" i="5"/>
  <c r="Z49" i="5"/>
  <c r="NH6" i="12"/>
  <c r="NG24" i="12"/>
  <c r="NG36" i="12"/>
  <c r="NG45" i="12"/>
  <c r="NJ48" i="12"/>
  <c r="NG50" i="12"/>
  <c r="NG57" i="12"/>
  <c r="Z33" i="5"/>
  <c r="Z57" i="5"/>
  <c r="E73" i="3"/>
  <c r="Z55" i="5"/>
  <c r="Z61" i="5"/>
  <c r="Z72" i="5"/>
  <c r="K7" i="6"/>
  <c r="NG17" i="12"/>
  <c r="NJ22" i="12"/>
  <c r="NG26" i="12"/>
  <c r="NJ34" i="12"/>
  <c r="NG38" i="12"/>
  <c r="NJ43" i="12"/>
  <c r="NJ55" i="12"/>
  <c r="NG59" i="12"/>
  <c r="F72" i="2"/>
  <c r="O5" i="5"/>
  <c r="F5" i="5"/>
  <c r="L5" i="5"/>
  <c r="I5" i="5"/>
  <c r="R5" i="5"/>
  <c r="C5" i="5"/>
  <c r="E17" i="4"/>
  <c r="F11" i="4" s="1"/>
  <c r="F5" i="4"/>
  <c r="G73" i="3"/>
  <c r="E72" i="2"/>
  <c r="H27" i="2"/>
  <c r="F74" i="1"/>
  <c r="I73" i="1"/>
  <c r="F6" i="4"/>
  <c r="F9" i="4"/>
  <c r="G72" i="2"/>
  <c r="I8" i="2" s="1"/>
  <c r="H21" i="2"/>
  <c r="H55" i="2"/>
  <c r="Z15" i="5"/>
  <c r="AG5" i="7"/>
  <c r="AD5" i="7"/>
  <c r="AA5" i="7"/>
  <c r="X5" i="7"/>
  <c r="AJ5" i="7"/>
  <c r="U5" i="7"/>
  <c r="R5" i="7"/>
  <c r="O5" i="7"/>
  <c r="L5" i="7"/>
  <c r="I5" i="7"/>
  <c r="F5" i="7"/>
  <c r="C5" i="7"/>
  <c r="O6" i="6"/>
  <c r="F6" i="6"/>
  <c r="L6" i="6"/>
  <c r="I6" i="6"/>
  <c r="NE6" i="12"/>
  <c r="AG3" i="6"/>
  <c r="NE7" i="12"/>
  <c r="F7" i="4"/>
  <c r="C6" i="6"/>
  <c r="Z23" i="5"/>
  <c r="Z47" i="5"/>
  <c r="Z71" i="5"/>
  <c r="R6" i="6"/>
  <c r="NJ18" i="12"/>
  <c r="NJ36" i="12"/>
  <c r="NJ54" i="12"/>
  <c r="NJ72" i="12"/>
  <c r="U6" i="6"/>
  <c r="Z19" i="5"/>
  <c r="Z43" i="5"/>
  <c r="Z67" i="5"/>
  <c r="X6" i="6"/>
  <c r="AC7" i="6"/>
  <c r="NJ15" i="12"/>
  <c r="NJ33" i="12"/>
  <c r="NJ51" i="12"/>
  <c r="NJ69" i="12"/>
  <c r="I61" i="2" l="1"/>
  <c r="F10" i="4"/>
  <c r="I27" i="2"/>
  <c r="NH5" i="12"/>
  <c r="F15" i="4"/>
  <c r="F14" i="4"/>
  <c r="F13" i="4"/>
  <c r="I66" i="2"/>
  <c r="G74" i="1"/>
  <c r="H74" i="1" s="1"/>
  <c r="I42" i="2"/>
  <c r="I32" i="2"/>
  <c r="F12" i="4"/>
  <c r="I55" i="2"/>
  <c r="I21" i="2"/>
  <c r="F16" i="4"/>
  <c r="F8" i="4"/>
  <c r="AG6" i="6"/>
  <c r="E73" i="2"/>
  <c r="H72" i="2"/>
  <c r="I57" i="2"/>
  <c r="I33" i="2"/>
  <c r="I24" i="2"/>
  <c r="I9" i="2"/>
  <c r="I51" i="2"/>
  <c r="I52" i="2"/>
  <c r="I28" i="2"/>
  <c r="I19" i="2"/>
  <c r="I4" i="2"/>
  <c r="I56" i="2"/>
  <c r="I47" i="2"/>
  <c r="I23" i="2"/>
  <c r="I65" i="2"/>
  <c r="I54" i="2"/>
  <c r="I31" i="2"/>
  <c r="I26" i="2"/>
  <c r="I14" i="2"/>
  <c r="I70" i="2"/>
  <c r="I59" i="2"/>
  <c r="I20" i="2"/>
  <c r="I64" i="2"/>
  <c r="I53" i="2"/>
  <c r="I36" i="2"/>
  <c r="I30" i="2"/>
  <c r="I25" i="2"/>
  <c r="I69" i="2"/>
  <c r="I58" i="2"/>
  <c r="I41" i="2"/>
  <c r="I63" i="2"/>
  <c r="I46" i="2"/>
  <c r="I35" i="2"/>
  <c r="I29" i="2"/>
  <c r="I18" i="2"/>
  <c r="I13" i="2"/>
  <c r="I68" i="2"/>
  <c r="I40" i="2"/>
  <c r="I7" i="2"/>
  <c r="I62" i="2"/>
  <c r="I50" i="2"/>
  <c r="I45" i="2"/>
  <c r="I34" i="2"/>
  <c r="I22" i="2"/>
  <c r="I17" i="2"/>
  <c r="I12" i="2"/>
  <c r="I67" i="2"/>
  <c r="I39" i="2"/>
  <c r="I6" i="2"/>
  <c r="I49" i="2"/>
  <c r="I44" i="2"/>
  <c r="I16" i="2"/>
  <c r="I11" i="2"/>
  <c r="I38" i="2"/>
  <c r="I5" i="2"/>
  <c r="I60" i="2"/>
  <c r="I43" i="2"/>
  <c r="I10" i="2"/>
  <c r="I48" i="2"/>
  <c r="I15" i="2"/>
  <c r="I71" i="2"/>
  <c r="I37" i="2"/>
  <c r="F17" i="4"/>
  <c r="F73" i="2"/>
  <c r="I72" i="2" l="1"/>
  <c r="H73" i="2"/>
  <c r="G73" i="2"/>
  <c r="I73" i="2" l="1"/>
</calcChain>
</file>

<file path=xl/sharedStrings.xml><?xml version="1.0" encoding="utf-8"?>
<sst xmlns="http://schemas.openxmlformats.org/spreadsheetml/2006/main" count="3322" uniqueCount="959">
  <si>
    <t>JUMLAH PENDUDUK KOTA BEKASI (LAKI-LAKI &amp; PEREMPUAN) SEMESTER 1 TAHUN 2026</t>
  </si>
  <si>
    <t>NOKEC</t>
  </si>
  <si>
    <t>NO_KEL</t>
  </si>
  <si>
    <t>NAMA_KEC</t>
  </si>
  <si>
    <t>NAMA_KEL</t>
  </si>
  <si>
    <t>LAKI-LAKI</t>
  </si>
  <si>
    <t>PEREMPUAN</t>
  </si>
  <si>
    <t>JUMLAH</t>
  </si>
  <si>
    <t>RASIO JK</t>
  </si>
  <si>
    <t>NO</t>
  </si>
  <si>
    <t>KECAMATAN</t>
  </si>
  <si>
    <t>PENDUDUK (LK)</t>
  </si>
  <si>
    <t>PENDUDUK (PR)</t>
  </si>
  <si>
    <t>PENDUDUK (JML)</t>
  </si>
  <si>
    <t>KODE</t>
  </si>
  <si>
    <t>WILAYAH</t>
  </si>
  <si>
    <t>L</t>
  </si>
  <si>
    <t>P</t>
  </si>
  <si>
    <t>JML</t>
  </si>
  <si>
    <t>BEKASIJAYA</t>
  </si>
  <si>
    <t>BEKASI TIMUR</t>
  </si>
  <si>
    <t>32.75</t>
  </si>
  <si>
    <t>KOTA BEKASI</t>
  </si>
  <si>
    <t>MARGAHAYU</t>
  </si>
  <si>
    <t>32.75.01</t>
  </si>
  <si>
    <t>DURENJAYA</t>
  </si>
  <si>
    <t>32.75.01.1001</t>
  </si>
  <si>
    <t>ARENJAYA</t>
  </si>
  <si>
    <t>32.75.01.1002</t>
  </si>
  <si>
    <t>32.75.01.1003</t>
  </si>
  <si>
    <t>BINTARA</t>
  </si>
  <si>
    <t>TOTAL</t>
  </si>
  <si>
    <t>32.75.01.1004</t>
  </si>
  <si>
    <t>KRANJI</t>
  </si>
  <si>
    <t>BEKASI BARAT</t>
  </si>
  <si>
    <t>32.75.02</t>
  </si>
  <si>
    <t>KOTABARU</t>
  </si>
  <si>
    <t>32.75.02.1001</t>
  </si>
  <si>
    <t>BINTARAJAYA</t>
  </si>
  <si>
    <t>32.75.02.1002</t>
  </si>
  <si>
    <t>JAKASAMPURNA</t>
  </si>
  <si>
    <t>32.75.02.1003</t>
  </si>
  <si>
    <t>32.75.02.1004</t>
  </si>
  <si>
    <t>KALIABANG TENGAH</t>
  </si>
  <si>
    <t>32.75.02.1005</t>
  </si>
  <si>
    <t>PERWIRA</t>
  </si>
  <si>
    <t>32.75.03</t>
  </si>
  <si>
    <t>BEKASI UTARA</t>
  </si>
  <si>
    <t>HARAPANBARU</t>
  </si>
  <si>
    <t>32.75.03.1001</t>
  </si>
  <si>
    <t>TELUK PUCUNG</t>
  </si>
  <si>
    <t>32.75.03.1002</t>
  </si>
  <si>
    <t>MARGAMULYA</t>
  </si>
  <si>
    <t>32.75.03.1003</t>
  </si>
  <si>
    <t>HARAPANJAYA</t>
  </si>
  <si>
    <t>32.75.03.1004</t>
  </si>
  <si>
    <t>32.75.03.1005</t>
  </si>
  <si>
    <t>PEKAYONJAYA</t>
  </si>
  <si>
    <t>32.75.03.1006</t>
  </si>
  <si>
    <t>MARGAJAYA</t>
  </si>
  <si>
    <t>32.75.04</t>
  </si>
  <si>
    <t>BEKASI SELATAN</t>
  </si>
  <si>
    <t>JAKAMULYA</t>
  </si>
  <si>
    <t>32.75.04.1001</t>
  </si>
  <si>
    <t>JAKASETIA</t>
  </si>
  <si>
    <t>32.75.04.1002</t>
  </si>
  <si>
    <t>KAYURINGINJAYA</t>
  </si>
  <si>
    <t>32.75.04.1003</t>
  </si>
  <si>
    <t>32.75.04.1004</t>
  </si>
  <si>
    <t>BOJONG RAWALUMBU</t>
  </si>
  <si>
    <t>32.75.04.1005</t>
  </si>
  <si>
    <t>PENGASINAN</t>
  </si>
  <si>
    <t>32.75.05</t>
  </si>
  <si>
    <t>RAWALUMBU</t>
  </si>
  <si>
    <t>SEPANJANGJAYA</t>
  </si>
  <si>
    <t>32.75.05.1001</t>
  </si>
  <si>
    <t>BOJONGMENTENG</t>
  </si>
  <si>
    <t>32.75.05.1002</t>
  </si>
  <si>
    <t>32.75.05.1003</t>
  </si>
  <si>
    <t>MEDANSATRIA</t>
  </si>
  <si>
    <t>32.75.05.1004</t>
  </si>
  <si>
    <t>HARAPANMULYA</t>
  </si>
  <si>
    <t>32.75.06</t>
  </si>
  <si>
    <t>PEJUANG</t>
  </si>
  <si>
    <t>32.75.06.1001</t>
  </si>
  <si>
    <t>KALIBARU</t>
  </si>
  <si>
    <t>32.75.06.1002</t>
  </si>
  <si>
    <t>MEDAN SATRIA</t>
  </si>
  <si>
    <t>32.75.06.1003</t>
  </si>
  <si>
    <t>BANTARGEBANG</t>
  </si>
  <si>
    <t>32.75.06.1004</t>
  </si>
  <si>
    <t>CIKIWUL</t>
  </si>
  <si>
    <t>32.75.07</t>
  </si>
  <si>
    <t>CIKETINGUDIK</t>
  </si>
  <si>
    <t>32.75.07.1003</t>
  </si>
  <si>
    <t>SUMURBATU</t>
  </si>
  <si>
    <t>32.75.07.1004</t>
  </si>
  <si>
    <t>32.75.07.1007</t>
  </si>
  <si>
    <t>JATIWARINGIN</t>
  </si>
  <si>
    <t>32.75.07.1008</t>
  </si>
  <si>
    <t>JATIBENING</t>
  </si>
  <si>
    <t>32.75.08</t>
  </si>
  <si>
    <t>PONDOKGEDE</t>
  </si>
  <si>
    <t>JATIMAKMUR</t>
  </si>
  <si>
    <t>32.75.08.1001</t>
  </si>
  <si>
    <t>JATIBENING BARU</t>
  </si>
  <si>
    <t>32.75.08.1002</t>
  </si>
  <si>
    <t>JATICEMPAKA</t>
  </si>
  <si>
    <t>32.75.08.1003</t>
  </si>
  <si>
    <t>32.75.08.1006</t>
  </si>
  <si>
    <t>JATIMEKAR</t>
  </si>
  <si>
    <t>32.75.08.1007</t>
  </si>
  <si>
    <t>JATIASIH</t>
  </si>
  <si>
    <t>32.75.09</t>
  </si>
  <si>
    <t>JATIKRAMAT</t>
  </si>
  <si>
    <t>32.75.09.1001</t>
  </si>
  <si>
    <t>JATIRASA</t>
  </si>
  <si>
    <t>32.75.09.1002</t>
  </si>
  <si>
    <t>JATILUHUR</t>
  </si>
  <si>
    <t>32.75.09.1003</t>
  </si>
  <si>
    <t>JATISARI</t>
  </si>
  <si>
    <t>32.75.09.1004</t>
  </si>
  <si>
    <t>32.75.09.1005</t>
  </si>
  <si>
    <t>JATISAMPURNA</t>
  </si>
  <si>
    <t>32.75.09.1006</t>
  </si>
  <si>
    <t>JATIKARYA</t>
  </si>
  <si>
    <t>32.75.10</t>
  </si>
  <si>
    <t>JATIRANGGON</t>
  </si>
  <si>
    <t>32.75.10.1001</t>
  </si>
  <si>
    <t>JATIRANGGA</t>
  </si>
  <si>
    <t>32.75.10.1002</t>
  </si>
  <si>
    <t>JATIRADEN</t>
  </si>
  <si>
    <t>32.75.10.1003</t>
  </si>
  <si>
    <t>32.75.10.1004</t>
  </si>
  <si>
    <t>PADURENAN</t>
  </si>
  <si>
    <t>32.75.10.1005</t>
  </si>
  <si>
    <t>CIMUNING</t>
  </si>
  <si>
    <t>32.75.11</t>
  </si>
  <si>
    <t>MUSTIKAJAYA</t>
  </si>
  <si>
    <t>32.75.11.1001</t>
  </si>
  <si>
    <t>MUSTIKASARI</t>
  </si>
  <si>
    <t>32.75.11.1002</t>
  </si>
  <si>
    <t>MUSTIKA JAYA</t>
  </si>
  <si>
    <t>32.75.11.1003</t>
  </si>
  <si>
    <t>JATIRAHAYU</t>
  </si>
  <si>
    <t>32.75.11.1004</t>
  </si>
  <si>
    <t>JATIWARNA</t>
  </si>
  <si>
    <t>32.75.12</t>
  </si>
  <si>
    <t>PONDOKMELATI</t>
  </si>
  <si>
    <t>JATIMELATI</t>
  </si>
  <si>
    <t>32.75.12.1001</t>
  </si>
  <si>
    <t>JATIMURNI</t>
  </si>
  <si>
    <t>32.75.12.1002</t>
  </si>
  <si>
    <t>PONDOK MELATI</t>
  </si>
  <si>
    <t>32.75.12.1003</t>
  </si>
  <si>
    <t>32.75.12.1004</t>
  </si>
  <si>
    <t>PROSENTASE (%)</t>
  </si>
  <si>
    <t xml:space="preserve"> </t>
  </si>
  <si>
    <t>JUMDUK SEMESTER 2/2023</t>
  </si>
  <si>
    <t>JUMDUK SEMESTER 1/2023</t>
  </si>
  <si>
    <t>TOTAL SELURUH</t>
  </si>
  <si>
    <t>NO_KEC</t>
  </si>
  <si>
    <t>BEKASI JAYA</t>
  </si>
  <si>
    <t>DUREN JAYA</t>
  </si>
  <si>
    <t>AREN JAYA</t>
  </si>
  <si>
    <t>KOTA BARU</t>
  </si>
  <si>
    <t>BINTARA JAYA</t>
  </si>
  <si>
    <t>JAKA SAMPURNA</t>
  </si>
  <si>
    <t>HARAPAN BARU</t>
  </si>
  <si>
    <t>MARGA MULYA</t>
  </si>
  <si>
    <t>HARAPAN JAYA</t>
  </si>
  <si>
    <t>PEKAYON JAYA</t>
  </si>
  <si>
    <t>MARGA JAYA</t>
  </si>
  <si>
    <t>JAKA MULYA</t>
  </si>
  <si>
    <t>JAKA SETIA</t>
  </si>
  <si>
    <t>KAYURINGIN JAYA</t>
  </si>
  <si>
    <t>SEPANJANG JAYA</t>
  </si>
  <si>
    <t>BOJONG MENTENG</t>
  </si>
  <si>
    <t>HARAPAN MULYA</t>
  </si>
  <si>
    <t>KALI BARU</t>
  </si>
  <si>
    <t>BANTAR GEBANG</t>
  </si>
  <si>
    <t>SUMUR BATU</t>
  </si>
  <si>
    <t>JATI WARINGIN</t>
  </si>
  <si>
    <t>JATI BENING</t>
  </si>
  <si>
    <t>JATI MAKMUR</t>
  </si>
  <si>
    <t>JATI BENING BARU</t>
  </si>
  <si>
    <t>JATI CEMPAKA</t>
  </si>
  <si>
    <t>JATI MEKAR</t>
  </si>
  <si>
    <t xml:space="preserve">JATI ASIH </t>
  </si>
  <si>
    <t>JATI KRAMAT</t>
  </si>
  <si>
    <t>JATI RASA</t>
  </si>
  <si>
    <t>JATI LUHUR</t>
  </si>
  <si>
    <t>JATI SARI</t>
  </si>
  <si>
    <t>JATI SAMPURNA</t>
  </si>
  <si>
    <t>JATI KARYA</t>
  </si>
  <si>
    <t>JATI RANGGON</t>
  </si>
  <si>
    <t>JATI RANGGA</t>
  </si>
  <si>
    <t>JATI RADEN</t>
  </si>
  <si>
    <t>MUSTIKA SARI</t>
  </si>
  <si>
    <t>JATI RAHAYU</t>
  </si>
  <si>
    <t>JATI WARNA</t>
  </si>
  <si>
    <t>JATI MELATI</t>
  </si>
  <si>
    <t>JATI MURNI</t>
  </si>
  <si>
    <t xml:space="preserve">JUMLAH KELUARGA KOTA BEKASI (BERDASARKAN KK) </t>
  </si>
  <si>
    <t>SEMESTER 1 TAHUN 2026</t>
  </si>
  <si>
    <t>LAKI LAKI</t>
  </si>
  <si>
    <t>JUMLAH VERSI BNBA</t>
  </si>
  <si>
    <t>LK</t>
  </si>
  <si>
    <t>PR</t>
  </si>
  <si>
    <t>DKB SEMESTER 1 TAHUN 2026</t>
  </si>
  <si>
    <t>NAMA_KECAMATAN</t>
  </si>
  <si>
    <t>AKUMULASI BEKASI TIMUR</t>
  </si>
  <si>
    <t>AKUMULASI BEKASI BARAT</t>
  </si>
  <si>
    <t>AKUMULASI BEKASI UTARA</t>
  </si>
  <si>
    <t>AKUMULASI BEKASI SELATAN</t>
  </si>
  <si>
    <t>AKUMULASI RAWALUMBU</t>
  </si>
  <si>
    <t>RAWA LUMBU</t>
  </si>
  <si>
    <t>AKUMULASI MEDANSATRIA</t>
  </si>
  <si>
    <t>AKUMULASI BANTARGEBANG</t>
  </si>
  <si>
    <t>AKUMULASI PONDOKGEDE</t>
  </si>
  <si>
    <t>PONDOH GEDE</t>
  </si>
  <si>
    <t>AKUMULASI JATIASIH</t>
  </si>
  <si>
    <t>AKUMULASI JATISAMPURNA</t>
  </si>
  <si>
    <t>AKUMULASI MUSTIKAJAYA</t>
  </si>
  <si>
    <t>MUJSTIKAJAYA</t>
  </si>
  <si>
    <t>AKUMULASI PONDOKMELATI</t>
  </si>
  <si>
    <t>JUMLAH PENDUDUK BERDASARKAN AGAMA SESUAI DKB SEMESTER 1 TAHUN 2026</t>
  </si>
  <si>
    <t>ISLAM L</t>
  </si>
  <si>
    <t>ISLAM P</t>
  </si>
  <si>
    <t>JUMLAH ISLAM</t>
  </si>
  <si>
    <t>KRISTEN L</t>
  </si>
  <si>
    <t>KRISTEN P</t>
  </si>
  <si>
    <t>JUMLAH KRISTEN</t>
  </si>
  <si>
    <t>KATHOLIK L</t>
  </si>
  <si>
    <t>KATHOLIK P</t>
  </si>
  <si>
    <t>JUMLAH KATHOLIK</t>
  </si>
  <si>
    <t>HINDU L</t>
  </si>
  <si>
    <t>HINDU P</t>
  </si>
  <si>
    <t>JUMLAH HINDU</t>
  </si>
  <si>
    <t>BUDHA L</t>
  </si>
  <si>
    <t>BUDHA P</t>
  </si>
  <si>
    <t>JUMLAH BUDHA</t>
  </si>
  <si>
    <t>KHONGHUCU L</t>
  </si>
  <si>
    <t>KHONGHUCU P</t>
  </si>
  <si>
    <t>JUMLAH KONGHUCU</t>
  </si>
  <si>
    <t>KEPERCAYAAN L</t>
  </si>
  <si>
    <t>KEPERCAYAAN P</t>
  </si>
  <si>
    <t>JUMLAH KEPERCAYAAN</t>
  </si>
  <si>
    <t>TOTAL L</t>
  </si>
  <si>
    <t>TOTAL P</t>
  </si>
  <si>
    <t>GRAND TOTAL</t>
  </si>
  <si>
    <t>3275</t>
  </si>
  <si>
    <t>PROSENTASE</t>
  </si>
  <si>
    <t>327501</t>
  </si>
  <si>
    <t>3275011001</t>
  </si>
  <si>
    <t>3275011002</t>
  </si>
  <si>
    <t>3275011003</t>
  </si>
  <si>
    <t>3275011004</t>
  </si>
  <si>
    <t>327502</t>
  </si>
  <si>
    <t>3275021001</t>
  </si>
  <si>
    <t>3275021002</t>
  </si>
  <si>
    <t>3275021003</t>
  </si>
  <si>
    <t>3275021004</t>
  </si>
  <si>
    <t>3275021005</t>
  </si>
  <si>
    <t>327503</t>
  </si>
  <si>
    <t>3275031001</t>
  </si>
  <si>
    <t>3275031002</t>
  </si>
  <si>
    <t>3275031003</t>
  </si>
  <si>
    <t>3275031004</t>
  </si>
  <si>
    <t>3275031005</t>
  </si>
  <si>
    <t>3275031006</t>
  </si>
  <si>
    <t>327504</t>
  </si>
  <si>
    <t>3275041001</t>
  </si>
  <si>
    <t>3275041002</t>
  </si>
  <si>
    <t>3275041003</t>
  </si>
  <si>
    <t>3275041004</t>
  </si>
  <si>
    <t>3275041005</t>
  </si>
  <si>
    <t>327505</t>
  </si>
  <si>
    <t>3275051001</t>
  </si>
  <si>
    <t>3275051002</t>
  </si>
  <si>
    <t>3275051003</t>
  </si>
  <si>
    <t>3275051004</t>
  </si>
  <si>
    <t>327506</t>
  </si>
  <si>
    <t>3275061001</t>
  </si>
  <si>
    <t>3275061002</t>
  </si>
  <si>
    <t>3275061003</t>
  </si>
  <si>
    <t>3275061004</t>
  </si>
  <si>
    <t>327507</t>
  </si>
  <si>
    <t>3275071003</t>
  </si>
  <si>
    <t>3275071004</t>
  </si>
  <si>
    <t>3275071007</t>
  </si>
  <si>
    <t>3275071008</t>
  </si>
  <si>
    <t>327508</t>
  </si>
  <si>
    <t>3275081001</t>
  </si>
  <si>
    <t>3275081002</t>
  </si>
  <si>
    <t>3275081003</t>
  </si>
  <si>
    <t>3275081006</t>
  </si>
  <si>
    <t>3275081007</t>
  </si>
  <si>
    <t>327509</t>
  </si>
  <si>
    <t>3275091001</t>
  </si>
  <si>
    <t>3275091002</t>
  </si>
  <si>
    <t>3275091003</t>
  </si>
  <si>
    <t>3275091004</t>
  </si>
  <si>
    <t>3275091005</t>
  </si>
  <si>
    <t>3275091006</t>
  </si>
  <si>
    <t>327510</t>
  </si>
  <si>
    <t>3275101001</t>
  </si>
  <si>
    <t>3275101002</t>
  </si>
  <si>
    <t>3275101003</t>
  </si>
  <si>
    <t>3275101004</t>
  </si>
  <si>
    <t>3275101005</t>
  </si>
  <si>
    <t>327511</t>
  </si>
  <si>
    <t>3275111001</t>
  </si>
  <si>
    <t>3275111002</t>
  </si>
  <si>
    <t>3275111003</t>
  </si>
  <si>
    <t>3275111004</t>
  </si>
  <si>
    <t>327512</t>
  </si>
  <si>
    <t>3275121001</t>
  </si>
  <si>
    <t>3275121002</t>
  </si>
  <si>
    <t>3275121003</t>
  </si>
  <si>
    <t>3275121004</t>
  </si>
  <si>
    <t>JUMLAH PENDUDUK KOTA BEKASI BERDASARKAN PENDIDIKAN SEMESTER 1 TAHUN 2026</t>
  </si>
  <si>
    <t>total Diploma</t>
  </si>
  <si>
    <t>TIDAK/BLM SEKOLAH L</t>
  </si>
  <si>
    <t>TIDAK/BLM SEKOLAH P</t>
  </si>
  <si>
    <t>BELUM TAMAT SD/SEDERAJAT L</t>
  </si>
  <si>
    <t>BELUM TAMAT SD/SEDERAJAT P</t>
  </si>
  <si>
    <t>TAMAT SD/SEDERAJAT L</t>
  </si>
  <si>
    <t>TAMAT SD/SEDERAJAT P</t>
  </si>
  <si>
    <t>SLTP/SEDERAJAT L</t>
  </si>
  <si>
    <t>SLTP/SEDERAJAT P</t>
  </si>
  <si>
    <t>SLTA/SEDERAJAT L</t>
  </si>
  <si>
    <t>SLTA/SEDERAJAT P</t>
  </si>
  <si>
    <t>DIPLOMA I/II L</t>
  </si>
  <si>
    <t>DIPLOMA I/II P</t>
  </si>
  <si>
    <t>AKADEMI/DIPL.III/S. MUDA L</t>
  </si>
  <si>
    <t>AKADEMI/DIPL.III/S.MUDA P</t>
  </si>
  <si>
    <t>DIPLOMA IV/STRATA I L</t>
  </si>
  <si>
    <t>DIPLOMA IV/STRATA I P</t>
  </si>
  <si>
    <t>STRATA-II L</t>
  </si>
  <si>
    <t>STRATA-II P</t>
  </si>
  <si>
    <t>STRATA-III L</t>
  </si>
  <si>
    <t>STRATA-III P</t>
  </si>
  <si>
    <t xml:space="preserve">JUMLAH PENDUDUK BERDASARKAN GOLONGAN DARAH </t>
  </si>
  <si>
    <t>SESUAI DKB SEMESTER 1 TAHUN 2026</t>
  </si>
  <si>
    <t>'A'_L</t>
  </si>
  <si>
    <t>'A'_P</t>
  </si>
  <si>
    <t>'A'_JML</t>
  </si>
  <si>
    <t>'B'_L</t>
  </si>
  <si>
    <t>'B'_P</t>
  </si>
  <si>
    <t>'B'_JML</t>
  </si>
  <si>
    <t>'AB'_L</t>
  </si>
  <si>
    <t>'AB'_P</t>
  </si>
  <si>
    <t>'AB'_JML</t>
  </si>
  <si>
    <t>'O'_L</t>
  </si>
  <si>
    <t>'O'_P</t>
  </si>
  <si>
    <t>'O'_JML</t>
  </si>
  <si>
    <t>'A+'_L</t>
  </si>
  <si>
    <t>'A+'_P</t>
  </si>
  <si>
    <t>'A+'_JML</t>
  </si>
  <si>
    <t>'A-'_L</t>
  </si>
  <si>
    <t>'A-'_P</t>
  </si>
  <si>
    <t>'A-'_JML</t>
  </si>
  <si>
    <t>'B+'_L</t>
  </si>
  <si>
    <t>'B+'_P</t>
  </si>
  <si>
    <t>'B+'_JML</t>
  </si>
  <si>
    <t>'B-'_L</t>
  </si>
  <si>
    <t>'B-'_P</t>
  </si>
  <si>
    <t>'B-'_JML</t>
  </si>
  <si>
    <t>'AB+'_L</t>
  </si>
  <si>
    <t>'AB+'_P</t>
  </si>
  <si>
    <t>'AB+'_JML</t>
  </si>
  <si>
    <t>'AB-'_L</t>
  </si>
  <si>
    <t>'AB-'_P</t>
  </si>
  <si>
    <t>'AB-'_JML</t>
  </si>
  <si>
    <t>'O+'_L</t>
  </si>
  <si>
    <t>'O+'_P</t>
  </si>
  <si>
    <t>'O+'_JML</t>
  </si>
  <si>
    <t>'O-'_L</t>
  </si>
  <si>
    <t>'O-'_P</t>
  </si>
  <si>
    <t>'O-'_JML</t>
  </si>
  <si>
    <t>'TIDAK TAHU'_L</t>
  </si>
  <si>
    <t>'TIDAK TAHU'_P</t>
  </si>
  <si>
    <t>'TIDAK TAHU'_JML</t>
  </si>
  <si>
    <t>JUMLAH PENDUDUK STATUS PERKAWINAN SESUAI DKB SEMESTER 1 TAHUN 2026</t>
  </si>
  <si>
    <t>'BELUM KAWIN'_L</t>
  </si>
  <si>
    <t>'BELUM KAWIN'_P</t>
  </si>
  <si>
    <t>'BELUM KAWIN'_JML</t>
  </si>
  <si>
    <t>'KAWIN'_L</t>
  </si>
  <si>
    <t>'KAWIN'_P</t>
  </si>
  <si>
    <t>'KAWIN'_JML</t>
  </si>
  <si>
    <t>'CERAI HIDUP'_L</t>
  </si>
  <si>
    <t>'CERAI HIDUP'_P</t>
  </si>
  <si>
    <t>'CERAI HIDUP'_JML</t>
  </si>
  <si>
    <t>'CERAI MATI'_L</t>
  </si>
  <si>
    <t>'CERAI MATI'_P</t>
  </si>
  <si>
    <t>'CERAI MATI'_JML</t>
  </si>
  <si>
    <t xml:space="preserve">JUMDUK BERDASARKAN STATUS HUBUNGAN KELUARGA </t>
  </si>
  <si>
    <t>KEPALA KELUARGA L</t>
  </si>
  <si>
    <t>KEPALA KELUARGA P</t>
  </si>
  <si>
    <t>KEPALA KELUARGA JML</t>
  </si>
  <si>
    <t>SUAMI L</t>
  </si>
  <si>
    <t>SUAMI P</t>
  </si>
  <si>
    <t>SUAMI JML</t>
  </si>
  <si>
    <t>ISTERI L</t>
  </si>
  <si>
    <t>ISTERI P</t>
  </si>
  <si>
    <t>ISTERI JML</t>
  </si>
  <si>
    <t>ANAK L</t>
  </si>
  <si>
    <t>ANAK P</t>
  </si>
  <si>
    <t>ANAK JML</t>
  </si>
  <si>
    <t>MENANTU L</t>
  </si>
  <si>
    <t>MENANTU P</t>
  </si>
  <si>
    <t>MENANTU JML</t>
  </si>
  <si>
    <t>CUCU L</t>
  </si>
  <si>
    <t>CUCU P</t>
  </si>
  <si>
    <t>CUCU JML</t>
  </si>
  <si>
    <t>ORANG TUA L</t>
  </si>
  <si>
    <t>ORANG TUA P</t>
  </si>
  <si>
    <t>ORANG TUA JML</t>
  </si>
  <si>
    <t>MERTUA L</t>
  </si>
  <si>
    <t>MERTUA P</t>
  </si>
  <si>
    <t>MERTUA JML</t>
  </si>
  <si>
    <t>FAMILI LAIN L</t>
  </si>
  <si>
    <t>FAMILI LAIN P</t>
  </si>
  <si>
    <t>FAMILI LAIN JML</t>
  </si>
  <si>
    <t>PEMBANTU L</t>
  </si>
  <si>
    <t>PEMBANTU P</t>
  </si>
  <si>
    <t>PEMBANTU JML</t>
  </si>
  <si>
    <t>LAINNYA L</t>
  </si>
  <si>
    <t>LAINNYA P</t>
  </si>
  <si>
    <t>LAINNYA JML</t>
  </si>
  <si>
    <t>JUMLAH PENDUDUK BERDASARKAN DISABILITAS SESUAI DKB SEMESTER 1 TAHUN 2026</t>
  </si>
  <si>
    <t>DISABILITAS FISIK L</t>
  </si>
  <si>
    <t>DISABILITAS FISIK P</t>
  </si>
  <si>
    <t>DISABILITAS FISIK TOTAL</t>
  </si>
  <si>
    <t>DISABILITAS NETRA/BUTA L</t>
  </si>
  <si>
    <t>DISABILITAS NETRA/BUTA P</t>
  </si>
  <si>
    <t>DISABILITAS NETRA/BUTA TOTAL</t>
  </si>
  <si>
    <t>DISABILITAS RUNGU/WICARA L</t>
  </si>
  <si>
    <t>DISABILITAS RUNGU/WICARA P</t>
  </si>
  <si>
    <t>DISABILITAS RUNGU/WICARA TOTAL</t>
  </si>
  <si>
    <t>DISABILITAS MENTAL/JIWA L</t>
  </si>
  <si>
    <t>DISABILITAS MENTAL/JIWA P</t>
  </si>
  <si>
    <t>DISABILITAS MENTAL/JIWA TOTAL</t>
  </si>
  <si>
    <t>DISABILITAS FISIK DAN MENTAL L</t>
  </si>
  <si>
    <t>DISABILITAS FISIK DAN MENTAL P</t>
  </si>
  <si>
    <t>DISABILITAS FISIK DAN MENTAL TOTAL</t>
  </si>
  <si>
    <t>DISABILITAS LAINNYA L</t>
  </si>
  <si>
    <t>DISABILITAS LAINNYA P</t>
  </si>
  <si>
    <t>DISABILITAS LAINNYA TOTAL</t>
  </si>
  <si>
    <t>JUMLAH PENDUDUK BERDASARKAN KELOMPOK UMUR</t>
  </si>
  <si>
    <t>0–4</t>
  </si>
  <si>
    <t>5–9</t>
  </si>
  <si>
    <t>10–14</t>
  </si>
  <si>
    <t>00-04 L</t>
  </si>
  <si>
    <t>05-09 L</t>
  </si>
  <si>
    <t>10-14 L</t>
  </si>
  <si>
    <t>15-19 L</t>
  </si>
  <si>
    <t>20-24 L</t>
  </si>
  <si>
    <t>25-29 L</t>
  </si>
  <si>
    <t>30-34 L</t>
  </si>
  <si>
    <t>35-39 L</t>
  </si>
  <si>
    <t>40-44 L</t>
  </si>
  <si>
    <t>45-49 L</t>
  </si>
  <si>
    <t>50-54 L</t>
  </si>
  <si>
    <t>55-59 L</t>
  </si>
  <si>
    <t>60-64 L</t>
  </si>
  <si>
    <t>65-69 L</t>
  </si>
  <si>
    <t>70-74 L</t>
  </si>
  <si>
    <t>&gt;75 L</t>
  </si>
  <si>
    <t>00-04 P</t>
  </si>
  <si>
    <t>05-09 P</t>
  </si>
  <si>
    <t>10-14 P</t>
  </si>
  <si>
    <t>15-19 P</t>
  </si>
  <si>
    <t>20-24 P</t>
  </si>
  <si>
    <t>25-29 P</t>
  </si>
  <si>
    <t>30-34 P</t>
  </si>
  <si>
    <t>35-39 P</t>
  </si>
  <si>
    <t>40-44 P</t>
  </si>
  <si>
    <t>45-49 P</t>
  </si>
  <si>
    <t>50-54 P</t>
  </si>
  <si>
    <t>55-59 P</t>
  </si>
  <si>
    <t>60-64 P</t>
  </si>
  <si>
    <t>65-69 P</t>
  </si>
  <si>
    <t>70-74 P</t>
  </si>
  <si>
    <t>&gt;75 P</t>
  </si>
  <si>
    <t xml:space="preserve">JUMLAH PENDUDUK BERDASARKAN UMUR TUNGGAL </t>
  </si>
  <si>
    <t>ALL</t>
  </si>
  <si>
    <t>0 - 5 TAHUN</t>
  </si>
  <si>
    <t>UMUR</t>
  </si>
  <si>
    <t>0</t>
  </si>
  <si>
    <t>LAKI</t>
  </si>
  <si>
    <t>0 L</t>
  </si>
  <si>
    <t>0 P</t>
  </si>
  <si>
    <t>1 L</t>
  </si>
  <si>
    <t>1 P</t>
  </si>
  <si>
    <t>2 L</t>
  </si>
  <si>
    <t>2 P</t>
  </si>
  <si>
    <t>3 L</t>
  </si>
  <si>
    <t>3 P</t>
  </si>
  <si>
    <t>4 L</t>
  </si>
  <si>
    <t>4 P</t>
  </si>
  <si>
    <t>5 L</t>
  </si>
  <si>
    <t>5 P</t>
  </si>
  <si>
    <t>6 L</t>
  </si>
  <si>
    <t>6 P</t>
  </si>
  <si>
    <t>7 L</t>
  </si>
  <si>
    <t>7 P</t>
  </si>
  <si>
    <t>8 L</t>
  </si>
  <si>
    <t>8 P</t>
  </si>
  <si>
    <t>9 L</t>
  </si>
  <si>
    <t>9 P</t>
  </si>
  <si>
    <t>10 L</t>
  </si>
  <si>
    <t>10 P</t>
  </si>
  <si>
    <t>11 L</t>
  </si>
  <si>
    <t>11 P</t>
  </si>
  <si>
    <t>12 L</t>
  </si>
  <si>
    <t>12 P</t>
  </si>
  <si>
    <t>13 L</t>
  </si>
  <si>
    <t>13 P</t>
  </si>
  <si>
    <t>14 L</t>
  </si>
  <si>
    <t>14 P</t>
  </si>
  <si>
    <t>15 L</t>
  </si>
  <si>
    <t>15 P</t>
  </si>
  <si>
    <t>16 L</t>
  </si>
  <si>
    <t>16 P</t>
  </si>
  <si>
    <t>17 L</t>
  </si>
  <si>
    <t>17 P</t>
  </si>
  <si>
    <t>18 L</t>
  </si>
  <si>
    <t>18 P</t>
  </si>
  <si>
    <t>19 L</t>
  </si>
  <si>
    <t>19 P</t>
  </si>
  <si>
    <t>20 L</t>
  </si>
  <si>
    <t>20 P</t>
  </si>
  <si>
    <t>21 L</t>
  </si>
  <si>
    <t>21 P</t>
  </si>
  <si>
    <t>22 L</t>
  </si>
  <si>
    <t>22 P</t>
  </si>
  <si>
    <t>23 L</t>
  </si>
  <si>
    <t>23 P</t>
  </si>
  <si>
    <t>24 L</t>
  </si>
  <si>
    <t>24 P</t>
  </si>
  <si>
    <t>25 L</t>
  </si>
  <si>
    <t>25 P</t>
  </si>
  <si>
    <t>26 L</t>
  </si>
  <si>
    <t>26 P</t>
  </si>
  <si>
    <t>27 L</t>
  </si>
  <si>
    <t>27 P</t>
  </si>
  <si>
    <t>28 L</t>
  </si>
  <si>
    <t>28 P</t>
  </si>
  <si>
    <t>29 L</t>
  </si>
  <si>
    <t>29 P</t>
  </si>
  <si>
    <t>30 L</t>
  </si>
  <si>
    <t>30 P</t>
  </si>
  <si>
    <t>31 L</t>
  </si>
  <si>
    <t>31 P</t>
  </si>
  <si>
    <t>32 L</t>
  </si>
  <si>
    <t>32 P</t>
  </si>
  <si>
    <t>33 L</t>
  </si>
  <si>
    <t>33 P</t>
  </si>
  <si>
    <t>34 L</t>
  </si>
  <si>
    <t>34 P</t>
  </si>
  <si>
    <t>35 L</t>
  </si>
  <si>
    <t>35 P</t>
  </si>
  <si>
    <t>36 L</t>
  </si>
  <si>
    <t>36 P</t>
  </si>
  <si>
    <t>37 L</t>
  </si>
  <si>
    <t>37 P</t>
  </si>
  <si>
    <t>38 L</t>
  </si>
  <si>
    <t>38 P</t>
  </si>
  <si>
    <t>39 L</t>
  </si>
  <si>
    <t>39 P</t>
  </si>
  <si>
    <t>40 L</t>
  </si>
  <si>
    <t>40 P</t>
  </si>
  <si>
    <t>41 L</t>
  </si>
  <si>
    <t>41 P</t>
  </si>
  <si>
    <t>42 L</t>
  </si>
  <si>
    <t>42 P</t>
  </si>
  <si>
    <t>43 L</t>
  </si>
  <si>
    <t>43 P</t>
  </si>
  <si>
    <t>44 L</t>
  </si>
  <si>
    <t>44 P</t>
  </si>
  <si>
    <t>45 L</t>
  </si>
  <si>
    <t>45 P</t>
  </si>
  <si>
    <t>46 L</t>
  </si>
  <si>
    <t>46 P</t>
  </si>
  <si>
    <t>47 L</t>
  </si>
  <si>
    <t>47 P</t>
  </si>
  <si>
    <t>48 L</t>
  </si>
  <si>
    <t>48 P</t>
  </si>
  <si>
    <t>49 L</t>
  </si>
  <si>
    <t>49 P</t>
  </si>
  <si>
    <t>50 L</t>
  </si>
  <si>
    <t>50 P</t>
  </si>
  <si>
    <t>51 L</t>
  </si>
  <si>
    <t>51 P</t>
  </si>
  <si>
    <t>52 L</t>
  </si>
  <si>
    <t>52 P</t>
  </si>
  <si>
    <t>53 L</t>
  </si>
  <si>
    <t>53 P</t>
  </si>
  <si>
    <t>54 L</t>
  </si>
  <si>
    <t>54 P</t>
  </si>
  <si>
    <t>55 L</t>
  </si>
  <si>
    <t>55 P</t>
  </si>
  <si>
    <t>56 L</t>
  </si>
  <si>
    <t>56 P</t>
  </si>
  <si>
    <t>57 L</t>
  </si>
  <si>
    <t>57 P</t>
  </si>
  <si>
    <t>58 L</t>
  </si>
  <si>
    <t>58 P</t>
  </si>
  <si>
    <t>59 L</t>
  </si>
  <si>
    <t>59 P</t>
  </si>
  <si>
    <t>60 L</t>
  </si>
  <si>
    <t>60 P</t>
  </si>
  <si>
    <t>61 L</t>
  </si>
  <si>
    <t>61 P</t>
  </si>
  <si>
    <t>62 L</t>
  </si>
  <si>
    <t>62 P</t>
  </si>
  <si>
    <t>63 L</t>
  </si>
  <si>
    <t>63 P</t>
  </si>
  <si>
    <t>64 L</t>
  </si>
  <si>
    <t>64 P</t>
  </si>
  <si>
    <t>65 L</t>
  </si>
  <si>
    <t>65 P</t>
  </si>
  <si>
    <t>66 L</t>
  </si>
  <si>
    <t>66 P</t>
  </si>
  <si>
    <t>67 L</t>
  </si>
  <si>
    <t>67 P</t>
  </si>
  <si>
    <t>68 L</t>
  </si>
  <si>
    <t>68 P</t>
  </si>
  <si>
    <t>69 L</t>
  </si>
  <si>
    <t>69 P</t>
  </si>
  <si>
    <t>70 L</t>
  </si>
  <si>
    <t>70 P</t>
  </si>
  <si>
    <t>71 L</t>
  </si>
  <si>
    <t>71 P</t>
  </si>
  <si>
    <t>72 L</t>
  </si>
  <si>
    <t>72 P</t>
  </si>
  <si>
    <t>73 L</t>
  </si>
  <si>
    <t>73 P</t>
  </si>
  <si>
    <t>74 L</t>
  </si>
  <si>
    <t>74 P</t>
  </si>
  <si>
    <t>75 L</t>
  </si>
  <si>
    <t>75 P</t>
  </si>
  <si>
    <t>76 L</t>
  </si>
  <si>
    <t>76 P</t>
  </si>
  <si>
    <t>77 L</t>
  </si>
  <si>
    <t>77 P</t>
  </si>
  <si>
    <t>78 L</t>
  </si>
  <si>
    <t>78 P</t>
  </si>
  <si>
    <t>79 L</t>
  </si>
  <si>
    <t>79 P</t>
  </si>
  <si>
    <t>80 L</t>
  </si>
  <si>
    <t>80 P</t>
  </si>
  <si>
    <t>81 L</t>
  </si>
  <si>
    <t>81 P</t>
  </si>
  <si>
    <t>82 L</t>
  </si>
  <si>
    <t>82 P</t>
  </si>
  <si>
    <t>83 L</t>
  </si>
  <si>
    <t>83 P</t>
  </si>
  <si>
    <t>84 L</t>
  </si>
  <si>
    <t>84 P</t>
  </si>
  <si>
    <t>85 L</t>
  </si>
  <si>
    <t>85 P</t>
  </si>
  <si>
    <t>86 L</t>
  </si>
  <si>
    <t>86 P</t>
  </si>
  <si>
    <t>87 L</t>
  </si>
  <si>
    <t>87 P</t>
  </si>
  <si>
    <t>88 L</t>
  </si>
  <si>
    <t>88 P</t>
  </si>
  <si>
    <t>89 L</t>
  </si>
  <si>
    <t>89 P</t>
  </si>
  <si>
    <t>90 L</t>
  </si>
  <si>
    <t>90 P</t>
  </si>
  <si>
    <t>91 L</t>
  </si>
  <si>
    <t>91 P</t>
  </si>
  <si>
    <t>92 L</t>
  </si>
  <si>
    <t>92 P</t>
  </si>
  <si>
    <t>93 L</t>
  </si>
  <si>
    <t>93 P</t>
  </si>
  <si>
    <t>94 L</t>
  </si>
  <si>
    <t>94 P</t>
  </si>
  <si>
    <t>95 L</t>
  </si>
  <si>
    <t>95 P</t>
  </si>
  <si>
    <t>96 L</t>
  </si>
  <si>
    <t>96 P</t>
  </si>
  <si>
    <t>97 L</t>
  </si>
  <si>
    <t>97 P</t>
  </si>
  <si>
    <t>98 L</t>
  </si>
  <si>
    <t>98 P</t>
  </si>
  <si>
    <t>99 L</t>
  </si>
  <si>
    <t>99 P</t>
  </si>
  <si>
    <t>100 L</t>
  </si>
  <si>
    <t>100 P</t>
  </si>
  <si>
    <t>101 L</t>
  </si>
  <si>
    <t>101 P</t>
  </si>
  <si>
    <t>102 L</t>
  </si>
  <si>
    <t>102 P</t>
  </si>
  <si>
    <t>103 L</t>
  </si>
  <si>
    <t>103 P</t>
  </si>
  <si>
    <t>104 L</t>
  </si>
  <si>
    <t>104 P</t>
  </si>
  <si>
    <t>105 L</t>
  </si>
  <si>
    <t>105 P</t>
  </si>
  <si>
    <t>106 L</t>
  </si>
  <si>
    <t>106 P</t>
  </si>
  <si>
    <t>107 L</t>
  </si>
  <si>
    <t>107 P</t>
  </si>
  <si>
    <t>108 L</t>
  </si>
  <si>
    <t>108 P</t>
  </si>
  <si>
    <t>109 L</t>
  </si>
  <si>
    <t>109 P</t>
  </si>
  <si>
    <t>110 L</t>
  </si>
  <si>
    <t>110 P</t>
  </si>
  <si>
    <t>111 L</t>
  </si>
  <si>
    <t>111 P</t>
  </si>
  <si>
    <t>112 L</t>
  </si>
  <si>
    <t>112 P</t>
  </si>
  <si>
    <t>113 L</t>
  </si>
  <si>
    <t>113 P</t>
  </si>
  <si>
    <t>114 L</t>
  </si>
  <si>
    <t>114 P</t>
  </si>
  <si>
    <t>115 L</t>
  </si>
  <si>
    <t>115 P</t>
  </si>
  <si>
    <t>116 L</t>
  </si>
  <si>
    <t>116 P</t>
  </si>
  <si>
    <t>117 L</t>
  </si>
  <si>
    <t>117 P</t>
  </si>
  <si>
    <t>118 L</t>
  </si>
  <si>
    <t>118 P</t>
  </si>
  <si>
    <t>119 L</t>
  </si>
  <si>
    <t>119 P</t>
  </si>
  <si>
    <t>120 L</t>
  </si>
  <si>
    <t>120 P</t>
  </si>
  <si>
    <t>121 L</t>
  </si>
  <si>
    <t>121 P</t>
  </si>
  <si>
    <t>JUMLAH PENDUDUK PRODUKTIF DAN NON PRODUKTIF</t>
  </si>
  <si>
    <t>SESUAI  DKB SEMESTER  1 TAHUN 2026</t>
  </si>
  <si>
    <t>USIA_MUDA</t>
  </si>
  <si>
    <t>USIA_PRODUKTIF</t>
  </si>
  <si>
    <t>USIA_TUA</t>
  </si>
  <si>
    <t>DATA AGREGAT WAJIB KTP EL SESUAI DKB SEMESTER 1 TAHUN 2026</t>
  </si>
  <si>
    <t>L_WKTP</t>
  </si>
  <si>
    <t>P_WKTP</t>
  </si>
  <si>
    <t>JML_WKTP</t>
  </si>
  <si>
    <t>JUMLAH PENDUDUK BERDASARKAN PEKERJAAN SESUAI DKB SEMESTER 1 TAHUN 2026</t>
  </si>
  <si>
    <t>IDEM</t>
  </si>
  <si>
    <t>BELUM/TIDAK BEKERJA L</t>
  </si>
  <si>
    <t>BELUM/TIDAK BEKERJA P</t>
  </si>
  <si>
    <t>MENGURUS RUMAH TANGGA L</t>
  </si>
  <si>
    <t>MENGURUS RUMAH TANGGA P</t>
  </si>
  <si>
    <t>PELAJAR/MAHASISWA L</t>
  </si>
  <si>
    <t>PELAJAR/MAHASISWA P</t>
  </si>
  <si>
    <t>PENSIUNAN L</t>
  </si>
  <si>
    <t>PENSIUNAN P</t>
  </si>
  <si>
    <t>APARATUR SIPIL NEGARA (ASN) L</t>
  </si>
  <si>
    <t>APARATUR SIPIL NEGARA (ASN) P</t>
  </si>
  <si>
    <t>TENTARA NASIONAL INDONESIA (TNI) L</t>
  </si>
  <si>
    <t>TENTARA NASIONAL INDONESIA (TNI) P</t>
  </si>
  <si>
    <t>KEPOLISIAN RI (POLRI) L</t>
  </si>
  <si>
    <t>KEPOLISIAN RI (POLRI) P</t>
  </si>
  <si>
    <t>PERDAGANGAN L</t>
  </si>
  <si>
    <t>PERDAGANGAN P</t>
  </si>
  <si>
    <t>PETANI/PEKEBUN L</t>
  </si>
  <si>
    <t>PETANI/PEKEBUN P</t>
  </si>
  <si>
    <t>PETERNAK L</t>
  </si>
  <si>
    <t>PETERNAK P</t>
  </si>
  <si>
    <t>NELAYAN/PERIKANAN L</t>
  </si>
  <si>
    <t>NELAYAN/PERIKANAN P</t>
  </si>
  <si>
    <t>INDUSTRI L</t>
  </si>
  <si>
    <t>INDUSTRI P</t>
  </si>
  <si>
    <t>KONSTRUKSI L</t>
  </si>
  <si>
    <t>KONSTRUKSI P</t>
  </si>
  <si>
    <t>TRANSPORTASI L</t>
  </si>
  <si>
    <t>TRANSPORTASI P</t>
  </si>
  <si>
    <t>KARYAWAN SWASTA L</t>
  </si>
  <si>
    <t>KARYAWAN SWASTA P</t>
  </si>
  <si>
    <t>KARYAWAN BUMN L</t>
  </si>
  <si>
    <t>KARYAWAN BUMN P</t>
  </si>
  <si>
    <t>KARYAWAN BUMD L</t>
  </si>
  <si>
    <t>KARYAWAN BUMD P</t>
  </si>
  <si>
    <t>KARYAWAN HONORER L</t>
  </si>
  <si>
    <t>KARYAWAN HONORER P</t>
  </si>
  <si>
    <t>BURUH HARIAN LEPAS L</t>
  </si>
  <si>
    <t>BURUH HARIAN LEPAS P</t>
  </si>
  <si>
    <t>BURUH TANI/PERKEBUNAN L</t>
  </si>
  <si>
    <t>BURUH TANI/PERKEBUNAN P</t>
  </si>
  <si>
    <t>BURUH NELAYAN/PERIKANAN L</t>
  </si>
  <si>
    <t>BURUH NELAYAN/PERIKANAN P</t>
  </si>
  <si>
    <t>BURUH PETERNAKAN L</t>
  </si>
  <si>
    <t>BURUH PETERNAKAN P</t>
  </si>
  <si>
    <t>PEMBANTU RUMAH TANGGA L</t>
  </si>
  <si>
    <t>PEMBANTU RUMAH TANGGA P</t>
  </si>
  <si>
    <t>TUKANG CUKUR L</t>
  </si>
  <si>
    <t>TUKANG CUKUR P</t>
  </si>
  <si>
    <t>TUKANG LISTRIK L</t>
  </si>
  <si>
    <t>TUKANG LISTRIK P</t>
  </si>
  <si>
    <t>TUKANG BATU L</t>
  </si>
  <si>
    <t>TUKANG BATU P</t>
  </si>
  <si>
    <t>TUKANG KAYU L</t>
  </si>
  <si>
    <t>TUKANG KAYU P</t>
  </si>
  <si>
    <t>TUKANG SOL SEPATU L</t>
  </si>
  <si>
    <t>TUKANG SOL SEPATU P</t>
  </si>
  <si>
    <t>TUKANG LAS/PANDAI BESI L</t>
  </si>
  <si>
    <t>TUKANG LAS/PANDAI BESI P</t>
  </si>
  <si>
    <t>TUKANG JAHIT L</t>
  </si>
  <si>
    <t>TUKANG JAHIT P</t>
  </si>
  <si>
    <t>TUKANG GIGI L</t>
  </si>
  <si>
    <t>TUKANG GIGI P</t>
  </si>
  <si>
    <t>PENATA RIAS L</t>
  </si>
  <si>
    <t>PENATA RIAS P</t>
  </si>
  <si>
    <t>PENATA BUSANA L</t>
  </si>
  <si>
    <t>PENATA BUSANA P</t>
  </si>
  <si>
    <t>PENATA RAMBUT L</t>
  </si>
  <si>
    <t>PENATA RAMBUT P</t>
  </si>
  <si>
    <t>MEKANIK L</t>
  </si>
  <si>
    <t>MEKANIK P</t>
  </si>
  <si>
    <t>SENIMAN L</t>
  </si>
  <si>
    <t>SENIMAN P</t>
  </si>
  <si>
    <t>TABIB L</t>
  </si>
  <si>
    <t>TABIB P</t>
  </si>
  <si>
    <t>PARAJI L</t>
  </si>
  <si>
    <t>PARAJI P</t>
  </si>
  <si>
    <t>PERANCANG BUSANA L</t>
  </si>
  <si>
    <t>PERANCANG BUSANA P</t>
  </si>
  <si>
    <t>PENTERJEMAH L</t>
  </si>
  <si>
    <t>PENTERJEMAH P</t>
  </si>
  <si>
    <t>IMAM MASJID L</t>
  </si>
  <si>
    <t>IMAM MASJID P</t>
  </si>
  <si>
    <t>PENDETA L</t>
  </si>
  <si>
    <t>PENDETA P</t>
  </si>
  <si>
    <t>PASTOR L</t>
  </si>
  <si>
    <t>PASTOR P</t>
  </si>
  <si>
    <t>WARTAWAN L</t>
  </si>
  <si>
    <t>WARTAWAN P</t>
  </si>
  <si>
    <t>USTADZ/MUBALIGH L</t>
  </si>
  <si>
    <t>USTADZ/MUBALIGH P</t>
  </si>
  <si>
    <t>JURU MASAK L</t>
  </si>
  <si>
    <t>JURU MASAK P</t>
  </si>
  <si>
    <t>PROMOTOR ACARA L</t>
  </si>
  <si>
    <t>PROMOTOR ACARA P</t>
  </si>
  <si>
    <t>ANGGOTA DPR RI L</t>
  </si>
  <si>
    <t>ANGGOTA DPR RI P</t>
  </si>
  <si>
    <t>ANGGOTA DPD RI L</t>
  </si>
  <si>
    <t>ANGGOTA DPD RI P</t>
  </si>
  <si>
    <t>ANGGOTA BPK L</t>
  </si>
  <si>
    <t>ANGGOTA BPK P</t>
  </si>
  <si>
    <t>PRESIDEN L</t>
  </si>
  <si>
    <t>PRESIDEN P</t>
  </si>
  <si>
    <t>WAKIL PRESIDEN L</t>
  </si>
  <si>
    <t>WAKIL PRESIDEN P</t>
  </si>
  <si>
    <t>ANGGOTA MAHKAMAH KONSTITUSI L</t>
  </si>
  <si>
    <t>ANGGOTA MAHKAMAH KONSTITUSI P</t>
  </si>
  <si>
    <t>ANGGOTA KABINET KEMENTRIAN L</t>
  </si>
  <si>
    <t>ANGGOTA KABINET KEMENTRIAN P</t>
  </si>
  <si>
    <t>DUTA BESAR L</t>
  </si>
  <si>
    <t>DUTA BESAR P</t>
  </si>
  <si>
    <t>GUBERNUR L</t>
  </si>
  <si>
    <t>GUBERNUR P</t>
  </si>
  <si>
    <t>WAKIL GUBERNUR L</t>
  </si>
  <si>
    <t>WAKIL GUBERNUR P</t>
  </si>
  <si>
    <t>BUPATI L</t>
  </si>
  <si>
    <t>BUPATI P</t>
  </si>
  <si>
    <t>WAKIL BUPATI L</t>
  </si>
  <si>
    <t>WAKIL BUPATI P</t>
  </si>
  <si>
    <t>WALIKOTA L</t>
  </si>
  <si>
    <t>WALIKOTA P</t>
  </si>
  <si>
    <t>WAKIL WALIKOTA L</t>
  </si>
  <si>
    <t>WAKIL WALIKOTA P</t>
  </si>
  <si>
    <t>ANGGOTA DPRD PROP. L</t>
  </si>
  <si>
    <t>ANGGOTA DPRD PROP. P</t>
  </si>
  <si>
    <t>ANGGOTA DPRD KAB./KOTA L</t>
  </si>
  <si>
    <t>ANGGOTA DPRD KAB./KOTA P</t>
  </si>
  <si>
    <t>DOSEN L</t>
  </si>
  <si>
    <t>DOSEN P</t>
  </si>
  <si>
    <t>GURU L</t>
  </si>
  <si>
    <t>GURU P</t>
  </si>
  <si>
    <t>PILOT L</t>
  </si>
  <si>
    <t>PILOT P</t>
  </si>
  <si>
    <t>PENGACARA L</t>
  </si>
  <si>
    <t>PENGACARA P</t>
  </si>
  <si>
    <t>NOTARIS L</t>
  </si>
  <si>
    <t>NOTARIS P</t>
  </si>
  <si>
    <t>ARSITEK L</t>
  </si>
  <si>
    <t>ARSITEK P</t>
  </si>
  <si>
    <t>AKUNTAN L</t>
  </si>
  <si>
    <t>AKUNTAN P</t>
  </si>
  <si>
    <t>KONSULTAN L</t>
  </si>
  <si>
    <t>KONSULTAN P</t>
  </si>
  <si>
    <t>DOKTER L</t>
  </si>
  <si>
    <t>DOKTER P</t>
  </si>
  <si>
    <t>BIDAN L</t>
  </si>
  <si>
    <t>BIDAN P</t>
  </si>
  <si>
    <t>PERAWAT L</t>
  </si>
  <si>
    <t>PERAWAT P</t>
  </si>
  <si>
    <t>APOTEKER L</t>
  </si>
  <si>
    <t>APOTEKER P</t>
  </si>
  <si>
    <t>PSIKIATER/PSIKOLOG L</t>
  </si>
  <si>
    <t>PSIKIATER/PSIKOLOG P</t>
  </si>
  <si>
    <t>PENYIAR TELEVISI L</t>
  </si>
  <si>
    <t>PENYIAR TELEVISI P</t>
  </si>
  <si>
    <t>PENYIAR RADIO L</t>
  </si>
  <si>
    <t>PENYIAR RADIO P</t>
  </si>
  <si>
    <t>PELAUT L</t>
  </si>
  <si>
    <t>PELAUT P</t>
  </si>
  <si>
    <t>PENELITI L</t>
  </si>
  <si>
    <t>PENELITI P</t>
  </si>
  <si>
    <t>SOPIR L</t>
  </si>
  <si>
    <t>SOPIR P</t>
  </si>
  <si>
    <t>PIALANG L</t>
  </si>
  <si>
    <t>PIALANG P</t>
  </si>
  <si>
    <t>PARANORMAL L</t>
  </si>
  <si>
    <t>PARANORMAL P</t>
  </si>
  <si>
    <t>PEDAGANG L</t>
  </si>
  <si>
    <t>PEDAGANG P</t>
  </si>
  <si>
    <t>PERANGKAT DESA L</t>
  </si>
  <si>
    <t>PERANGKAT DESA P</t>
  </si>
  <si>
    <t>KEPALA DESA L</t>
  </si>
  <si>
    <t>KEPALA DESA P</t>
  </si>
  <si>
    <t>BIARAWAN/BIARAWATI L</t>
  </si>
  <si>
    <t>BIARAWAN/BIARAWATI P</t>
  </si>
  <si>
    <t>WIRASWASTA L</t>
  </si>
  <si>
    <t>WIRASWASTA P</t>
  </si>
  <si>
    <t>ANGGOTA LEMBAGA TINGGI LAINNYA L</t>
  </si>
  <si>
    <t>ANGGOTA LEMBAGA TINGGI LAINNYA P</t>
  </si>
  <si>
    <t>ARTIS L</t>
  </si>
  <si>
    <t>ARTIS P</t>
  </si>
  <si>
    <t>ATLIT L</t>
  </si>
  <si>
    <t>ATLIT P</t>
  </si>
  <si>
    <t>CHEFF L</t>
  </si>
  <si>
    <t>CHEFF P</t>
  </si>
  <si>
    <t>MANAJER L</t>
  </si>
  <si>
    <t>MANAJER P</t>
  </si>
  <si>
    <t>TENAGA TATA USAHA L</t>
  </si>
  <si>
    <t>TENAGA TATA USAHA P</t>
  </si>
  <si>
    <t>OPERATOR L</t>
  </si>
  <si>
    <t>OPERATOR P</t>
  </si>
  <si>
    <t>PEKERJA PENGOLAHAN KERAJINAN L</t>
  </si>
  <si>
    <t>PEKERJA PENGOLAHAN KERAJINAN P</t>
  </si>
  <si>
    <t>TEKNISI L</t>
  </si>
  <si>
    <t>TEKNISI P</t>
  </si>
  <si>
    <t>ASISTEN AHLI L</t>
  </si>
  <si>
    <t>ASISTEN AHLI P</t>
  </si>
  <si>
    <t>GEMBALA L</t>
  </si>
  <si>
    <t>GEMBALA P</t>
  </si>
  <si>
    <t>BIARAWAN L</t>
  </si>
  <si>
    <t>BIARAWAN P</t>
  </si>
  <si>
    <t>PANDITA L</t>
  </si>
  <si>
    <t>PANDITA P</t>
  </si>
  <si>
    <t>PINANDITA L</t>
  </si>
  <si>
    <t>PINANDITA P</t>
  </si>
  <si>
    <t>BHIKKHU L</t>
  </si>
  <si>
    <t>BHIKKHU P</t>
  </si>
  <si>
    <t>XUESHI L</t>
  </si>
  <si>
    <t>XUESHI P</t>
  </si>
  <si>
    <t>WENSI L</t>
  </si>
  <si>
    <t>WENSI P</t>
  </si>
  <si>
    <t>JIAOSHENG L</t>
  </si>
  <si>
    <t>JIAOSHENG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</si>
</sst>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_-;\-* #,##0_-;_-* &quot;-&quot;_-;_-@_-"/>
    <numFmt numFmtId="165" formatCode="_(* #,##0.000_);_(* \(#,##0.000\);_(* &quot;-&quot;??_);_(@_)"/>
    <numFmt numFmtId="166" formatCode="_(* #,##0.00000_);_(* \(#,##0.00000\);_(* &quot;-&quot;??_);_(@_)"/>
    <numFmt numFmtId="167" formatCode="_-* #,##0.00_-;\-* #,##0.00_-;_-* &quot;-&quot;_-;_-@_-"/>
    <numFmt numFmtId="168" formatCode="_-* #,##0.00_-;\-* #,##0.00_-;_-* &quot;-&quot;??_-;_-@_-"/>
  </numFmts>
  <fonts count="34" x14ac:knownFonts="1">
    <font>
      <sz val="11"/>
      <name val="Calibri"/>
    </font>
    <font>
      <sz val="11"/>
      <name val="Calibri"/>
      <family val="2"/>
    </font>
    <font>
      <b/>
      <sz val="14"/>
      <name val="Arial Narrow"/>
      <family val="2"/>
    </font>
    <font>
      <sz val="11"/>
      <name val="Arial Narrow"/>
      <family val="2"/>
    </font>
    <font>
      <b/>
      <sz val="12"/>
      <name val="Arial Narrow"/>
      <family val="2"/>
    </font>
    <font>
      <b/>
      <sz val="11"/>
      <name val="Arial Narrow"/>
      <family val="2"/>
    </font>
    <font>
      <sz val="11"/>
      <color theme="4" tint="0.79998168889431442"/>
      <name val="Arial Narrow"/>
      <family val="2"/>
    </font>
    <font>
      <sz val="11"/>
      <color theme="1"/>
      <name val="Arial Narrow"/>
      <family val="2"/>
    </font>
    <font>
      <sz val="12"/>
      <name val="Arial Narrow"/>
      <family val="2"/>
    </font>
    <font>
      <sz val="11"/>
      <color theme="0"/>
      <name val="Arial Narrow"/>
      <family val="2"/>
    </font>
    <font>
      <sz val="14"/>
      <name val="Arial Narrow"/>
      <family val="2"/>
    </font>
    <font>
      <sz val="10"/>
      <name val="Arial Narrow"/>
      <family val="2"/>
    </font>
    <font>
      <sz val="16"/>
      <name val="Arial Narrow"/>
      <family val="2"/>
    </font>
    <font>
      <b/>
      <sz val="16"/>
      <name val="Arial Narrow"/>
      <family val="2"/>
    </font>
    <font>
      <b/>
      <sz val="18"/>
      <name val="Arial Narrow"/>
      <family val="2"/>
    </font>
    <font>
      <b/>
      <sz val="13"/>
      <name val="Arial Narrow"/>
      <family val="2"/>
    </font>
    <font>
      <sz val="12"/>
      <color theme="1"/>
      <name val="Arial Narrow"/>
      <family val="2"/>
    </font>
    <font>
      <sz val="10"/>
      <color theme="1"/>
      <name val="Arial Narrow"/>
      <family val="2"/>
    </font>
    <font>
      <sz val="18"/>
      <name val="Arial Narrow"/>
      <family val="2"/>
    </font>
    <font>
      <sz val="14"/>
      <color theme="1"/>
      <name val="Arial Narrow"/>
      <family val="2"/>
    </font>
    <font>
      <b/>
      <sz val="11"/>
      <name val="Calibri"/>
      <family val="2"/>
    </font>
    <font>
      <b/>
      <sz val="16"/>
      <color theme="4" tint="0.59999389629810485"/>
      <name val="Arial Narrow"/>
      <family val="2"/>
    </font>
    <font>
      <b/>
      <sz val="16"/>
      <color theme="4" tint="0.79998168889431442"/>
      <name val="Arial Narrow"/>
      <family val="2"/>
    </font>
    <font>
      <sz val="11"/>
      <color theme="1"/>
      <name val="Calibri"/>
      <family val="2"/>
    </font>
    <font>
      <b/>
      <sz val="18"/>
      <color theme="1"/>
      <name val="Arial Narrow"/>
      <family val="2"/>
    </font>
    <font>
      <b/>
      <sz val="11"/>
      <color theme="0"/>
      <name val="Arial Narrow"/>
      <family val="2"/>
    </font>
    <font>
      <b/>
      <sz val="11"/>
      <color theme="1"/>
      <name val="Arial Narrow"/>
      <family val="2"/>
    </font>
    <font>
      <b/>
      <sz val="18"/>
      <color theme="0"/>
      <name val="Arial Narrow"/>
      <family val="2"/>
    </font>
    <font>
      <b/>
      <sz val="9"/>
      <color theme="0"/>
      <name val="Arial Narrow"/>
      <family val="2"/>
    </font>
    <font>
      <b/>
      <sz val="16"/>
      <color theme="1"/>
      <name val="Arial Narrow"/>
      <family val="2"/>
    </font>
    <font>
      <b/>
      <sz val="11"/>
      <color theme="0"/>
      <name val="Calibri"/>
      <family val="2"/>
    </font>
    <font>
      <b/>
      <sz val="14"/>
      <color theme="1"/>
      <name val="Arial Narrow"/>
      <family val="2"/>
    </font>
    <font>
      <b/>
      <sz val="12"/>
      <color theme="1"/>
      <name val="Arial Narrow"/>
      <family val="2"/>
    </font>
    <font>
      <sz val="11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23" fillId="0" borderId="0"/>
  </cellStyleXfs>
  <cellXfs count="704">
    <xf numFmtId="0" fontId="0" fillId="0" borderId="0" xfId="0"/>
    <xf numFmtId="0" fontId="2" fillId="0" borderId="0" xfId="4" applyFont="1" applyAlignment="1">
      <alignment vertical="center"/>
    </xf>
    <xf numFmtId="0" fontId="3" fillId="0" borderId="0" xfId="4" applyFont="1"/>
    <xf numFmtId="0" fontId="3" fillId="0" borderId="0" xfId="4" applyFont="1" applyAlignment="1">
      <alignment horizontal="center" vertical="center"/>
    </xf>
    <xf numFmtId="0" fontId="3" fillId="0" borderId="0" xfId="4" applyFont="1" applyAlignment="1">
      <alignment vertical="center"/>
    </xf>
    <xf numFmtId="0" fontId="4" fillId="2" borderId="1" xfId="4" applyFont="1" applyFill="1" applyBorder="1" applyAlignment="1">
      <alignment horizontal="center" vertical="center"/>
    </xf>
    <xf numFmtId="0" fontId="4" fillId="3" borderId="1" xfId="4" applyFont="1" applyFill="1" applyBorder="1" applyAlignment="1">
      <alignment horizontal="center" vertical="center"/>
    </xf>
    <xf numFmtId="0" fontId="4" fillId="3" borderId="2" xfId="4" applyFont="1" applyFill="1" applyBorder="1" applyAlignment="1">
      <alignment horizontal="center" vertical="center"/>
    </xf>
    <xf numFmtId="0" fontId="5" fillId="3" borderId="3" xfId="4" applyFont="1" applyFill="1" applyBorder="1" applyAlignment="1">
      <alignment horizontal="center" vertical="center"/>
    </xf>
    <xf numFmtId="0" fontId="5" fillId="3" borderId="1" xfId="4" applyFont="1" applyFill="1" applyBorder="1" applyAlignment="1">
      <alignment horizontal="center" vertical="center"/>
    </xf>
    <xf numFmtId="0" fontId="4" fillId="4" borderId="1" xfId="4" applyFont="1" applyFill="1" applyBorder="1" applyAlignment="1">
      <alignment horizontal="center" vertical="center"/>
    </xf>
    <xf numFmtId="0" fontId="5" fillId="5" borderId="4" xfId="0" applyFont="1" applyFill="1" applyBorder="1"/>
    <xf numFmtId="0" fontId="0" fillId="0" borderId="4" xfId="0" applyBorder="1"/>
    <xf numFmtId="0" fontId="3" fillId="2" borderId="5" xfId="4" applyFont="1" applyFill="1" applyBorder="1" applyAlignment="1">
      <alignment horizontal="center" vertical="center"/>
    </xf>
    <xf numFmtId="0" fontId="6" fillId="2" borderId="5" xfId="4" applyFont="1" applyFill="1" applyBorder="1" applyAlignment="1">
      <alignment vertical="center"/>
    </xf>
    <xf numFmtId="0" fontId="7" fillId="2" borderId="6" xfId="0" applyFont="1" applyFill="1" applyBorder="1"/>
    <xf numFmtId="3" fontId="7" fillId="2" borderId="4" xfId="0" applyNumberFormat="1" applyFont="1" applyFill="1" applyBorder="1"/>
    <xf numFmtId="10" fontId="8" fillId="6" borderId="5" xfId="4" applyNumberFormat="1" applyFont="1" applyFill="1" applyBorder="1" applyAlignment="1">
      <alignment vertical="center"/>
    </xf>
    <xf numFmtId="1" fontId="3" fillId="7" borderId="4" xfId="0" applyNumberFormat="1" applyFont="1" applyFill="1" applyBorder="1"/>
    <xf numFmtId="0" fontId="3" fillId="7" borderId="4" xfId="0" applyFont="1" applyFill="1" applyBorder="1"/>
    <xf numFmtId="3" fontId="3" fillId="7" borderId="4" xfId="0" applyNumberFormat="1" applyFont="1" applyFill="1" applyBorder="1"/>
    <xf numFmtId="0" fontId="0" fillId="0" borderId="7" xfId="0" applyBorder="1"/>
    <xf numFmtId="0" fontId="3" fillId="2" borderId="4" xfId="4" applyFont="1" applyFill="1" applyBorder="1" applyAlignment="1">
      <alignment horizontal="center" vertical="center"/>
    </xf>
    <xf numFmtId="0" fontId="6" fillId="2" borderId="4" xfId="4" applyFont="1" applyFill="1" applyBorder="1" applyAlignment="1">
      <alignment vertical="center"/>
    </xf>
    <xf numFmtId="0" fontId="7" fillId="2" borderId="8" xfId="0" applyFont="1" applyFill="1" applyBorder="1"/>
    <xf numFmtId="10" fontId="8" fillId="6" borderId="4" xfId="4" applyNumberFormat="1" applyFont="1" applyFill="1" applyBorder="1" applyAlignment="1">
      <alignment vertical="center"/>
    </xf>
    <xf numFmtId="1" fontId="3" fillId="0" borderId="4" xfId="0" applyNumberFormat="1" applyFont="1" applyBorder="1"/>
    <xf numFmtId="0" fontId="3" fillId="0" borderId="4" xfId="0" applyFont="1" applyBorder="1"/>
    <xf numFmtId="3" fontId="3" fillId="0" borderId="4" xfId="0" applyNumberFormat="1" applyFont="1" applyBorder="1"/>
    <xf numFmtId="0" fontId="0" fillId="2" borderId="9" xfId="0" applyFill="1" applyBorder="1"/>
    <xf numFmtId="0" fontId="0" fillId="2" borderId="4" xfId="0" applyFill="1" applyBorder="1"/>
    <xf numFmtId="0" fontId="3" fillId="2" borderId="1" xfId="4" applyFont="1" applyFill="1" applyBorder="1" applyAlignment="1">
      <alignment horizontal="center" vertical="center"/>
    </xf>
    <xf numFmtId="0" fontId="6" fillId="2" borderId="1" xfId="4" applyFont="1" applyFill="1" applyBorder="1" applyAlignment="1">
      <alignment vertical="center"/>
    </xf>
    <xf numFmtId="0" fontId="7" fillId="2" borderId="2" xfId="0" applyFont="1" applyFill="1" applyBorder="1"/>
    <xf numFmtId="10" fontId="8" fillId="6" borderId="7" xfId="4" applyNumberFormat="1" applyFont="1" applyFill="1" applyBorder="1" applyAlignment="1">
      <alignment vertical="center"/>
    </xf>
    <xf numFmtId="0" fontId="3" fillId="2" borderId="10" xfId="4" applyFont="1" applyFill="1" applyBorder="1" applyAlignment="1">
      <alignment horizontal="center" vertical="center"/>
    </xf>
    <xf numFmtId="0" fontId="3" fillId="2" borderId="10" xfId="4" applyFont="1" applyFill="1" applyBorder="1" applyAlignment="1">
      <alignment vertical="center"/>
    </xf>
    <xf numFmtId="0" fontId="3" fillId="2" borderId="11" xfId="4" applyFont="1" applyFill="1" applyBorder="1" applyAlignment="1">
      <alignment vertical="center"/>
    </xf>
    <xf numFmtId="3" fontId="5" fillId="2" borderId="12" xfId="0" applyNumberFormat="1" applyFont="1" applyFill="1" applyBorder="1" applyAlignment="1">
      <alignment vertical="center"/>
    </xf>
    <xf numFmtId="3" fontId="5" fillId="2" borderId="13" xfId="4" applyNumberFormat="1" applyFont="1" applyFill="1" applyBorder="1" applyAlignment="1">
      <alignment vertical="center"/>
    </xf>
    <xf numFmtId="3" fontId="8" fillId="6" borderId="14" xfId="4" applyNumberFormat="1" applyFont="1" applyFill="1" applyBorder="1" applyAlignment="1">
      <alignment vertical="center"/>
    </xf>
    <xf numFmtId="3" fontId="3" fillId="0" borderId="0" xfId="4" applyNumberFormat="1" applyFont="1"/>
    <xf numFmtId="0" fontId="3" fillId="2" borderId="9" xfId="4" applyFont="1" applyFill="1" applyBorder="1" applyAlignment="1">
      <alignment horizontal="center" vertical="center"/>
    </xf>
    <xf numFmtId="0" fontId="6" fillId="2" borderId="9" xfId="4" applyFont="1" applyFill="1" applyBorder="1" applyAlignment="1">
      <alignment vertical="center"/>
    </xf>
    <xf numFmtId="3" fontId="3" fillId="2" borderId="9" xfId="0" applyNumberFormat="1" applyFont="1" applyFill="1" applyBorder="1"/>
    <xf numFmtId="10" fontId="8" fillId="8" borderId="5" xfId="4" applyNumberFormat="1" applyFont="1" applyFill="1" applyBorder="1" applyAlignment="1">
      <alignment vertical="center"/>
    </xf>
    <xf numFmtId="0" fontId="5" fillId="0" borderId="4" xfId="0" applyFont="1" applyBorder="1"/>
    <xf numFmtId="0" fontId="0" fillId="2" borderId="1" xfId="0" applyFill="1" applyBorder="1"/>
    <xf numFmtId="3" fontId="3" fillId="2" borderId="4" xfId="0" applyNumberFormat="1" applyFont="1" applyFill="1" applyBorder="1"/>
    <xf numFmtId="10" fontId="8" fillId="8" borderId="4" xfId="4" applyNumberFormat="1" applyFont="1" applyFill="1" applyBorder="1" applyAlignment="1">
      <alignment vertical="center"/>
    </xf>
    <xf numFmtId="3" fontId="3" fillId="2" borderId="1" xfId="0" applyNumberFormat="1" applyFont="1" applyFill="1" applyBorder="1"/>
    <xf numFmtId="10" fontId="8" fillId="8" borderId="7" xfId="4" applyNumberFormat="1" applyFont="1" applyFill="1" applyBorder="1" applyAlignment="1">
      <alignment vertical="center"/>
    </xf>
    <xf numFmtId="3" fontId="5" fillId="2" borderId="15" xfId="4" applyNumberFormat="1" applyFont="1" applyFill="1" applyBorder="1" applyAlignment="1">
      <alignment vertical="center"/>
    </xf>
    <xf numFmtId="3" fontId="5" fillId="2" borderId="16" xfId="4" applyNumberFormat="1" applyFont="1" applyFill="1" applyBorder="1" applyAlignment="1">
      <alignment vertical="center"/>
    </xf>
    <xf numFmtId="10" fontId="8" fillId="8" borderId="14" xfId="4" applyNumberFormat="1" applyFont="1" applyFill="1" applyBorder="1" applyAlignment="1">
      <alignment vertical="center"/>
    </xf>
    <xf numFmtId="3" fontId="5" fillId="2" borderId="14" xfId="0" applyNumberFormat="1" applyFont="1" applyFill="1" applyBorder="1" applyAlignment="1">
      <alignment vertical="center"/>
    </xf>
    <xf numFmtId="3" fontId="5" fillId="2" borderId="17" xfId="4" applyNumberFormat="1" applyFont="1" applyFill="1" applyBorder="1" applyAlignment="1">
      <alignment vertical="center"/>
    </xf>
    <xf numFmtId="10" fontId="8" fillId="6" borderId="14" xfId="4" applyNumberFormat="1" applyFont="1" applyFill="1" applyBorder="1" applyAlignment="1">
      <alignment vertical="center"/>
    </xf>
    <xf numFmtId="3" fontId="5" fillId="2" borderId="14" xfId="4" applyNumberFormat="1" applyFont="1" applyFill="1" applyBorder="1" applyAlignment="1">
      <alignment vertical="center"/>
    </xf>
    <xf numFmtId="0" fontId="3" fillId="2" borderId="14" xfId="4" applyFont="1" applyFill="1" applyBorder="1" applyAlignment="1">
      <alignment horizontal="center" vertical="center"/>
    </xf>
    <xf numFmtId="0" fontId="3" fillId="2" borderId="15" xfId="4" applyFont="1" applyFill="1" applyBorder="1" applyAlignment="1">
      <alignment vertical="center"/>
    </xf>
    <xf numFmtId="3" fontId="5" fillId="2" borderId="18" xfId="4" applyNumberFormat="1" applyFont="1" applyFill="1" applyBorder="1" applyAlignment="1">
      <alignment vertical="center"/>
    </xf>
    <xf numFmtId="3" fontId="5" fillId="2" borderId="19" xfId="4" applyNumberFormat="1" applyFont="1" applyFill="1" applyBorder="1" applyAlignment="1">
      <alignment horizontal="right" vertical="center"/>
    </xf>
    <xf numFmtId="3" fontId="5" fillId="2" borderId="9" xfId="4" applyNumberFormat="1" applyFont="1" applyFill="1" applyBorder="1" applyAlignment="1">
      <alignment horizontal="right" vertical="center"/>
    </xf>
    <xf numFmtId="10" fontId="2" fillId="4" borderId="9" xfId="4" applyNumberFormat="1" applyFont="1" applyFill="1" applyBorder="1" applyAlignment="1">
      <alignment vertical="center"/>
    </xf>
    <xf numFmtId="0" fontId="9" fillId="0" borderId="0" xfId="4" applyFont="1"/>
    <xf numFmtId="164" fontId="9" fillId="0" borderId="0" xfId="2" applyFont="1"/>
    <xf numFmtId="2" fontId="5" fillId="2" borderId="4" xfId="4" applyNumberFormat="1" applyFont="1" applyFill="1" applyBorder="1" applyAlignment="1">
      <alignment vertical="center"/>
    </xf>
    <xf numFmtId="0" fontId="5" fillId="2" borderId="4" xfId="4" applyFont="1" applyFill="1" applyBorder="1"/>
    <xf numFmtId="0" fontId="10" fillId="4" borderId="4" xfId="4" applyFont="1" applyFill="1" applyBorder="1"/>
    <xf numFmtId="0" fontId="3" fillId="0" borderId="0" xfId="4" applyFont="1" applyAlignment="1">
      <alignment horizontal="center"/>
    </xf>
    <xf numFmtId="43" fontId="11" fillId="0" borderId="0" xfId="1" applyFont="1"/>
    <xf numFmtId="165" fontId="3" fillId="0" borderId="0" xfId="4" applyNumberFormat="1" applyFont="1"/>
    <xf numFmtId="166" fontId="3" fillId="0" borderId="0" xfId="4" applyNumberFormat="1" applyFont="1"/>
    <xf numFmtId="0" fontId="10" fillId="0" borderId="20" xfId="4" applyFont="1" applyBorder="1"/>
    <xf numFmtId="0" fontId="3" fillId="0" borderId="21" xfId="4" applyFont="1" applyBorder="1"/>
    <xf numFmtId="43" fontId="12" fillId="0" borderId="22" xfId="1" applyFont="1" applyBorder="1"/>
    <xf numFmtId="164" fontId="3" fillId="0" borderId="0" xfId="2" applyFont="1"/>
    <xf numFmtId="0" fontId="9" fillId="0" borderId="23" xfId="4" applyFont="1" applyBorder="1"/>
    <xf numFmtId="43" fontId="12" fillId="0" borderId="24" xfId="1" applyFont="1" applyBorder="1"/>
    <xf numFmtId="0" fontId="9" fillId="0" borderId="25" xfId="4" applyFont="1" applyBorder="1"/>
    <xf numFmtId="0" fontId="3" fillId="0" borderId="26" xfId="4" applyFont="1" applyBorder="1"/>
    <xf numFmtId="167" fontId="13" fillId="0" borderId="27" xfId="2" applyNumberFormat="1" applyFont="1" applyBorder="1"/>
    <xf numFmtId="164" fontId="3" fillId="0" borderId="0" xfId="2" applyFont="1" applyAlignment="1">
      <alignment vertical="center"/>
    </xf>
    <xf numFmtId="0" fontId="3" fillId="0" borderId="23" xfId="4" applyFont="1" applyBorder="1"/>
    <xf numFmtId="167" fontId="13" fillId="0" borderId="24" xfId="2" applyNumberFormat="1" applyFont="1" applyBorder="1"/>
    <xf numFmtId="43" fontId="1" fillId="0" borderId="0" xfId="0" applyNumberFormat="1" applyFont="1"/>
    <xf numFmtId="2" fontId="3" fillId="0" borderId="0" xfId="4" applyNumberFormat="1" applyFont="1"/>
    <xf numFmtId="164" fontId="3" fillId="0" borderId="0" xfId="2" applyFont="1" applyBorder="1"/>
    <xf numFmtId="164" fontId="3" fillId="0" borderId="0" xfId="4" applyNumberFormat="1" applyFont="1"/>
    <xf numFmtId="0" fontId="3" fillId="5" borderId="4" xfId="0" applyFont="1" applyFill="1" applyBorder="1"/>
    <xf numFmtId="0" fontId="4" fillId="2" borderId="28" xfId="4" applyFont="1" applyFill="1" applyBorder="1" applyAlignment="1">
      <alignment horizontal="center" vertical="center"/>
    </xf>
    <xf numFmtId="0" fontId="4" fillId="2" borderId="12" xfId="4" applyFont="1" applyFill="1" applyBorder="1" applyAlignment="1">
      <alignment horizontal="center" vertical="center"/>
    </xf>
    <xf numFmtId="0" fontId="2" fillId="3" borderId="12" xfId="4" applyFont="1" applyFill="1" applyBorder="1" applyAlignment="1">
      <alignment horizontal="center" vertical="center"/>
    </xf>
    <xf numFmtId="0" fontId="2" fillId="3" borderId="14" xfId="4" applyFont="1" applyFill="1" applyBorder="1" applyAlignment="1">
      <alignment horizontal="center" vertical="center"/>
    </xf>
    <xf numFmtId="0" fontId="2" fillId="3" borderId="29" xfId="4" applyFont="1" applyFill="1" applyBorder="1" applyAlignment="1">
      <alignment horizontal="center" vertical="center"/>
    </xf>
    <xf numFmtId="0" fontId="3" fillId="2" borderId="19" xfId="4" applyFont="1" applyFill="1" applyBorder="1" applyAlignment="1">
      <alignment horizontal="center" vertical="center"/>
    </xf>
    <xf numFmtId="0" fontId="15" fillId="9" borderId="9" xfId="4" applyFont="1" applyFill="1" applyBorder="1" applyAlignment="1">
      <alignment vertical="center"/>
    </xf>
    <xf numFmtId="0" fontId="8" fillId="9" borderId="9" xfId="0" applyFont="1" applyFill="1" applyBorder="1"/>
    <xf numFmtId="3" fontId="16" fillId="9" borderId="9" xfId="0" applyNumberFormat="1" applyFont="1" applyFill="1" applyBorder="1" applyAlignment="1">
      <alignment vertical="center"/>
    </xf>
    <xf numFmtId="3" fontId="8" fillId="9" borderId="9" xfId="0" applyNumberFormat="1" applyFont="1" applyFill="1" applyBorder="1" applyAlignment="1">
      <alignment horizontal="right" vertical="center" indent="1"/>
    </xf>
    <xf numFmtId="10" fontId="8" fillId="9" borderId="9" xfId="4" applyNumberFormat="1" applyFont="1" applyFill="1" applyBorder="1" applyAlignment="1">
      <alignment horizontal="right" vertical="center" indent="1"/>
    </xf>
    <xf numFmtId="4" fontId="8" fillId="9" borderId="30" xfId="4" applyNumberFormat="1" applyFont="1" applyFill="1" applyBorder="1" applyAlignment="1">
      <alignment horizontal="right" vertical="center" indent="1"/>
    </xf>
    <xf numFmtId="0" fontId="3" fillId="2" borderId="31" xfId="4" applyFont="1" applyFill="1" applyBorder="1" applyAlignment="1">
      <alignment horizontal="center" vertical="center"/>
    </xf>
    <xf numFmtId="0" fontId="15" fillId="9" borderId="4" xfId="4" applyFont="1" applyFill="1" applyBorder="1" applyAlignment="1">
      <alignment vertical="center"/>
    </xf>
    <xf numFmtId="0" fontId="8" fillId="9" borderId="4" xfId="0" applyFont="1" applyFill="1" applyBorder="1"/>
    <xf numFmtId="3" fontId="16" fillId="9" borderId="4" xfId="0" applyNumberFormat="1" applyFont="1" applyFill="1" applyBorder="1" applyAlignment="1">
      <alignment vertical="center"/>
    </xf>
    <xf numFmtId="3" fontId="8" fillId="9" borderId="4" xfId="0" applyNumberFormat="1" applyFont="1" applyFill="1" applyBorder="1" applyAlignment="1">
      <alignment horizontal="right" vertical="center" indent="1"/>
    </xf>
    <xf numFmtId="10" fontId="8" fillId="9" borderId="4" xfId="4" applyNumberFormat="1" applyFont="1" applyFill="1" applyBorder="1" applyAlignment="1">
      <alignment horizontal="right" vertical="center" indent="1"/>
    </xf>
    <xf numFmtId="4" fontId="8" fillId="9" borderId="32" xfId="4" applyNumberFormat="1" applyFont="1" applyFill="1" applyBorder="1" applyAlignment="1">
      <alignment horizontal="right" vertical="center" indent="1"/>
    </xf>
    <xf numFmtId="0" fontId="3" fillId="2" borderId="3" xfId="4" applyFont="1" applyFill="1" applyBorder="1" applyAlignment="1">
      <alignment horizontal="center" vertical="center"/>
    </xf>
    <xf numFmtId="0" fontId="15" fillId="9" borderId="1" xfId="4" applyFont="1" applyFill="1" applyBorder="1" applyAlignment="1">
      <alignment vertical="center"/>
    </xf>
    <xf numFmtId="0" fontId="8" fillId="9" borderId="1" xfId="0" applyFont="1" applyFill="1" applyBorder="1"/>
    <xf numFmtId="3" fontId="16" fillId="9" borderId="1" xfId="0" applyNumberFormat="1" applyFont="1" applyFill="1" applyBorder="1" applyAlignment="1">
      <alignment vertical="center"/>
    </xf>
    <xf numFmtId="3" fontId="8" fillId="9" borderId="1" xfId="0" applyNumberFormat="1" applyFont="1" applyFill="1" applyBorder="1" applyAlignment="1">
      <alignment horizontal="right" vertical="center" indent="1"/>
    </xf>
    <xf numFmtId="10" fontId="8" fillId="9" borderId="1" xfId="4" applyNumberFormat="1" applyFont="1" applyFill="1" applyBorder="1" applyAlignment="1">
      <alignment horizontal="right" vertical="center" indent="1"/>
    </xf>
    <xf numFmtId="4" fontId="8" fillId="9" borderId="33" xfId="4" applyNumberFormat="1" applyFont="1" applyFill="1" applyBorder="1" applyAlignment="1">
      <alignment horizontal="right" vertical="center" indent="1"/>
    </xf>
    <xf numFmtId="0" fontId="8" fillId="2" borderId="34" xfId="4" applyFont="1" applyFill="1" applyBorder="1" applyAlignment="1">
      <alignment horizontal="center" vertical="center"/>
    </xf>
    <xf numFmtId="0" fontId="8" fillId="2" borderId="35" xfId="4" applyFont="1" applyFill="1" applyBorder="1" applyAlignment="1">
      <alignment horizontal="center" vertical="center"/>
    </xf>
    <xf numFmtId="0" fontId="15" fillId="9" borderId="16" xfId="4" applyFont="1" applyFill="1" applyBorder="1" applyAlignment="1">
      <alignment vertical="center"/>
    </xf>
    <xf numFmtId="0" fontId="4" fillId="9" borderId="15" xfId="4" applyFont="1" applyFill="1" applyBorder="1" applyAlignment="1">
      <alignment vertical="center"/>
    </xf>
    <xf numFmtId="3" fontId="4" fillId="9" borderId="15" xfId="0" applyNumberFormat="1" applyFont="1" applyFill="1" applyBorder="1" applyAlignment="1">
      <alignment vertical="center"/>
    </xf>
    <xf numFmtId="3" fontId="4" fillId="9" borderId="15" xfId="4" applyNumberFormat="1" applyFont="1" applyFill="1" applyBorder="1" applyAlignment="1">
      <alignment horizontal="right" vertical="center" indent="1"/>
    </xf>
    <xf numFmtId="10" fontId="8" fillId="9" borderId="15" xfId="3" applyNumberFormat="1" applyFont="1" applyFill="1" applyBorder="1" applyAlignment="1">
      <alignment horizontal="right" vertical="center" indent="1"/>
    </xf>
    <xf numFmtId="4" fontId="4" fillId="9" borderId="36" xfId="4" applyNumberFormat="1" applyFont="1" applyFill="1" applyBorder="1" applyAlignment="1">
      <alignment horizontal="right" vertical="center" indent="1"/>
    </xf>
    <xf numFmtId="0" fontId="8" fillId="2" borderId="19" xfId="4" applyFont="1" applyFill="1" applyBorder="1" applyAlignment="1">
      <alignment horizontal="center" vertical="center"/>
    </xf>
    <xf numFmtId="0" fontId="8" fillId="2" borderId="6" xfId="4" applyFont="1" applyFill="1" applyBorder="1" applyAlignment="1">
      <alignment horizontal="center" vertical="center"/>
    </xf>
    <xf numFmtId="0" fontId="15" fillId="2" borderId="37" xfId="4" applyFont="1" applyFill="1" applyBorder="1" applyAlignment="1">
      <alignment vertical="center"/>
    </xf>
    <xf numFmtId="0" fontId="8" fillId="2" borderId="9" xfId="0" applyFont="1" applyFill="1" applyBorder="1"/>
    <xf numFmtId="3" fontId="8" fillId="2" borderId="9" xfId="0" applyNumberFormat="1" applyFont="1" applyFill="1" applyBorder="1" applyAlignment="1">
      <alignment vertical="center"/>
    </xf>
    <xf numFmtId="3" fontId="8" fillId="2" borderId="9" xfId="0" applyNumberFormat="1" applyFont="1" applyFill="1" applyBorder="1" applyAlignment="1">
      <alignment horizontal="right" vertical="center" indent="1"/>
    </xf>
    <xf numFmtId="10" fontId="8" fillId="2" borderId="9" xfId="4" applyNumberFormat="1" applyFont="1" applyFill="1" applyBorder="1" applyAlignment="1">
      <alignment horizontal="right" vertical="center" indent="1"/>
    </xf>
    <xf numFmtId="4" fontId="8" fillId="2" borderId="30" xfId="4" applyNumberFormat="1" applyFont="1" applyFill="1" applyBorder="1" applyAlignment="1">
      <alignment horizontal="right" vertical="center" indent="1"/>
    </xf>
    <xf numFmtId="0" fontId="8" fillId="2" borderId="31" xfId="4" applyFont="1" applyFill="1" applyBorder="1" applyAlignment="1">
      <alignment horizontal="center" vertical="center"/>
    </xf>
    <xf numFmtId="0" fontId="8" fillId="2" borderId="8" xfId="4" applyFont="1" applyFill="1" applyBorder="1" applyAlignment="1">
      <alignment horizontal="center" vertical="center"/>
    </xf>
    <xf numFmtId="0" fontId="15" fillId="2" borderId="38" xfId="4" applyFont="1" applyFill="1" applyBorder="1" applyAlignment="1">
      <alignment vertical="center"/>
    </xf>
    <xf numFmtId="0" fontId="8" fillId="2" borderId="4" xfId="0" applyFont="1" applyFill="1" applyBorder="1"/>
    <xf numFmtId="3" fontId="8" fillId="2" borderId="4" xfId="0" applyNumberFormat="1" applyFont="1" applyFill="1" applyBorder="1" applyAlignment="1">
      <alignment vertical="center"/>
    </xf>
    <xf numFmtId="3" fontId="8" fillId="2" borderId="4" xfId="0" applyNumberFormat="1" applyFont="1" applyFill="1" applyBorder="1" applyAlignment="1">
      <alignment horizontal="right" vertical="center" indent="1"/>
    </xf>
    <xf numFmtId="10" fontId="8" fillId="2" borderId="4" xfId="4" applyNumberFormat="1" applyFont="1" applyFill="1" applyBorder="1" applyAlignment="1">
      <alignment horizontal="right" vertical="center" indent="1"/>
    </xf>
    <xf numFmtId="4" fontId="8" fillId="2" borderId="32" xfId="4" applyNumberFormat="1" applyFont="1" applyFill="1" applyBorder="1" applyAlignment="1">
      <alignment horizontal="right" vertical="center" indent="1"/>
    </xf>
    <xf numFmtId="0" fontId="8" fillId="2" borderId="3" xfId="4" applyFont="1" applyFill="1" applyBorder="1" applyAlignment="1">
      <alignment horizontal="center" vertical="center"/>
    </xf>
    <xf numFmtId="0" fontId="8" fillId="2" borderId="2" xfId="4" applyFont="1" applyFill="1" applyBorder="1" applyAlignment="1">
      <alignment horizontal="center" vertical="center"/>
    </xf>
    <xf numFmtId="0" fontId="15" fillId="2" borderId="39" xfId="4" applyFont="1" applyFill="1" applyBorder="1" applyAlignment="1">
      <alignment vertical="center"/>
    </xf>
    <xf numFmtId="0" fontId="8" fillId="2" borderId="1" xfId="0" applyFont="1" applyFill="1" applyBorder="1"/>
    <xf numFmtId="3" fontId="8" fillId="2" borderId="1" xfId="0" applyNumberFormat="1" applyFont="1" applyFill="1" applyBorder="1" applyAlignment="1">
      <alignment vertical="center"/>
    </xf>
    <xf numFmtId="3" fontId="8" fillId="2" borderId="1" xfId="0" applyNumberFormat="1" applyFont="1" applyFill="1" applyBorder="1" applyAlignment="1">
      <alignment horizontal="right" vertical="center" indent="1"/>
    </xf>
    <xf numFmtId="10" fontId="8" fillId="2" borderId="1" xfId="4" applyNumberFormat="1" applyFont="1" applyFill="1" applyBorder="1" applyAlignment="1">
      <alignment horizontal="right" vertical="center" indent="1"/>
    </xf>
    <xf numFmtId="4" fontId="8" fillId="2" borderId="33" xfId="4" applyNumberFormat="1" applyFont="1" applyFill="1" applyBorder="1" applyAlignment="1">
      <alignment horizontal="right" vertical="center" indent="1"/>
    </xf>
    <xf numFmtId="0" fontId="15" fillId="2" borderId="16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3" fontId="4" fillId="2" borderId="15" xfId="4" applyNumberFormat="1" applyFont="1" applyFill="1" applyBorder="1" applyAlignment="1">
      <alignment vertical="center"/>
    </xf>
    <xf numFmtId="3" fontId="4" fillId="2" borderId="15" xfId="4" applyNumberFormat="1" applyFont="1" applyFill="1" applyBorder="1" applyAlignment="1">
      <alignment horizontal="right" vertical="center" indent="1"/>
    </xf>
    <xf numFmtId="10" fontId="8" fillId="2" borderId="15" xfId="3" applyNumberFormat="1" applyFont="1" applyFill="1" applyBorder="1" applyAlignment="1">
      <alignment horizontal="right" vertical="center" indent="1"/>
    </xf>
    <xf numFmtId="4" fontId="4" fillId="2" borderId="36" xfId="4" applyNumberFormat="1" applyFont="1" applyFill="1" applyBorder="1" applyAlignment="1">
      <alignment horizontal="right" vertical="center" indent="1"/>
    </xf>
    <xf numFmtId="0" fontId="15" fillId="9" borderId="37" xfId="4" applyFont="1" applyFill="1" applyBorder="1" applyAlignment="1">
      <alignment vertical="center"/>
    </xf>
    <xf numFmtId="0" fontId="15" fillId="9" borderId="38" xfId="4" applyFont="1" applyFill="1" applyBorder="1" applyAlignment="1">
      <alignment vertical="center"/>
    </xf>
    <xf numFmtId="0" fontId="15" fillId="9" borderId="39" xfId="4" applyFont="1" applyFill="1" applyBorder="1" applyAlignment="1">
      <alignment vertical="center"/>
    </xf>
    <xf numFmtId="3" fontId="16" fillId="2" borderId="4" xfId="0" applyNumberFormat="1" applyFont="1" applyFill="1" applyBorder="1" applyAlignment="1">
      <alignment vertical="center"/>
    </xf>
    <xf numFmtId="3" fontId="4" fillId="9" borderId="15" xfId="4" applyNumberFormat="1" applyFont="1" applyFill="1" applyBorder="1" applyAlignment="1">
      <alignment vertical="center"/>
    </xf>
    <xf numFmtId="4" fontId="3" fillId="0" borderId="0" xfId="4" applyNumberFormat="1" applyFont="1"/>
    <xf numFmtId="3" fontId="16" fillId="2" borderId="1" xfId="0" applyNumberFormat="1" applyFont="1" applyFill="1" applyBorder="1" applyAlignment="1">
      <alignment vertical="center"/>
    </xf>
    <xf numFmtId="0" fontId="8" fillId="2" borderId="28" xfId="4" applyFont="1" applyFill="1" applyBorder="1" applyAlignment="1">
      <alignment horizontal="center" vertical="center"/>
    </xf>
    <xf numFmtId="0" fontId="8" fillId="2" borderId="40" xfId="4" applyFont="1" applyFill="1" applyBorder="1" applyAlignment="1">
      <alignment horizontal="center" vertical="center"/>
    </xf>
    <xf numFmtId="0" fontId="15" fillId="2" borderId="15" xfId="4" applyFont="1" applyFill="1" applyBorder="1" applyAlignment="1">
      <alignment vertical="center"/>
    </xf>
    <xf numFmtId="3" fontId="4" fillId="2" borderId="41" xfId="4" applyNumberFormat="1" applyFont="1" applyFill="1" applyBorder="1" applyAlignment="1">
      <alignment vertical="center"/>
    </xf>
    <xf numFmtId="3" fontId="15" fillId="2" borderId="15" xfId="4" applyNumberFormat="1" applyFont="1" applyFill="1" applyBorder="1" applyAlignment="1">
      <alignment horizontal="right" vertical="center" indent="1"/>
    </xf>
    <xf numFmtId="10" fontId="15" fillId="2" borderId="15" xfId="3" applyNumberFormat="1" applyFont="1" applyFill="1" applyBorder="1" applyAlignment="1">
      <alignment horizontal="right" vertical="center" indent="1"/>
    </xf>
    <xf numFmtId="4" fontId="15" fillId="2" borderId="36" xfId="4" applyNumberFormat="1" applyFont="1" applyFill="1" applyBorder="1" applyAlignment="1">
      <alignment horizontal="right" vertical="center" indent="1"/>
    </xf>
    <xf numFmtId="3" fontId="2" fillId="2" borderId="15" xfId="4" applyNumberFormat="1" applyFont="1" applyFill="1" applyBorder="1" applyAlignment="1">
      <alignment horizontal="right" vertical="center" indent="1"/>
    </xf>
    <xf numFmtId="10" fontId="2" fillId="2" borderId="15" xfId="3" applyNumberFormat="1" applyFont="1" applyFill="1" applyBorder="1" applyAlignment="1">
      <alignment horizontal="right" vertical="center" indent="1"/>
    </xf>
    <xf numFmtId="4" fontId="2" fillId="2" borderId="36" xfId="4" applyNumberFormat="1" applyFont="1" applyFill="1" applyBorder="1" applyAlignment="1">
      <alignment horizontal="right" vertical="center" indent="1"/>
    </xf>
    <xf numFmtId="2" fontId="9" fillId="0" borderId="0" xfId="4" applyNumberFormat="1" applyFont="1"/>
    <xf numFmtId="0" fontId="7" fillId="0" borderId="0" xfId="4" applyFont="1"/>
    <xf numFmtId="43" fontId="17" fillId="0" borderId="0" xfId="1" applyFont="1"/>
    <xf numFmtId="165" fontId="7" fillId="0" borderId="0" xfId="4" applyNumberFormat="1" applyFont="1"/>
    <xf numFmtId="3" fontId="7" fillId="0" borderId="0" xfId="4" applyNumberFormat="1" applyFont="1"/>
    <xf numFmtId="0" fontId="14" fillId="0" borderId="0" xfId="0" applyFont="1" applyAlignment="1">
      <alignment horizontal="center" vertical="center"/>
    </xf>
    <xf numFmtId="164" fontId="18" fillId="0" borderId="0" xfId="2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3" borderId="42" xfId="0" applyFont="1" applyFill="1" applyBorder="1" applyAlignment="1">
      <alignment horizontal="center" vertical="center" wrapText="1"/>
    </xf>
    <xf numFmtId="0" fontId="2" fillId="3" borderId="43" xfId="0" applyFont="1" applyFill="1" applyBorder="1" applyAlignment="1">
      <alignment horizontal="center" vertical="center" wrapText="1"/>
    </xf>
    <xf numFmtId="0" fontId="2" fillId="3" borderId="44" xfId="0" applyFont="1" applyFill="1" applyBorder="1" applyAlignment="1">
      <alignment horizontal="center" vertical="center" wrapText="1"/>
    </xf>
    <xf numFmtId="0" fontId="4" fillId="3" borderId="39" xfId="0" applyFont="1" applyFill="1" applyBorder="1" applyAlignment="1">
      <alignment horizontal="center" vertical="center" wrapText="1"/>
    </xf>
    <xf numFmtId="164" fontId="4" fillId="0" borderId="0" xfId="2" applyFont="1"/>
    <xf numFmtId="0" fontId="0" fillId="0" borderId="4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8" fillId="2" borderId="45" xfId="0" applyFont="1" applyFill="1" applyBorder="1" applyAlignment="1">
      <alignment horizontal="center" vertical="center"/>
    </xf>
    <xf numFmtId="0" fontId="8" fillId="2" borderId="46" xfId="0" applyFont="1" applyFill="1" applyBorder="1" applyAlignment="1">
      <alignment horizontal="center" vertical="center"/>
    </xf>
    <xf numFmtId="0" fontId="8" fillId="2" borderId="46" xfId="0" applyFont="1" applyFill="1" applyBorder="1" applyAlignment="1">
      <alignment vertical="center"/>
    </xf>
    <xf numFmtId="0" fontId="8" fillId="2" borderId="46" xfId="0" applyFont="1" applyFill="1" applyBorder="1"/>
    <xf numFmtId="3" fontId="10" fillId="2" borderId="5" xfId="0" applyNumberFormat="1" applyFont="1" applyFill="1" applyBorder="1"/>
    <xf numFmtId="164" fontId="19" fillId="2" borderId="47" xfId="2" applyFont="1" applyFill="1" applyBorder="1"/>
    <xf numFmtId="3" fontId="8" fillId="9" borderId="38" xfId="0" applyNumberFormat="1" applyFont="1" applyFill="1" applyBorder="1"/>
    <xf numFmtId="3" fontId="0" fillId="0" borderId="4" xfId="0" applyNumberFormat="1" applyBorder="1"/>
    <xf numFmtId="0" fontId="3" fillId="0" borderId="7" xfId="0" applyFont="1" applyBorder="1"/>
    <xf numFmtId="164" fontId="3" fillId="0" borderId="7" xfId="2" applyFont="1" applyBorder="1"/>
    <xf numFmtId="0" fontId="8" fillId="2" borderId="31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vertical="center"/>
    </xf>
    <xf numFmtId="3" fontId="10" fillId="2" borderId="4" xfId="0" applyNumberFormat="1" applyFont="1" applyFill="1" applyBorder="1"/>
    <xf numFmtId="164" fontId="19" fillId="2" borderId="32" xfId="2" applyFont="1" applyFill="1" applyBorder="1"/>
    <xf numFmtId="0" fontId="3" fillId="2" borderId="9" xfId="0" applyFont="1" applyFill="1" applyBorder="1"/>
    <xf numFmtId="164" fontId="3" fillId="2" borderId="9" xfId="2" applyFont="1" applyFill="1" applyBorder="1"/>
    <xf numFmtId="0" fontId="3" fillId="2" borderId="4" xfId="0" applyFont="1" applyFill="1" applyBorder="1"/>
    <xf numFmtId="164" fontId="3" fillId="2" borderId="4" xfId="2" applyFont="1" applyFill="1" applyBorder="1"/>
    <xf numFmtId="0" fontId="8" fillId="2" borderId="3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3" fontId="10" fillId="2" borderId="7" xfId="0" applyNumberFormat="1" applyFont="1" applyFill="1" applyBorder="1"/>
    <xf numFmtId="164" fontId="19" fillId="2" borderId="33" xfId="2" applyFont="1" applyFill="1" applyBorder="1"/>
    <xf numFmtId="0" fontId="4" fillId="2" borderId="34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164" fontId="2" fillId="2" borderId="12" xfId="2" applyFont="1" applyFill="1" applyBorder="1"/>
    <xf numFmtId="164" fontId="2" fillId="2" borderId="48" xfId="2" applyFont="1" applyFill="1" applyBorder="1"/>
    <xf numFmtId="3" fontId="4" fillId="9" borderId="17" xfId="0" applyNumberFormat="1" applyFont="1" applyFill="1" applyBorder="1"/>
    <xf numFmtId="164" fontId="4" fillId="9" borderId="14" xfId="2" applyFont="1" applyFill="1" applyBorder="1"/>
    <xf numFmtId="0" fontId="8" fillId="9" borderId="19" xfId="0" applyFont="1" applyFill="1" applyBorder="1" applyAlignment="1">
      <alignment horizontal="center" vertical="center"/>
    </xf>
    <xf numFmtId="0" fontId="8" fillId="9" borderId="9" xfId="0" applyFont="1" applyFill="1" applyBorder="1" applyAlignment="1">
      <alignment horizontal="center" vertical="center"/>
    </xf>
    <xf numFmtId="0" fontId="8" fillId="9" borderId="9" xfId="0" applyFont="1" applyFill="1" applyBorder="1" applyAlignment="1">
      <alignment vertical="center"/>
    </xf>
    <xf numFmtId="3" fontId="10" fillId="9" borderId="9" xfId="0" applyNumberFormat="1" applyFont="1" applyFill="1" applyBorder="1"/>
    <xf numFmtId="164" fontId="19" fillId="9" borderId="32" xfId="2" applyFont="1" applyFill="1" applyBorder="1"/>
    <xf numFmtId="3" fontId="8" fillId="2" borderId="38" xfId="0" applyNumberFormat="1" applyFont="1" applyFill="1" applyBorder="1"/>
    <xf numFmtId="0" fontId="3" fillId="2" borderId="1" xfId="0" applyFont="1" applyFill="1" applyBorder="1"/>
    <xf numFmtId="164" fontId="3" fillId="2" borderId="1" xfId="2" applyFont="1" applyFill="1" applyBorder="1"/>
    <xf numFmtId="0" fontId="8" fillId="9" borderId="31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vertical="center"/>
    </xf>
    <xf numFmtId="3" fontId="10" fillId="9" borderId="4" xfId="0" applyNumberFormat="1" applyFont="1" applyFill="1" applyBorder="1"/>
    <xf numFmtId="0" fontId="8" fillId="9" borderId="3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vertical="center"/>
    </xf>
    <xf numFmtId="3" fontId="10" fillId="9" borderId="1" xfId="0" applyNumberFormat="1" applyFont="1" applyFill="1" applyBorder="1"/>
    <xf numFmtId="0" fontId="4" fillId="9" borderId="34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vertical="center"/>
    </xf>
    <xf numFmtId="0" fontId="4" fillId="9" borderId="14" xfId="0" applyFont="1" applyFill="1" applyBorder="1" applyAlignment="1">
      <alignment vertical="center"/>
    </xf>
    <xf numFmtId="164" fontId="2" fillId="9" borderId="10" xfId="2" applyFont="1" applyFill="1" applyBorder="1"/>
    <xf numFmtId="164" fontId="2" fillId="9" borderId="48" xfId="2" applyFont="1" applyFill="1" applyBorder="1"/>
    <xf numFmtId="3" fontId="4" fillId="2" borderId="17" xfId="0" applyNumberFormat="1" applyFont="1" applyFill="1" applyBorder="1"/>
    <xf numFmtId="164" fontId="4" fillId="2" borderId="14" xfId="2" applyFont="1" applyFill="1" applyBorder="1"/>
    <xf numFmtId="0" fontId="8" fillId="2" borderId="19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vertical="center"/>
    </xf>
    <xf numFmtId="3" fontId="10" fillId="2" borderId="9" xfId="0" applyNumberFormat="1" applyFont="1" applyFill="1" applyBorder="1"/>
    <xf numFmtId="3" fontId="10" fillId="2" borderId="1" xfId="0" applyNumberFormat="1" applyFont="1" applyFill="1" applyBorder="1"/>
    <xf numFmtId="164" fontId="2" fillId="2" borderId="15" xfId="2" applyFont="1" applyFill="1" applyBorder="1"/>
    <xf numFmtId="164" fontId="19" fillId="9" borderId="9" xfId="2" applyFont="1" applyFill="1" applyBorder="1"/>
    <xf numFmtId="164" fontId="19" fillId="9" borderId="4" xfId="2" applyFont="1" applyFill="1" applyBorder="1"/>
    <xf numFmtId="164" fontId="19" fillId="9" borderId="1" xfId="2" applyFont="1" applyFill="1" applyBorder="1"/>
    <xf numFmtId="164" fontId="2" fillId="9" borderId="14" xfId="2" applyFont="1" applyFill="1" applyBorder="1"/>
    <xf numFmtId="164" fontId="19" fillId="2" borderId="9" xfId="2" applyFont="1" applyFill="1" applyBorder="1"/>
    <xf numFmtId="164" fontId="19" fillId="2" borderId="4" xfId="2" applyFont="1" applyFill="1" applyBorder="1"/>
    <xf numFmtId="164" fontId="19" fillId="2" borderId="1" xfId="2" applyFont="1" applyFill="1" applyBorder="1"/>
    <xf numFmtId="164" fontId="2" fillId="2" borderId="14" xfId="2" applyFont="1" applyFill="1" applyBorder="1"/>
    <xf numFmtId="3" fontId="20" fillId="0" borderId="4" xfId="0" applyNumberFormat="1" applyFont="1" applyBorder="1"/>
    <xf numFmtId="0" fontId="4" fillId="9" borderId="18" xfId="0" applyFont="1" applyFill="1" applyBorder="1" applyAlignment="1">
      <alignment horizontal="center" vertical="center"/>
    </xf>
    <xf numFmtId="0" fontId="4" fillId="9" borderId="14" xfId="0" applyFont="1" applyFill="1" applyBorder="1" applyAlignment="1">
      <alignment horizontal="center" vertical="center"/>
    </xf>
    <xf numFmtId="164" fontId="14" fillId="3" borderId="14" xfId="2" applyFont="1" applyFill="1" applyBorder="1" applyAlignment="1">
      <alignment vertical="center"/>
    </xf>
    <xf numFmtId="164" fontId="14" fillId="3" borderId="48" xfId="2" applyFont="1" applyFill="1" applyBorder="1" applyAlignment="1">
      <alignment vertical="center"/>
    </xf>
    <xf numFmtId="3" fontId="4" fillId="3" borderId="17" xfId="0" applyNumberFormat="1" applyFont="1" applyFill="1" applyBorder="1" applyAlignment="1">
      <alignment vertical="center"/>
    </xf>
    <xf numFmtId="3" fontId="3" fillId="0" borderId="0" xfId="0" applyNumberFormat="1" applyFont="1"/>
    <xf numFmtId="0" fontId="3" fillId="0" borderId="0" xfId="0" applyFont="1" applyAlignment="1">
      <alignment horizontal="center"/>
    </xf>
    <xf numFmtId="0" fontId="13" fillId="3" borderId="18" xfId="0" applyFont="1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/>
    </xf>
    <xf numFmtId="0" fontId="13" fillId="3" borderId="48" xfId="0" applyFont="1" applyFill="1" applyBorder="1" applyAlignment="1">
      <alignment horizontal="center" vertical="center"/>
    </xf>
    <xf numFmtId="0" fontId="21" fillId="3" borderId="14" xfId="0" applyFont="1" applyFill="1" applyBorder="1" applyAlignment="1">
      <alignment vertical="center"/>
    </xf>
    <xf numFmtId="0" fontId="13" fillId="9" borderId="9" xfId="0" applyFont="1" applyFill="1" applyBorder="1" applyAlignment="1">
      <alignment horizontal="left" vertical="center" indent="1"/>
    </xf>
    <xf numFmtId="3" fontId="13" fillId="9" borderId="9" xfId="0" applyNumberFormat="1" applyFont="1" applyFill="1" applyBorder="1" applyAlignment="1">
      <alignment horizontal="right" indent="2"/>
    </xf>
    <xf numFmtId="4" fontId="13" fillId="9" borderId="30" xfId="0" applyNumberFormat="1" applyFont="1" applyFill="1" applyBorder="1" applyAlignment="1">
      <alignment horizontal="right" vertical="center" indent="2"/>
    </xf>
    <xf numFmtId="0" fontId="13" fillId="3" borderId="34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22" fillId="3" borderId="14" xfId="0" applyFont="1" applyFill="1" applyBorder="1" applyAlignment="1">
      <alignment vertical="center"/>
    </xf>
    <xf numFmtId="0" fontId="13" fillId="2" borderId="4" xfId="0" applyFont="1" applyFill="1" applyBorder="1" applyAlignment="1">
      <alignment horizontal="left" vertical="center" indent="1"/>
    </xf>
    <xf numFmtId="3" fontId="13" fillId="2" borderId="4" xfId="0" applyNumberFormat="1" applyFont="1" applyFill="1" applyBorder="1" applyAlignment="1">
      <alignment horizontal="right" indent="2"/>
    </xf>
    <xf numFmtId="4" fontId="13" fillId="2" borderId="32" xfId="0" applyNumberFormat="1" applyFont="1" applyFill="1" applyBorder="1" applyAlignment="1">
      <alignment horizontal="right" vertical="center" indent="2"/>
    </xf>
    <xf numFmtId="0" fontId="13" fillId="9" borderId="4" xfId="0" applyFont="1" applyFill="1" applyBorder="1" applyAlignment="1">
      <alignment horizontal="left" vertical="center" indent="1"/>
    </xf>
    <xf numFmtId="3" fontId="13" fillId="9" borderId="4" xfId="0" applyNumberFormat="1" applyFont="1" applyFill="1" applyBorder="1" applyAlignment="1">
      <alignment horizontal="right" indent="2"/>
    </xf>
    <xf numFmtId="4" fontId="13" fillId="9" borderId="32" xfId="0" applyNumberFormat="1" applyFont="1" applyFill="1" applyBorder="1" applyAlignment="1">
      <alignment horizontal="right" vertical="center" indent="2"/>
    </xf>
    <xf numFmtId="0" fontId="13" fillId="2" borderId="1" xfId="0" applyFont="1" applyFill="1" applyBorder="1" applyAlignment="1">
      <alignment horizontal="left" vertical="center" indent="1"/>
    </xf>
    <xf numFmtId="3" fontId="13" fillId="2" borderId="1" xfId="0" applyNumberFormat="1" applyFont="1" applyFill="1" applyBorder="1" applyAlignment="1">
      <alignment horizontal="right" indent="2"/>
    </xf>
    <xf numFmtId="4" fontId="13" fillId="2" borderId="33" xfId="0" applyNumberFormat="1" applyFont="1" applyFill="1" applyBorder="1" applyAlignment="1">
      <alignment horizontal="right" vertical="center" indent="2"/>
    </xf>
    <xf numFmtId="3" fontId="13" fillId="3" borderId="15" xfId="0" applyNumberFormat="1" applyFont="1" applyFill="1" applyBorder="1" applyAlignment="1">
      <alignment horizontal="right" vertical="center" indent="2"/>
    </xf>
    <xf numFmtId="3" fontId="13" fillId="3" borderId="36" xfId="0" applyNumberFormat="1" applyFont="1" applyFill="1" applyBorder="1" applyAlignment="1">
      <alignment horizontal="right" vertical="center" indent="2"/>
    </xf>
    <xf numFmtId="0" fontId="24" fillId="0" borderId="0" xfId="5" applyFont="1"/>
    <xf numFmtId="0" fontId="7" fillId="0" borderId="0" xfId="5" applyFont="1"/>
    <xf numFmtId="164" fontId="25" fillId="10" borderId="19" xfId="2" applyFont="1" applyFill="1" applyBorder="1" applyAlignment="1">
      <alignment horizontal="center" vertical="center" wrapText="1"/>
    </xf>
    <xf numFmtId="164" fontId="25" fillId="10" borderId="9" xfId="2" applyFont="1" applyFill="1" applyBorder="1" applyAlignment="1">
      <alignment horizontal="center" vertical="center" wrapText="1"/>
    </xf>
    <xf numFmtId="164" fontId="25" fillId="10" borderId="12" xfId="2" applyFont="1" applyFill="1" applyBorder="1" applyAlignment="1">
      <alignment horizontal="center" vertical="center" wrapText="1"/>
    </xf>
    <xf numFmtId="164" fontId="25" fillId="10" borderId="29" xfId="2" applyFont="1" applyFill="1" applyBorder="1" applyAlignment="1">
      <alignment horizontal="center" vertical="center" wrapText="1"/>
    </xf>
    <xf numFmtId="0" fontId="23" fillId="0" borderId="0" xfId="5"/>
    <xf numFmtId="164" fontId="26" fillId="3" borderId="41" xfId="2" applyFont="1" applyFill="1" applyBorder="1" applyAlignment="1">
      <alignment vertical="center"/>
    </xf>
    <xf numFmtId="164" fontId="26" fillId="3" borderId="49" xfId="2" applyFont="1" applyFill="1" applyBorder="1" applyAlignment="1">
      <alignment vertical="center"/>
    </xf>
    <xf numFmtId="164" fontId="26" fillId="3" borderId="11" xfId="2" applyFont="1" applyFill="1" applyBorder="1" applyAlignment="1">
      <alignment vertical="center"/>
    </xf>
    <xf numFmtId="164" fontId="26" fillId="3" borderId="18" xfId="5" applyNumberFormat="1" applyFont="1" applyFill="1" applyBorder="1"/>
    <xf numFmtId="164" fontId="26" fillId="3" borderId="14" xfId="5" applyNumberFormat="1" applyFont="1" applyFill="1" applyBorder="1"/>
    <xf numFmtId="164" fontId="26" fillId="3" borderId="17" xfId="2" applyFont="1" applyFill="1" applyBorder="1" applyAlignment="1">
      <alignment vertical="center"/>
    </xf>
    <xf numFmtId="164" fontId="26" fillId="3" borderId="14" xfId="2" applyFont="1" applyFill="1" applyBorder="1" applyAlignment="1">
      <alignment vertical="center"/>
    </xf>
    <xf numFmtId="164" fontId="26" fillId="3" borderId="48" xfId="2" applyFont="1" applyFill="1" applyBorder="1" applyAlignment="1">
      <alignment vertical="center"/>
    </xf>
    <xf numFmtId="164" fontId="26" fillId="9" borderId="19" xfId="2" applyFont="1" applyFill="1" applyBorder="1" applyAlignment="1">
      <alignment vertical="center"/>
    </xf>
    <xf numFmtId="164" fontId="26" fillId="9" borderId="6" xfId="2" applyFont="1" applyFill="1" applyBorder="1" applyAlignment="1">
      <alignment vertical="center"/>
    </xf>
    <xf numFmtId="164" fontId="26" fillId="9" borderId="9" xfId="5" applyNumberFormat="1" applyFont="1" applyFill="1" applyBorder="1"/>
    <xf numFmtId="164" fontId="26" fillId="9" borderId="37" xfId="2" applyFont="1" applyFill="1" applyBorder="1" applyAlignment="1">
      <alignment vertical="center"/>
    </xf>
    <xf numFmtId="164" fontId="26" fillId="9" borderId="9" xfId="2" applyFont="1" applyFill="1" applyBorder="1" applyAlignment="1">
      <alignment vertical="center"/>
    </xf>
    <xf numFmtId="164" fontId="26" fillId="9" borderId="30" xfId="2" applyFont="1" applyFill="1" applyBorder="1" applyAlignment="1">
      <alignment vertical="center"/>
    </xf>
    <xf numFmtId="164" fontId="23" fillId="0" borderId="0" xfId="5" applyNumberFormat="1"/>
    <xf numFmtId="164" fontId="7" fillId="9" borderId="31" xfId="2" applyFont="1" applyFill="1" applyBorder="1" applyAlignment="1">
      <alignment vertical="center"/>
    </xf>
    <xf numFmtId="164" fontId="7" fillId="9" borderId="8" xfId="2" applyFont="1" applyFill="1" applyBorder="1" applyAlignment="1">
      <alignment vertical="center"/>
    </xf>
    <xf numFmtId="164" fontId="7" fillId="9" borderId="4" xfId="5" applyNumberFormat="1" applyFont="1" applyFill="1" applyBorder="1"/>
    <xf numFmtId="164" fontId="7" fillId="9" borderId="38" xfId="2" applyFont="1" applyFill="1" applyBorder="1" applyAlignment="1">
      <alignment vertical="center"/>
    </xf>
    <xf numFmtId="164" fontId="7" fillId="9" borderId="4" xfId="2" applyFont="1" applyFill="1" applyBorder="1" applyAlignment="1">
      <alignment vertical="center"/>
    </xf>
    <xf numFmtId="164" fontId="7" fillId="9" borderId="32" xfId="2" applyFont="1" applyFill="1" applyBorder="1" applyAlignment="1">
      <alignment vertical="center"/>
    </xf>
    <xf numFmtId="164" fontId="7" fillId="9" borderId="3" xfId="2" applyFont="1" applyFill="1" applyBorder="1" applyAlignment="1">
      <alignment vertical="center"/>
    </xf>
    <xf numFmtId="164" fontId="7" fillId="9" borderId="2" xfId="2" applyFont="1" applyFill="1" applyBorder="1" applyAlignment="1">
      <alignment vertical="center"/>
    </xf>
    <xf numFmtId="164" fontId="7" fillId="9" borderId="1" xfId="5" applyNumberFormat="1" applyFont="1" applyFill="1" applyBorder="1"/>
    <xf numFmtId="164" fontId="7" fillId="9" borderId="39" xfId="2" applyFont="1" applyFill="1" applyBorder="1" applyAlignment="1">
      <alignment vertical="center"/>
    </xf>
    <xf numFmtId="164" fontId="7" fillId="9" borderId="1" xfId="2" applyFont="1" applyFill="1" applyBorder="1" applyAlignment="1">
      <alignment vertical="center"/>
    </xf>
    <xf numFmtId="164" fontId="7" fillId="9" borderId="33" xfId="2" applyFont="1" applyFill="1" applyBorder="1" applyAlignment="1">
      <alignment vertical="center"/>
    </xf>
    <xf numFmtId="164" fontId="26" fillId="2" borderId="53" xfId="2" applyFont="1" applyFill="1" applyBorder="1" applyAlignment="1">
      <alignment vertical="center"/>
    </xf>
    <xf numFmtId="164" fontId="26" fillId="2" borderId="54" xfId="2" applyFont="1" applyFill="1" applyBorder="1" applyAlignment="1">
      <alignment vertical="center"/>
    </xf>
    <xf numFmtId="164" fontId="26" fillId="2" borderId="5" xfId="5" applyNumberFormat="1" applyFont="1" applyFill="1" applyBorder="1"/>
    <xf numFmtId="164" fontId="26" fillId="2" borderId="55" xfId="2" applyFont="1" applyFill="1" applyBorder="1" applyAlignment="1">
      <alignment vertical="center"/>
    </xf>
    <xf numFmtId="164" fontId="26" fillId="2" borderId="5" xfId="2" applyFont="1" applyFill="1" applyBorder="1" applyAlignment="1">
      <alignment vertical="center"/>
    </xf>
    <xf numFmtId="164" fontId="26" fillId="2" borderId="56" xfId="2" applyFont="1" applyFill="1" applyBorder="1" applyAlignment="1">
      <alignment vertical="center"/>
    </xf>
    <xf numFmtId="164" fontId="7" fillId="2" borderId="31" xfId="2" applyFont="1" applyFill="1" applyBorder="1" applyAlignment="1">
      <alignment vertical="center"/>
    </xf>
    <xf numFmtId="164" fontId="7" fillId="2" borderId="8" xfId="2" applyFont="1" applyFill="1" applyBorder="1" applyAlignment="1">
      <alignment vertical="center"/>
    </xf>
    <xf numFmtId="164" fontId="7" fillId="2" borderId="4" xfId="5" applyNumberFormat="1" applyFont="1" applyFill="1" applyBorder="1"/>
    <xf numFmtId="164" fontId="7" fillId="2" borderId="38" xfId="2" applyFont="1" applyFill="1" applyBorder="1" applyAlignment="1">
      <alignment vertical="center"/>
    </xf>
    <xf numFmtId="164" fontId="7" fillId="2" borderId="4" xfId="2" applyFont="1" applyFill="1" applyBorder="1" applyAlignment="1">
      <alignment vertical="center"/>
    </xf>
    <xf numFmtId="164" fontId="7" fillId="2" borderId="56" xfId="2" applyFont="1" applyFill="1" applyBorder="1" applyAlignment="1">
      <alignment vertical="center"/>
    </xf>
    <xf numFmtId="164" fontId="7" fillId="2" borderId="32" xfId="2" applyFont="1" applyFill="1" applyBorder="1" applyAlignment="1">
      <alignment vertical="center"/>
    </xf>
    <xf numFmtId="164" fontId="7" fillId="2" borderId="57" xfId="2" applyFont="1" applyFill="1" applyBorder="1" applyAlignment="1">
      <alignment vertical="center"/>
    </xf>
    <xf numFmtId="164" fontId="7" fillId="2" borderId="58" xfId="2" applyFont="1" applyFill="1" applyBorder="1" applyAlignment="1">
      <alignment vertical="center"/>
    </xf>
    <xf numFmtId="164" fontId="7" fillId="2" borderId="7" xfId="5" applyNumberFormat="1" applyFont="1" applyFill="1" applyBorder="1"/>
    <xf numFmtId="164" fontId="7" fillId="2" borderId="59" xfId="2" applyFont="1" applyFill="1" applyBorder="1" applyAlignment="1">
      <alignment vertical="center"/>
    </xf>
    <xf numFmtId="164" fontId="7" fillId="2" borderId="7" xfId="2" applyFont="1" applyFill="1" applyBorder="1" applyAlignment="1">
      <alignment vertical="center"/>
    </xf>
    <xf numFmtId="164" fontId="7" fillId="2" borderId="60" xfId="2" applyFont="1" applyFill="1" applyBorder="1" applyAlignment="1">
      <alignment vertical="center"/>
    </xf>
    <xf numFmtId="164" fontId="7" fillId="9" borderId="56" xfId="2" applyFont="1" applyFill="1" applyBorder="1" applyAlignment="1">
      <alignment vertical="center"/>
    </xf>
    <xf numFmtId="164" fontId="7" fillId="2" borderId="3" xfId="2" applyFont="1" applyFill="1" applyBorder="1" applyAlignment="1">
      <alignment vertical="center"/>
    </xf>
    <xf numFmtId="164" fontId="7" fillId="2" borderId="2" xfId="2" applyFont="1" applyFill="1" applyBorder="1" applyAlignment="1">
      <alignment vertical="center"/>
    </xf>
    <xf numFmtId="164" fontId="7" fillId="2" borderId="1" xfId="5" applyNumberFormat="1" applyFont="1" applyFill="1" applyBorder="1"/>
    <xf numFmtId="164" fontId="7" fillId="2" borderId="39" xfId="2" applyFont="1" applyFill="1" applyBorder="1" applyAlignment="1">
      <alignment vertical="center"/>
    </xf>
    <xf numFmtId="164" fontId="7" fillId="2" borderId="1" xfId="2" applyFont="1" applyFill="1" applyBorder="1" applyAlignment="1">
      <alignment vertical="center"/>
    </xf>
    <xf numFmtId="164" fontId="7" fillId="2" borderId="33" xfId="2" applyFont="1" applyFill="1" applyBorder="1" applyAlignment="1">
      <alignment vertical="center"/>
    </xf>
    <xf numFmtId="0" fontId="14" fillId="0" borderId="0" xfId="4" applyFont="1"/>
    <xf numFmtId="0" fontId="27" fillId="0" borderId="0" xfId="4" applyFont="1"/>
    <xf numFmtId="168" fontId="9" fillId="0" borderId="0" xfId="4" applyNumberFormat="1" applyFont="1"/>
    <xf numFmtId="0" fontId="25" fillId="10" borderId="19" xfId="5" applyFont="1" applyFill="1" applyBorder="1" applyAlignment="1">
      <alignment horizontal="center" vertical="center" wrapText="1"/>
    </xf>
    <xf numFmtId="0" fontId="25" fillId="10" borderId="9" xfId="5" applyFont="1" applyFill="1" applyBorder="1" applyAlignment="1">
      <alignment horizontal="center" vertical="center" wrapText="1"/>
    </xf>
    <xf numFmtId="0" fontId="28" fillId="10" borderId="9" xfId="5" applyFont="1" applyFill="1" applyBorder="1" applyAlignment="1">
      <alignment horizontal="center" vertical="center" wrapText="1"/>
    </xf>
    <xf numFmtId="0" fontId="28" fillId="10" borderId="6" xfId="5" applyFont="1" applyFill="1" applyBorder="1" applyAlignment="1">
      <alignment horizontal="center" vertical="center" wrapText="1"/>
    </xf>
    <xf numFmtId="0" fontId="28" fillId="10" borderId="30" xfId="5" applyFont="1" applyFill="1" applyBorder="1" applyAlignment="1">
      <alignment horizontal="center" vertical="center" wrapText="1"/>
    </xf>
    <xf numFmtId="0" fontId="25" fillId="10" borderId="34" xfId="5" applyFont="1" applyFill="1" applyBorder="1" applyAlignment="1">
      <alignment horizontal="center" vertical="center" wrapText="1"/>
    </xf>
    <xf numFmtId="0" fontId="25" fillId="10" borderId="10" xfId="5" applyFont="1" applyFill="1" applyBorder="1" applyAlignment="1">
      <alignment horizontal="center" vertical="center" wrapText="1"/>
    </xf>
    <xf numFmtId="0" fontId="28" fillId="10" borderId="10" xfId="5" applyFont="1" applyFill="1" applyBorder="1" applyAlignment="1">
      <alignment horizontal="center" vertical="center" wrapText="1"/>
    </xf>
    <xf numFmtId="0" fontId="28" fillId="10" borderId="35" xfId="5" applyFont="1" applyFill="1" applyBorder="1" applyAlignment="1">
      <alignment horizontal="center" vertical="center" wrapText="1"/>
    </xf>
    <xf numFmtId="0" fontId="28" fillId="10" borderId="61" xfId="5" applyFont="1" applyFill="1" applyBorder="1" applyAlignment="1">
      <alignment horizontal="center" vertical="center" wrapText="1"/>
    </xf>
    <xf numFmtId="0" fontId="26" fillId="3" borderId="57" xfId="5" applyFont="1" applyFill="1" applyBorder="1"/>
    <xf numFmtId="0" fontId="26" fillId="3" borderId="7" xfId="5" applyFont="1" applyFill="1" applyBorder="1"/>
    <xf numFmtId="164" fontId="26" fillId="3" borderId="60" xfId="2" applyFont="1" applyFill="1" applyBorder="1"/>
    <xf numFmtId="167" fontId="26" fillId="3" borderId="7" xfId="2" applyNumberFormat="1" applyFont="1" applyFill="1" applyBorder="1"/>
    <xf numFmtId="164" fontId="26" fillId="3" borderId="7" xfId="2" applyFont="1" applyFill="1" applyBorder="1"/>
    <xf numFmtId="0" fontId="26" fillId="3" borderId="3" xfId="5" applyFont="1" applyFill="1" applyBorder="1"/>
    <xf numFmtId="0" fontId="26" fillId="3" borderId="1" xfId="5" applyFont="1" applyFill="1" applyBorder="1"/>
    <xf numFmtId="3" fontId="26" fillId="3" borderId="1" xfId="5" applyNumberFormat="1" applyFont="1" applyFill="1" applyBorder="1"/>
    <xf numFmtId="3" fontId="26" fillId="3" borderId="33" xfId="2" applyNumberFormat="1" applyFont="1" applyFill="1" applyBorder="1"/>
    <xf numFmtId="0" fontId="26" fillId="9" borderId="19" xfId="5" applyFont="1" applyFill="1" applyBorder="1"/>
    <xf numFmtId="0" fontId="26" fillId="9" borderId="9" xfId="5" applyFont="1" applyFill="1" applyBorder="1"/>
    <xf numFmtId="3" fontId="26" fillId="9" borderId="9" xfId="5" applyNumberFormat="1" applyFont="1" applyFill="1" applyBorder="1"/>
    <xf numFmtId="3" fontId="26" fillId="9" borderId="30" xfId="2" applyNumberFormat="1" applyFont="1" applyFill="1" applyBorder="1"/>
    <xf numFmtId="0" fontId="7" fillId="9" borderId="31" xfId="5" applyFont="1" applyFill="1" applyBorder="1"/>
    <xf numFmtId="0" fontId="7" fillId="9" borderId="4" xfId="5" applyFont="1" applyFill="1" applyBorder="1"/>
    <xf numFmtId="3" fontId="7" fillId="9" borderId="4" xfId="5" applyNumberFormat="1" applyFont="1" applyFill="1" applyBorder="1"/>
    <xf numFmtId="3" fontId="7" fillId="9" borderId="32" xfId="2" applyNumberFormat="1" applyFont="1" applyFill="1" applyBorder="1"/>
    <xf numFmtId="0" fontId="7" fillId="9" borderId="3" xfId="5" applyFont="1" applyFill="1" applyBorder="1"/>
    <xf numFmtId="0" fontId="7" fillId="9" borderId="1" xfId="5" applyFont="1" applyFill="1" applyBorder="1"/>
    <xf numFmtId="3" fontId="7" fillId="9" borderId="1" xfId="5" applyNumberFormat="1" applyFont="1" applyFill="1" applyBorder="1"/>
    <xf numFmtId="3" fontId="7" fillId="9" borderId="33" xfId="2" applyNumberFormat="1" applyFont="1" applyFill="1" applyBorder="1"/>
    <xf numFmtId="0" fontId="26" fillId="2" borderId="53" xfId="5" applyFont="1" applyFill="1" applyBorder="1"/>
    <xf numFmtId="0" fontId="26" fillId="2" borderId="5" xfId="5" applyFont="1" applyFill="1" applyBorder="1"/>
    <xf numFmtId="3" fontId="26" fillId="2" borderId="5" xfId="5" applyNumberFormat="1" applyFont="1" applyFill="1" applyBorder="1"/>
    <xf numFmtId="3" fontId="26" fillId="2" borderId="56" xfId="2" applyNumberFormat="1" applyFont="1" applyFill="1" applyBorder="1"/>
    <xf numFmtId="0" fontId="7" fillId="2" borderId="31" xfId="5" applyFont="1" applyFill="1" applyBorder="1"/>
    <xf numFmtId="0" fontId="7" fillId="2" borderId="4" xfId="5" applyFont="1" applyFill="1" applyBorder="1"/>
    <xf numFmtId="3" fontId="7" fillId="2" borderId="4" xfId="5" applyNumberFormat="1" applyFont="1" applyFill="1" applyBorder="1"/>
    <xf numFmtId="3" fontId="7" fillId="2" borderId="32" xfId="2" applyNumberFormat="1" applyFont="1" applyFill="1" applyBorder="1"/>
    <xf numFmtId="0" fontId="7" fillId="2" borderId="57" xfId="5" applyFont="1" applyFill="1" applyBorder="1"/>
    <xf numFmtId="0" fontId="7" fillId="2" borderId="7" xfId="5" applyFont="1" applyFill="1" applyBorder="1"/>
    <xf numFmtId="3" fontId="7" fillId="2" borderId="7" xfId="5" applyNumberFormat="1" applyFont="1" applyFill="1" applyBorder="1"/>
    <xf numFmtId="3" fontId="7" fillId="2" borderId="60" xfId="2" applyNumberFormat="1" applyFont="1" applyFill="1" applyBorder="1"/>
    <xf numFmtId="0" fontId="7" fillId="2" borderId="3" xfId="5" applyFont="1" applyFill="1" applyBorder="1"/>
    <xf numFmtId="0" fontId="7" fillId="2" borderId="1" xfId="5" applyFont="1" applyFill="1" applyBorder="1"/>
    <xf numFmtId="3" fontId="7" fillId="2" borderId="1" xfId="5" applyNumberFormat="1" applyFont="1" applyFill="1" applyBorder="1"/>
    <xf numFmtId="3" fontId="7" fillId="2" borderId="33" xfId="2" applyNumberFormat="1" applyFont="1" applyFill="1" applyBorder="1"/>
    <xf numFmtId="0" fontId="29" fillId="0" borderId="0" xfId="5" applyFont="1"/>
    <xf numFmtId="164" fontId="25" fillId="10" borderId="6" xfId="2" applyFont="1" applyFill="1" applyBorder="1" applyAlignment="1">
      <alignment horizontal="center" vertical="center" wrapText="1"/>
    </xf>
    <xf numFmtId="164" fontId="25" fillId="10" borderId="30" xfId="2" applyFont="1" applyFill="1" applyBorder="1" applyAlignment="1">
      <alignment horizontal="center" vertical="center" wrapText="1"/>
    </xf>
    <xf numFmtId="164" fontId="5" fillId="3" borderId="57" xfId="2" applyFont="1" applyFill="1" applyBorder="1" applyAlignment="1">
      <alignment vertical="center"/>
    </xf>
    <xf numFmtId="164" fontId="5" fillId="3" borderId="58" xfId="2" applyFont="1" applyFill="1" applyBorder="1" applyAlignment="1">
      <alignment vertical="center"/>
    </xf>
    <xf numFmtId="168" fontId="23" fillId="0" borderId="0" xfId="5" applyNumberFormat="1"/>
    <xf numFmtId="164" fontId="5" fillId="3" borderId="3" xfId="2" applyFont="1" applyFill="1" applyBorder="1" applyAlignment="1">
      <alignment vertical="center"/>
    </xf>
    <xf numFmtId="164" fontId="5" fillId="3" borderId="2" xfId="2" applyFont="1" applyFill="1" applyBorder="1" applyAlignment="1">
      <alignment vertical="center"/>
    </xf>
    <xf numFmtId="164" fontId="5" fillId="3" borderId="1" xfId="5" applyNumberFormat="1" applyFont="1" applyFill="1" applyBorder="1"/>
    <xf numFmtId="164" fontId="5" fillId="3" borderId="33" xfId="5" applyNumberFormat="1" applyFont="1" applyFill="1" applyBorder="1"/>
    <xf numFmtId="164" fontId="30" fillId="0" borderId="0" xfId="5" applyNumberFormat="1" applyFont="1"/>
    <xf numFmtId="164" fontId="26" fillId="9" borderId="30" xfId="5" applyNumberFormat="1" applyFont="1" applyFill="1" applyBorder="1"/>
    <xf numFmtId="164" fontId="7" fillId="9" borderId="32" xfId="5" applyNumberFormat="1" applyFont="1" applyFill="1" applyBorder="1"/>
    <xf numFmtId="164" fontId="7" fillId="9" borderId="33" xfId="5" applyNumberFormat="1" applyFont="1" applyFill="1" applyBorder="1"/>
    <xf numFmtId="164" fontId="26" fillId="2" borderId="56" xfId="5" applyNumberFormat="1" applyFont="1" applyFill="1" applyBorder="1"/>
    <xf numFmtId="164" fontId="7" fillId="2" borderId="32" xfId="5" applyNumberFormat="1" applyFont="1" applyFill="1" applyBorder="1"/>
    <xf numFmtId="164" fontId="7" fillId="2" borderId="60" xfId="5" applyNumberFormat="1" applyFont="1" applyFill="1" applyBorder="1"/>
    <xf numFmtId="164" fontId="7" fillId="2" borderId="33" xfId="5" applyNumberFormat="1" applyFont="1" applyFill="1" applyBorder="1"/>
    <xf numFmtId="3" fontId="7" fillId="0" borderId="0" xfId="5" applyNumberFormat="1" applyFont="1"/>
    <xf numFmtId="164" fontId="7" fillId="0" borderId="0" xfId="5" applyNumberFormat="1" applyFont="1"/>
    <xf numFmtId="0" fontId="25" fillId="10" borderId="28" xfId="5" applyFont="1" applyFill="1" applyBorder="1" applyAlignment="1">
      <alignment horizontal="center" vertical="center" wrapText="1"/>
    </xf>
    <xf numFmtId="0" fontId="25" fillId="10" borderId="40" xfId="5" applyFont="1" applyFill="1" applyBorder="1" applyAlignment="1">
      <alignment horizontal="center" vertical="center" wrapText="1"/>
    </xf>
    <xf numFmtId="0" fontId="25" fillId="10" borderId="12" xfId="5" applyFont="1" applyFill="1" applyBorder="1" applyAlignment="1">
      <alignment horizontal="center" vertical="center" wrapText="1"/>
    </xf>
    <xf numFmtId="0" fontId="25" fillId="10" borderId="29" xfId="5" applyFont="1" applyFill="1" applyBorder="1" applyAlignment="1">
      <alignment horizontal="center" vertical="center" wrapText="1"/>
    </xf>
    <xf numFmtId="0" fontId="25" fillId="10" borderId="13" xfId="5" applyFont="1" applyFill="1" applyBorder="1" applyAlignment="1">
      <alignment horizontal="center" vertical="center" wrapText="1"/>
    </xf>
    <xf numFmtId="0" fontId="26" fillId="3" borderId="18" xfId="5" applyFont="1" applyFill="1" applyBorder="1"/>
    <xf numFmtId="0" fontId="26" fillId="3" borderId="11" xfId="5" applyFont="1" applyFill="1" applyBorder="1"/>
    <xf numFmtId="3" fontId="26" fillId="3" borderId="14" xfId="5" applyNumberFormat="1" applyFont="1" applyFill="1" applyBorder="1"/>
    <xf numFmtId="3" fontId="5" fillId="3" borderId="14" xfId="4" applyNumberFormat="1" applyFont="1" applyFill="1" applyBorder="1"/>
    <xf numFmtId="3" fontId="5" fillId="3" borderId="48" xfId="4" applyNumberFormat="1" applyFont="1" applyFill="1" applyBorder="1"/>
    <xf numFmtId="0" fontId="26" fillId="9" borderId="6" xfId="5" applyFont="1" applyFill="1" applyBorder="1"/>
    <xf numFmtId="3" fontId="5" fillId="9" borderId="9" xfId="4" applyNumberFormat="1" applyFont="1" applyFill="1" applyBorder="1"/>
    <xf numFmtId="3" fontId="5" fillId="9" borderId="30" xfId="4" applyNumberFormat="1" applyFont="1" applyFill="1" applyBorder="1"/>
    <xf numFmtId="0" fontId="7" fillId="9" borderId="8" xfId="5" applyFont="1" applyFill="1" applyBorder="1"/>
    <xf numFmtId="3" fontId="3" fillId="9" borderId="4" xfId="4" applyNumberFormat="1" applyFont="1" applyFill="1" applyBorder="1"/>
    <xf numFmtId="3" fontId="3" fillId="9" borderId="32" xfId="4" applyNumberFormat="1" applyFont="1" applyFill="1" applyBorder="1"/>
    <xf numFmtId="0" fontId="7" fillId="9" borderId="2" xfId="5" applyFont="1" applyFill="1" applyBorder="1"/>
    <xf numFmtId="3" fontId="3" fillId="9" borderId="1" xfId="4" applyNumberFormat="1" applyFont="1" applyFill="1" applyBorder="1"/>
    <xf numFmtId="3" fontId="3" fillId="9" borderId="33" xfId="4" applyNumberFormat="1" applyFont="1" applyFill="1" applyBorder="1"/>
    <xf numFmtId="0" fontId="26" fillId="2" borderId="54" xfId="5" applyFont="1" applyFill="1" applyBorder="1"/>
    <xf numFmtId="3" fontId="5" fillId="2" borderId="5" xfId="4" applyNumberFormat="1" applyFont="1" applyFill="1" applyBorder="1"/>
    <xf numFmtId="3" fontId="5" fillId="2" borderId="56" xfId="4" applyNumberFormat="1" applyFont="1" applyFill="1" applyBorder="1"/>
    <xf numFmtId="0" fontId="7" fillId="2" borderId="8" xfId="5" applyFont="1" applyFill="1" applyBorder="1"/>
    <xf numFmtId="3" fontId="3" fillId="2" borderId="4" xfId="4" applyNumberFormat="1" applyFont="1" applyFill="1" applyBorder="1"/>
    <xf numFmtId="3" fontId="3" fillId="2" borderId="32" xfId="4" applyNumberFormat="1" applyFont="1" applyFill="1" applyBorder="1"/>
    <xf numFmtId="0" fontId="7" fillId="2" borderId="58" xfId="5" applyFont="1" applyFill="1" applyBorder="1"/>
    <xf numFmtId="3" fontId="3" fillId="2" borderId="7" xfId="4" applyNumberFormat="1" applyFont="1" applyFill="1" applyBorder="1"/>
    <xf numFmtId="3" fontId="3" fillId="2" borderId="60" xfId="4" applyNumberFormat="1" applyFont="1" applyFill="1" applyBorder="1"/>
    <xf numFmtId="0" fontId="7" fillId="2" borderId="2" xfId="5" applyFont="1" applyFill="1" applyBorder="1"/>
    <xf numFmtId="3" fontId="3" fillId="2" borderId="1" xfId="4" applyNumberFormat="1" applyFont="1" applyFill="1" applyBorder="1"/>
    <xf numFmtId="3" fontId="3" fillId="2" borderId="33" xfId="4" applyNumberFormat="1" applyFont="1" applyFill="1" applyBorder="1"/>
    <xf numFmtId="0" fontId="26" fillId="0" borderId="0" xfId="5" applyFont="1"/>
    <xf numFmtId="164" fontId="25" fillId="10" borderId="18" xfId="2" applyFont="1" applyFill="1" applyBorder="1" applyAlignment="1">
      <alignment horizontal="center" vertical="center" wrapText="1"/>
    </xf>
    <xf numFmtId="164" fontId="25" fillId="10" borderId="11" xfId="2" applyFont="1" applyFill="1" applyBorder="1" applyAlignment="1">
      <alignment horizontal="center" vertical="center" wrapText="1"/>
    </xf>
    <xf numFmtId="164" fontId="28" fillId="10" borderId="18" xfId="2" applyFont="1" applyFill="1" applyBorder="1" applyAlignment="1">
      <alignment horizontal="center" vertical="center" wrapText="1"/>
    </xf>
    <xf numFmtId="164" fontId="28" fillId="10" borderId="14" xfId="2" applyFont="1" applyFill="1" applyBorder="1" applyAlignment="1">
      <alignment horizontal="center" vertical="center" wrapText="1"/>
    </xf>
    <xf numFmtId="164" fontId="28" fillId="10" borderId="48" xfId="2" applyFont="1" applyFill="1" applyBorder="1" applyAlignment="1">
      <alignment horizontal="center" vertical="center" wrapText="1"/>
    </xf>
    <xf numFmtId="164" fontId="26" fillId="3" borderId="18" xfId="2" applyFont="1" applyFill="1" applyBorder="1"/>
    <xf numFmtId="164" fontId="26" fillId="3" borderId="11" xfId="2" applyFont="1" applyFill="1" applyBorder="1"/>
    <xf numFmtId="164" fontId="26" fillId="3" borderId="18" xfId="5" applyNumberFormat="1" applyFont="1" applyFill="1" applyBorder="1" applyAlignment="1">
      <alignment horizontal="right"/>
    </xf>
    <xf numFmtId="164" fontId="26" fillId="3" borderId="14" xfId="5" applyNumberFormat="1" applyFont="1" applyFill="1" applyBorder="1" applyAlignment="1">
      <alignment horizontal="right"/>
    </xf>
    <xf numFmtId="164" fontId="26" fillId="3" borderId="48" xfId="5" applyNumberFormat="1" applyFont="1" applyFill="1" applyBorder="1" applyAlignment="1">
      <alignment horizontal="right"/>
    </xf>
    <xf numFmtId="164" fontId="1" fillId="0" borderId="0" xfId="5" applyNumberFormat="1" applyFont="1"/>
    <xf numFmtId="164" fontId="26" fillId="9" borderId="19" xfId="2" applyFont="1" applyFill="1" applyBorder="1"/>
    <xf numFmtId="164" fontId="26" fillId="9" borderId="6" xfId="2" applyFont="1" applyFill="1" applyBorder="1"/>
    <xf numFmtId="164" fontId="26" fillId="9" borderId="19" xfId="5" applyNumberFormat="1" applyFont="1" applyFill="1" applyBorder="1" applyAlignment="1">
      <alignment horizontal="right"/>
    </xf>
    <xf numFmtId="164" fontId="26" fillId="9" borderId="9" xfId="5" applyNumberFormat="1" applyFont="1" applyFill="1" applyBorder="1" applyAlignment="1">
      <alignment horizontal="right"/>
    </xf>
    <xf numFmtId="164" fontId="26" fillId="9" borderId="30" xfId="5" applyNumberFormat="1" applyFont="1" applyFill="1" applyBorder="1" applyAlignment="1">
      <alignment horizontal="right"/>
    </xf>
    <xf numFmtId="164" fontId="7" fillId="9" borderId="31" xfId="2" applyFont="1" applyFill="1" applyBorder="1"/>
    <xf numFmtId="164" fontId="7" fillId="9" borderId="8" xfId="2" applyFont="1" applyFill="1" applyBorder="1"/>
    <xf numFmtId="164" fontId="7" fillId="9" borderId="31" xfId="5" applyNumberFormat="1" applyFont="1" applyFill="1" applyBorder="1" applyAlignment="1">
      <alignment horizontal="right"/>
    </xf>
    <xf numFmtId="164" fontId="7" fillId="9" borderId="4" xfId="5" applyNumberFormat="1" applyFont="1" applyFill="1" applyBorder="1" applyAlignment="1">
      <alignment horizontal="right"/>
    </xf>
    <xf numFmtId="164" fontId="7" fillId="9" borderId="32" xfId="5" applyNumberFormat="1" applyFont="1" applyFill="1" applyBorder="1" applyAlignment="1">
      <alignment horizontal="right"/>
    </xf>
    <xf numFmtId="164" fontId="7" fillId="9" borderId="3" xfId="2" applyFont="1" applyFill="1" applyBorder="1"/>
    <xf numFmtId="164" fontId="7" fillId="9" borderId="2" xfId="2" applyFont="1" applyFill="1" applyBorder="1"/>
    <xf numFmtId="164" fontId="7" fillId="9" borderId="3" xfId="5" applyNumberFormat="1" applyFont="1" applyFill="1" applyBorder="1" applyAlignment="1">
      <alignment horizontal="right"/>
    </xf>
    <xf numFmtId="164" fontId="7" fillId="9" borderId="1" xfId="5" applyNumberFormat="1" applyFont="1" applyFill="1" applyBorder="1" applyAlignment="1">
      <alignment horizontal="right"/>
    </xf>
    <xf numFmtId="164" fontId="7" fillId="9" borderId="33" xfId="5" applyNumberFormat="1" applyFont="1" applyFill="1" applyBorder="1" applyAlignment="1">
      <alignment horizontal="right"/>
    </xf>
    <xf numFmtId="164" fontId="26" fillId="2" borderId="53" xfId="2" applyFont="1" applyFill="1" applyBorder="1"/>
    <xf numFmtId="164" fontId="26" fillId="2" borderId="54" xfId="2" applyFont="1" applyFill="1" applyBorder="1"/>
    <xf numFmtId="164" fontId="26" fillId="2" borderId="53" xfId="5" applyNumberFormat="1" applyFont="1" applyFill="1" applyBorder="1" applyAlignment="1">
      <alignment horizontal="right"/>
    </xf>
    <xf numFmtId="164" fontId="26" fillId="2" borderId="5" xfId="5" applyNumberFormat="1" applyFont="1" applyFill="1" applyBorder="1" applyAlignment="1">
      <alignment horizontal="right"/>
    </xf>
    <xf numFmtId="164" fontId="26" fillId="2" borderId="56" xfId="5" applyNumberFormat="1" applyFont="1" applyFill="1" applyBorder="1" applyAlignment="1">
      <alignment horizontal="right"/>
    </xf>
    <xf numFmtId="164" fontId="7" fillId="2" borderId="31" xfId="2" applyFont="1" applyFill="1" applyBorder="1"/>
    <xf numFmtId="164" fontId="7" fillId="2" borderId="8" xfId="2" applyFont="1" applyFill="1" applyBorder="1"/>
    <xf numFmtId="164" fontId="7" fillId="2" borderId="31" xfId="5" applyNumberFormat="1" applyFont="1" applyFill="1" applyBorder="1" applyAlignment="1">
      <alignment horizontal="right"/>
    </xf>
    <xf numFmtId="164" fontId="7" fillId="2" borderId="4" xfId="5" applyNumberFormat="1" applyFont="1" applyFill="1" applyBorder="1" applyAlignment="1">
      <alignment horizontal="right"/>
    </xf>
    <xf numFmtId="164" fontId="7" fillId="2" borderId="32" xfId="5" applyNumberFormat="1" applyFont="1" applyFill="1" applyBorder="1" applyAlignment="1">
      <alignment horizontal="right"/>
    </xf>
    <xf numFmtId="164" fontId="7" fillId="2" borderId="57" xfId="2" applyFont="1" applyFill="1" applyBorder="1"/>
    <xf numFmtId="164" fontId="7" fillId="2" borderId="58" xfId="2" applyFont="1" applyFill="1" applyBorder="1"/>
    <xf numFmtId="164" fontId="7" fillId="2" borderId="57" xfId="5" applyNumberFormat="1" applyFont="1" applyFill="1" applyBorder="1" applyAlignment="1">
      <alignment horizontal="right"/>
    </xf>
    <xf numFmtId="164" fontId="7" fillId="2" borderId="7" xfId="5" applyNumberFormat="1" applyFont="1" applyFill="1" applyBorder="1" applyAlignment="1">
      <alignment horizontal="right"/>
    </xf>
    <xf numFmtId="164" fontId="7" fillId="2" borderId="60" xfId="5" applyNumberFormat="1" applyFont="1" applyFill="1" applyBorder="1" applyAlignment="1">
      <alignment horizontal="right"/>
    </xf>
    <xf numFmtId="164" fontId="26" fillId="2" borderId="19" xfId="2" applyFont="1" applyFill="1" applyBorder="1"/>
    <xf numFmtId="164" fontId="26" fillId="2" borderId="6" xfId="2" applyFont="1" applyFill="1" applyBorder="1"/>
    <xf numFmtId="164" fontId="26" fillId="2" borderId="19" xfId="5" applyNumberFormat="1" applyFont="1" applyFill="1" applyBorder="1" applyAlignment="1">
      <alignment horizontal="right"/>
    </xf>
    <xf numFmtId="164" fontId="26" fillId="2" borderId="9" xfId="5" applyNumberFormat="1" applyFont="1" applyFill="1" applyBorder="1" applyAlignment="1">
      <alignment horizontal="right"/>
    </xf>
    <xf numFmtId="164" fontId="26" fillId="2" borderId="30" xfId="5" applyNumberFormat="1" applyFont="1" applyFill="1" applyBorder="1" applyAlignment="1">
      <alignment horizontal="right"/>
    </xf>
    <xf numFmtId="164" fontId="7" fillId="2" borderId="3" xfId="2" applyFont="1" applyFill="1" applyBorder="1"/>
    <xf numFmtId="164" fontId="7" fillId="2" borderId="2" xfId="2" applyFont="1" applyFill="1" applyBorder="1"/>
    <xf numFmtId="164" fontId="7" fillId="2" borderId="3" xfId="5" applyNumberFormat="1" applyFont="1" applyFill="1" applyBorder="1" applyAlignment="1">
      <alignment horizontal="right"/>
    </xf>
    <xf numFmtId="164" fontId="7" fillId="2" borderId="1" xfId="5" applyNumberFormat="1" applyFont="1" applyFill="1" applyBorder="1" applyAlignment="1">
      <alignment horizontal="right"/>
    </xf>
    <xf numFmtId="164" fontId="7" fillId="2" borderId="33" xfId="5" applyNumberFormat="1" applyFont="1" applyFill="1" applyBorder="1" applyAlignment="1">
      <alignment horizontal="right"/>
    </xf>
    <xf numFmtId="0" fontId="31" fillId="0" borderId="0" xfId="5" applyFont="1"/>
    <xf numFmtId="164" fontId="25" fillId="10" borderId="28" xfId="2" applyFont="1" applyFill="1" applyBorder="1" applyAlignment="1">
      <alignment horizontal="center" vertical="center" wrapText="1"/>
    </xf>
    <xf numFmtId="164" fontId="25" fillId="10" borderId="40" xfId="2" applyFont="1" applyFill="1" applyBorder="1" applyAlignment="1">
      <alignment horizontal="center" vertical="center" wrapText="1"/>
    </xf>
    <xf numFmtId="164" fontId="31" fillId="3" borderId="28" xfId="2" applyFont="1" applyFill="1" applyBorder="1" applyAlignment="1">
      <alignment vertical="center"/>
    </xf>
    <xf numFmtId="164" fontId="31" fillId="3" borderId="40" xfId="2" applyFont="1" applyFill="1" applyBorder="1" applyAlignment="1">
      <alignment vertical="center"/>
    </xf>
    <xf numFmtId="164" fontId="31" fillId="3" borderId="28" xfId="5" applyNumberFormat="1" applyFont="1" applyFill="1" applyBorder="1"/>
    <xf numFmtId="164" fontId="31" fillId="3" borderId="12" xfId="5" applyNumberFormat="1" applyFont="1" applyFill="1" applyBorder="1"/>
    <xf numFmtId="164" fontId="31" fillId="3" borderId="29" xfId="5" applyNumberFormat="1" applyFont="1" applyFill="1" applyBorder="1"/>
    <xf numFmtId="164" fontId="26" fillId="9" borderId="19" xfId="5" applyNumberFormat="1" applyFont="1" applyFill="1" applyBorder="1"/>
    <xf numFmtId="164" fontId="7" fillId="9" borderId="31" xfId="5" applyNumberFormat="1" applyFont="1" applyFill="1" applyBorder="1"/>
    <xf numFmtId="164" fontId="7" fillId="9" borderId="3" xfId="5" applyNumberFormat="1" applyFont="1" applyFill="1" applyBorder="1"/>
    <xf numFmtId="164" fontId="26" fillId="2" borderId="53" xfId="5" applyNumberFormat="1" applyFont="1" applyFill="1" applyBorder="1"/>
    <xf numFmtId="164" fontId="7" fillId="2" borderId="31" xfId="5" applyNumberFormat="1" applyFont="1" applyFill="1" applyBorder="1"/>
    <xf numFmtId="164" fontId="7" fillId="2" borderId="57" xfId="5" applyNumberFormat="1" applyFont="1" applyFill="1" applyBorder="1"/>
    <xf numFmtId="164" fontId="7" fillId="9" borderId="53" xfId="2" applyFont="1" applyFill="1" applyBorder="1" applyAlignment="1">
      <alignment vertical="center"/>
    </xf>
    <xf numFmtId="164" fontId="7" fillId="9" borderId="54" xfId="2" applyFont="1" applyFill="1" applyBorder="1" applyAlignment="1">
      <alignment vertical="center"/>
    </xf>
    <xf numFmtId="164" fontId="7" fillId="2" borderId="3" xfId="5" applyNumberFormat="1" applyFont="1" applyFill="1" applyBorder="1"/>
    <xf numFmtId="0" fontId="9" fillId="0" borderId="0" xfId="5" applyFont="1"/>
    <xf numFmtId="164" fontId="9" fillId="0" borderId="0" xfId="5" applyNumberFormat="1" applyFont="1"/>
    <xf numFmtId="0" fontId="25" fillId="10" borderId="34" xfId="5" applyFont="1" applyFill="1" applyBorder="1" applyAlignment="1">
      <alignment horizontal="center" vertical="center"/>
    </xf>
    <xf numFmtId="0" fontId="25" fillId="10" borderId="10" xfId="5" applyFont="1" applyFill="1" applyBorder="1" applyAlignment="1">
      <alignment horizontal="center" vertical="center"/>
    </xf>
    <xf numFmtId="0" fontId="25" fillId="10" borderId="61" xfId="5" applyFont="1" applyFill="1" applyBorder="1" applyAlignment="1">
      <alignment horizontal="center" vertical="center"/>
    </xf>
    <xf numFmtId="0" fontId="25" fillId="10" borderId="65" xfId="5" applyFont="1" applyFill="1" applyBorder="1" applyAlignment="1">
      <alignment horizontal="center" vertical="center"/>
    </xf>
    <xf numFmtId="0" fontId="25" fillId="10" borderId="35" xfId="5" applyFont="1" applyFill="1" applyBorder="1" applyAlignment="1">
      <alignment horizontal="center" vertical="center"/>
    </xf>
    <xf numFmtId="0" fontId="25" fillId="10" borderId="57" xfId="5" applyFont="1" applyFill="1" applyBorder="1" applyAlignment="1">
      <alignment horizontal="center" vertical="center"/>
    </xf>
    <xf numFmtId="0" fontId="25" fillId="10" borderId="7" xfId="5" applyFont="1" applyFill="1" applyBorder="1" applyAlignment="1">
      <alignment horizontal="center" vertical="center"/>
    </xf>
    <xf numFmtId="0" fontId="25" fillId="10" borderId="60" xfId="5" applyFont="1" applyFill="1" applyBorder="1" applyAlignment="1">
      <alignment horizontal="center" vertical="center"/>
    </xf>
    <xf numFmtId="0" fontId="26" fillId="3" borderId="17" xfId="5" applyFont="1" applyFill="1" applyBorder="1"/>
    <xf numFmtId="3" fontId="26" fillId="3" borderId="18" xfId="5" applyNumberFormat="1" applyFont="1" applyFill="1" applyBorder="1"/>
    <xf numFmtId="3" fontId="26" fillId="3" borderId="48" xfId="5" applyNumberFormat="1" applyFont="1" applyFill="1" applyBorder="1"/>
    <xf numFmtId="3" fontId="26" fillId="3" borderId="17" xfId="5" applyNumberFormat="1" applyFont="1" applyFill="1" applyBorder="1"/>
    <xf numFmtId="3" fontId="26" fillId="3" borderId="11" xfId="5" applyNumberFormat="1" applyFont="1" applyFill="1" applyBorder="1"/>
    <xf numFmtId="3" fontId="9" fillId="0" borderId="0" xfId="5" applyNumberFormat="1" applyFont="1"/>
    <xf numFmtId="0" fontId="26" fillId="9" borderId="55" xfId="5" applyFont="1" applyFill="1" applyBorder="1"/>
    <xf numFmtId="0" fontId="26" fillId="9" borderId="54" xfId="5" applyFont="1" applyFill="1" applyBorder="1"/>
    <xf numFmtId="3" fontId="26" fillId="9" borderId="19" xfId="5" applyNumberFormat="1" applyFont="1" applyFill="1" applyBorder="1"/>
    <xf numFmtId="3" fontId="26" fillId="9" borderId="30" xfId="5" applyNumberFormat="1" applyFont="1" applyFill="1" applyBorder="1"/>
    <xf numFmtId="3" fontId="26" fillId="9" borderId="37" xfId="5" applyNumberFormat="1" applyFont="1" applyFill="1" applyBorder="1"/>
    <xf numFmtId="3" fontId="26" fillId="9" borderId="6" xfId="5" applyNumberFormat="1" applyFont="1" applyFill="1" applyBorder="1"/>
    <xf numFmtId="164" fontId="7" fillId="0" borderId="0" xfId="2" applyFont="1"/>
    <xf numFmtId="0" fontId="7" fillId="9" borderId="38" xfId="5" applyFont="1" applyFill="1" applyBorder="1"/>
    <xf numFmtId="3" fontId="7" fillId="9" borderId="31" xfId="5" applyNumberFormat="1" applyFont="1" applyFill="1" applyBorder="1"/>
    <xf numFmtId="3" fontId="7" fillId="9" borderId="32" xfId="5" applyNumberFormat="1" applyFont="1" applyFill="1" applyBorder="1"/>
    <xf numFmtId="3" fontId="7" fillId="9" borderId="38" xfId="5" applyNumberFormat="1" applyFont="1" applyFill="1" applyBorder="1"/>
    <xf numFmtId="3" fontId="7" fillId="9" borderId="8" xfId="5" applyNumberFormat="1" applyFont="1" applyFill="1" applyBorder="1"/>
    <xf numFmtId="0" fontId="7" fillId="9" borderId="59" xfId="5" applyFont="1" applyFill="1" applyBorder="1"/>
    <xf numFmtId="0" fontId="7" fillId="9" borderId="58" xfId="5" applyFont="1" applyFill="1" applyBorder="1"/>
    <xf numFmtId="3" fontId="7" fillId="9" borderId="3" xfId="5" applyNumberFormat="1" applyFont="1" applyFill="1" applyBorder="1"/>
    <xf numFmtId="3" fontId="7" fillId="9" borderId="33" xfId="5" applyNumberFormat="1" applyFont="1" applyFill="1" applyBorder="1"/>
    <xf numFmtId="3" fontId="7" fillId="9" borderId="39" xfId="5" applyNumberFormat="1" applyFont="1" applyFill="1" applyBorder="1"/>
    <xf numFmtId="3" fontId="7" fillId="9" borderId="2" xfId="5" applyNumberFormat="1" applyFont="1" applyFill="1" applyBorder="1"/>
    <xf numFmtId="0" fontId="26" fillId="2" borderId="37" xfId="5" applyFont="1" applyFill="1" applyBorder="1"/>
    <xf numFmtId="0" fontId="26" fillId="2" borderId="6" xfId="5" applyFont="1" applyFill="1" applyBorder="1"/>
    <xf numFmtId="3" fontId="26" fillId="2" borderId="53" xfId="5" applyNumberFormat="1" applyFont="1" applyFill="1" applyBorder="1"/>
    <xf numFmtId="3" fontId="26" fillId="2" borderId="56" xfId="5" applyNumberFormat="1" applyFont="1" applyFill="1" applyBorder="1"/>
    <xf numFmtId="3" fontId="26" fillId="2" borderId="55" xfId="5" applyNumberFormat="1" applyFont="1" applyFill="1" applyBorder="1"/>
    <xf numFmtId="3" fontId="26" fillId="2" borderId="54" xfId="5" applyNumberFormat="1" applyFont="1" applyFill="1" applyBorder="1"/>
    <xf numFmtId="0" fontId="7" fillId="2" borderId="38" xfId="5" applyFont="1" applyFill="1" applyBorder="1"/>
    <xf numFmtId="3" fontId="7" fillId="2" borderId="31" xfId="5" applyNumberFormat="1" applyFont="1" applyFill="1" applyBorder="1"/>
    <xf numFmtId="3" fontId="7" fillId="2" borderId="32" xfId="5" applyNumberFormat="1" applyFont="1" applyFill="1" applyBorder="1"/>
    <xf numFmtId="3" fontId="7" fillId="2" borderId="38" xfId="5" applyNumberFormat="1" applyFont="1" applyFill="1" applyBorder="1"/>
    <xf numFmtId="3" fontId="7" fillId="2" borderId="8" xfId="5" applyNumberFormat="1" applyFont="1" applyFill="1" applyBorder="1"/>
    <xf numFmtId="0" fontId="7" fillId="2" borderId="39" xfId="5" applyFont="1" applyFill="1" applyBorder="1"/>
    <xf numFmtId="3" fontId="7" fillId="2" borderId="57" xfId="5" applyNumberFormat="1" applyFont="1" applyFill="1" applyBorder="1"/>
    <xf numFmtId="3" fontId="7" fillId="2" borderId="60" xfId="5" applyNumberFormat="1" applyFont="1" applyFill="1" applyBorder="1"/>
    <xf numFmtId="3" fontId="7" fillId="2" borderId="59" xfId="5" applyNumberFormat="1" applyFont="1" applyFill="1" applyBorder="1"/>
    <xf numFmtId="3" fontId="7" fillId="2" borderId="58" xfId="5" applyNumberFormat="1" applyFont="1" applyFill="1" applyBorder="1"/>
    <xf numFmtId="0" fontId="7" fillId="9" borderId="39" xfId="5" applyFont="1" applyFill="1" applyBorder="1"/>
    <xf numFmtId="0" fontId="26" fillId="2" borderId="55" xfId="5" applyFont="1" applyFill="1" applyBorder="1"/>
    <xf numFmtId="3" fontId="26" fillId="2" borderId="19" xfId="5" applyNumberFormat="1" applyFont="1" applyFill="1" applyBorder="1"/>
    <xf numFmtId="3" fontId="26" fillId="2" borderId="9" xfId="5" applyNumberFormat="1" applyFont="1" applyFill="1" applyBorder="1"/>
    <xf numFmtId="3" fontId="26" fillId="2" borderId="30" xfId="5" applyNumberFormat="1" applyFont="1" applyFill="1" applyBorder="1"/>
    <xf numFmtId="3" fontId="26" fillId="2" borderId="37" xfId="5" applyNumberFormat="1" applyFont="1" applyFill="1" applyBorder="1"/>
    <xf numFmtId="3" fontId="26" fillId="2" borderId="6" xfId="5" applyNumberFormat="1" applyFont="1" applyFill="1" applyBorder="1"/>
    <xf numFmtId="3" fontId="7" fillId="2" borderId="3" xfId="5" applyNumberFormat="1" applyFont="1" applyFill="1" applyBorder="1"/>
    <xf numFmtId="3" fontId="7" fillId="2" borderId="33" xfId="5" applyNumberFormat="1" applyFont="1" applyFill="1" applyBorder="1"/>
    <xf numFmtId="3" fontId="7" fillId="2" borderId="39" xfId="5" applyNumberFormat="1" applyFont="1" applyFill="1" applyBorder="1"/>
    <xf numFmtId="3" fontId="7" fillId="2" borderId="2" xfId="5" applyNumberFormat="1" applyFont="1" applyFill="1" applyBorder="1"/>
    <xf numFmtId="0" fontId="7" fillId="0" borderId="69" xfId="5" applyFont="1" applyBorder="1"/>
    <xf numFmtId="0" fontId="7" fillId="0" borderId="50" xfId="5" applyFont="1" applyBorder="1"/>
    <xf numFmtId="0" fontId="25" fillId="10" borderId="65" xfId="5" applyFont="1" applyFill="1" applyBorder="1" applyAlignment="1">
      <alignment horizontal="center"/>
    </xf>
    <xf numFmtId="0" fontId="25" fillId="10" borderId="35" xfId="5" applyFont="1" applyFill="1" applyBorder="1" applyAlignment="1">
      <alignment horizontal="center"/>
    </xf>
    <xf numFmtId="0" fontId="25" fillId="10" borderId="34" xfId="5" applyFont="1" applyFill="1" applyBorder="1" applyAlignment="1">
      <alignment horizontal="center"/>
    </xf>
    <xf numFmtId="0" fontId="25" fillId="10" borderId="10" xfId="5" applyFont="1" applyFill="1" applyBorder="1" applyAlignment="1">
      <alignment horizontal="center"/>
    </xf>
    <xf numFmtId="0" fontId="25" fillId="10" borderId="61" xfId="5" applyFont="1" applyFill="1" applyBorder="1" applyAlignment="1">
      <alignment horizontal="center"/>
    </xf>
    <xf numFmtId="0" fontId="26" fillId="3" borderId="48" xfId="5" applyFont="1" applyFill="1" applyBorder="1"/>
    <xf numFmtId="0" fontId="26" fillId="9" borderId="37" xfId="5" applyFont="1" applyFill="1" applyBorder="1"/>
    <xf numFmtId="0" fontId="26" fillId="9" borderId="30" xfId="5" applyFont="1" applyFill="1" applyBorder="1"/>
    <xf numFmtId="0" fontId="7" fillId="9" borderId="32" xfId="5" applyFont="1" applyFill="1" applyBorder="1"/>
    <xf numFmtId="0" fontId="7" fillId="9" borderId="33" xfId="5" applyFont="1" applyFill="1" applyBorder="1"/>
    <xf numFmtId="0" fontId="26" fillId="2" borderId="56" xfId="5" applyFont="1" applyFill="1" applyBorder="1"/>
    <xf numFmtId="0" fontId="7" fillId="2" borderId="32" xfId="5" applyFont="1" applyFill="1" applyBorder="1"/>
    <xf numFmtId="0" fontId="7" fillId="2" borderId="33" xfId="5" applyFont="1" applyFill="1" applyBorder="1"/>
    <xf numFmtId="0" fontId="26" fillId="9" borderId="56" xfId="5" applyFont="1" applyFill="1" applyBorder="1"/>
    <xf numFmtId="3" fontId="26" fillId="9" borderId="56" xfId="5" applyNumberFormat="1" applyFont="1" applyFill="1" applyBorder="1"/>
    <xf numFmtId="3" fontId="26" fillId="9" borderId="53" xfId="5" applyNumberFormat="1" applyFont="1" applyFill="1" applyBorder="1"/>
    <xf numFmtId="3" fontId="26" fillId="9" borderId="5" xfId="5" applyNumberFormat="1" applyFont="1" applyFill="1" applyBorder="1"/>
    <xf numFmtId="3" fontId="7" fillId="9" borderId="60" xfId="5" applyNumberFormat="1" applyFont="1" applyFill="1" applyBorder="1"/>
    <xf numFmtId="3" fontId="7" fillId="9" borderId="57" xfId="5" applyNumberFormat="1" applyFont="1" applyFill="1" applyBorder="1"/>
    <xf numFmtId="3" fontId="7" fillId="9" borderId="7" xfId="5" applyNumberFormat="1" applyFont="1" applyFill="1" applyBorder="1"/>
    <xf numFmtId="0" fontId="26" fillId="2" borderId="30" xfId="5" applyFont="1" applyFill="1" applyBorder="1"/>
    <xf numFmtId="164" fontId="25" fillId="10" borderId="18" xfId="2" applyFont="1" applyFill="1" applyBorder="1" applyAlignment="1">
      <alignment horizontal="center"/>
    </xf>
    <xf numFmtId="164" fontId="25" fillId="10" borderId="11" xfId="2" applyFont="1" applyFill="1" applyBorder="1" applyAlignment="1">
      <alignment horizontal="center"/>
    </xf>
    <xf numFmtId="3" fontId="25" fillId="10" borderId="29" xfId="5" applyNumberFormat="1" applyFont="1" applyFill="1" applyBorder="1" applyAlignment="1">
      <alignment horizontal="center" vertical="center"/>
    </xf>
    <xf numFmtId="3" fontId="26" fillId="3" borderId="29" xfId="5" applyNumberFormat="1" applyFont="1" applyFill="1" applyBorder="1" applyAlignment="1">
      <alignment horizontal="right"/>
    </xf>
    <xf numFmtId="3" fontId="26" fillId="9" borderId="30" xfId="5" applyNumberFormat="1" applyFont="1" applyFill="1" applyBorder="1" applyAlignment="1">
      <alignment horizontal="right"/>
    </xf>
    <xf numFmtId="3" fontId="26" fillId="2" borderId="30" xfId="5" applyNumberFormat="1" applyFont="1" applyFill="1" applyBorder="1" applyAlignment="1">
      <alignment horizontal="right"/>
    </xf>
    <xf numFmtId="3" fontId="7" fillId="2" borderId="32" xfId="5" applyNumberFormat="1" applyFont="1" applyFill="1" applyBorder="1" applyAlignment="1">
      <alignment horizontal="right"/>
    </xf>
    <xf numFmtId="3" fontId="7" fillId="9" borderId="32" xfId="5" applyNumberFormat="1" applyFont="1" applyFill="1" applyBorder="1" applyAlignment="1">
      <alignment horizontal="right"/>
    </xf>
    <xf numFmtId="3" fontId="7" fillId="9" borderId="33" xfId="5" applyNumberFormat="1" applyFont="1" applyFill="1" applyBorder="1" applyAlignment="1">
      <alignment horizontal="right"/>
    </xf>
    <xf numFmtId="3" fontId="26" fillId="2" borderId="56" xfId="5" applyNumberFormat="1" applyFont="1" applyFill="1" applyBorder="1" applyAlignment="1">
      <alignment horizontal="right"/>
    </xf>
    <xf numFmtId="3" fontId="7" fillId="2" borderId="33" xfId="5" applyNumberFormat="1" applyFont="1" applyFill="1" applyBorder="1" applyAlignment="1">
      <alignment horizontal="right"/>
    </xf>
    <xf numFmtId="164" fontId="25" fillId="10" borderId="28" xfId="2" applyFont="1" applyFill="1" applyBorder="1" applyAlignment="1">
      <alignment horizontal="center"/>
    </xf>
    <xf numFmtId="164" fontId="25" fillId="10" borderId="12" xfId="2" applyFont="1" applyFill="1" applyBorder="1" applyAlignment="1">
      <alignment horizontal="center"/>
    </xf>
    <xf numFmtId="164" fontId="25" fillId="10" borderId="29" xfId="2" applyFont="1" applyFill="1" applyBorder="1" applyAlignment="1">
      <alignment horizontal="center"/>
    </xf>
    <xf numFmtId="164" fontId="26" fillId="3" borderId="14" xfId="2" applyFont="1" applyFill="1" applyBorder="1"/>
    <xf numFmtId="3" fontId="26" fillId="3" borderId="14" xfId="5" applyNumberFormat="1" applyFont="1" applyFill="1" applyBorder="1" applyAlignment="1">
      <alignment horizontal="right"/>
    </xf>
    <xf numFmtId="3" fontId="26" fillId="3" borderId="48" xfId="5" applyNumberFormat="1" applyFont="1" applyFill="1" applyBorder="1" applyAlignment="1">
      <alignment horizontal="right"/>
    </xf>
    <xf numFmtId="164" fontId="26" fillId="9" borderId="53" xfId="2" applyFont="1" applyFill="1" applyBorder="1"/>
    <xf numFmtId="164" fontId="26" fillId="9" borderId="5" xfId="2" applyFont="1" applyFill="1" applyBorder="1"/>
    <xf numFmtId="3" fontId="26" fillId="9" borderId="9" xfId="5" applyNumberFormat="1" applyFont="1" applyFill="1" applyBorder="1" applyAlignment="1">
      <alignment horizontal="right"/>
    </xf>
    <xf numFmtId="164" fontId="7" fillId="9" borderId="4" xfId="2" applyFont="1" applyFill="1" applyBorder="1"/>
    <xf numFmtId="3" fontId="7" fillId="9" borderId="4" xfId="5" applyNumberFormat="1" applyFont="1" applyFill="1" applyBorder="1" applyAlignment="1">
      <alignment horizontal="right"/>
    </xf>
    <xf numFmtId="164" fontId="7" fillId="9" borderId="57" xfId="2" applyFont="1" applyFill="1" applyBorder="1"/>
    <xf numFmtId="164" fontId="7" fillId="9" borderId="7" xfId="2" applyFont="1" applyFill="1" applyBorder="1"/>
    <xf numFmtId="3" fontId="7" fillId="9" borderId="1" xfId="5" applyNumberFormat="1" applyFont="1" applyFill="1" applyBorder="1" applyAlignment="1">
      <alignment horizontal="right"/>
    </xf>
    <xf numFmtId="164" fontId="26" fillId="2" borderId="9" xfId="2" applyFont="1" applyFill="1" applyBorder="1"/>
    <xf numFmtId="3" fontId="26" fillId="2" borderId="5" xfId="5" applyNumberFormat="1" applyFont="1" applyFill="1" applyBorder="1" applyAlignment="1">
      <alignment horizontal="right"/>
    </xf>
    <xf numFmtId="164" fontId="7" fillId="2" borderId="4" xfId="2" applyFont="1" applyFill="1" applyBorder="1"/>
    <xf numFmtId="3" fontId="7" fillId="2" borderId="4" xfId="5" applyNumberFormat="1" applyFont="1" applyFill="1" applyBorder="1" applyAlignment="1">
      <alignment horizontal="right"/>
    </xf>
    <xf numFmtId="164" fontId="7" fillId="2" borderId="1" xfId="2" applyFont="1" applyFill="1" applyBorder="1"/>
    <xf numFmtId="3" fontId="7" fillId="2" borderId="7" xfId="5" applyNumberFormat="1" applyFont="1" applyFill="1" applyBorder="1" applyAlignment="1">
      <alignment horizontal="right"/>
    </xf>
    <xf numFmtId="3" fontId="7" fillId="2" borderId="60" xfId="5" applyNumberFormat="1" applyFont="1" applyFill="1" applyBorder="1" applyAlignment="1">
      <alignment horizontal="right"/>
    </xf>
    <xf numFmtId="3" fontId="26" fillId="2" borderId="9" xfId="5" applyNumberFormat="1" applyFont="1" applyFill="1" applyBorder="1" applyAlignment="1">
      <alignment horizontal="right"/>
    </xf>
    <xf numFmtId="3" fontId="7" fillId="2" borderId="1" xfId="5" applyNumberFormat="1" applyFont="1" applyFill="1" applyBorder="1" applyAlignment="1">
      <alignment horizontal="right"/>
    </xf>
    <xf numFmtId="0" fontId="5" fillId="2" borderId="9" xfId="4" applyFont="1" applyFill="1" applyBorder="1" applyAlignment="1">
      <alignment horizontal="center" vertical="center"/>
    </xf>
    <xf numFmtId="0" fontId="5" fillId="2" borderId="6" xfId="4" applyFont="1" applyFill="1" applyBorder="1" applyAlignment="1">
      <alignment horizontal="center" vertical="center"/>
    </xf>
    <xf numFmtId="0" fontId="5" fillId="2" borderId="4" xfId="4" applyFont="1" applyFill="1" applyBorder="1" applyAlignment="1">
      <alignment horizontal="center" vertical="center"/>
    </xf>
    <xf numFmtId="0" fontId="5" fillId="2" borderId="8" xfId="4" applyFont="1" applyFill="1" applyBorder="1" applyAlignment="1">
      <alignment horizontal="center" vertical="center"/>
    </xf>
    <xf numFmtId="0" fontId="14" fillId="0" borderId="0" xfId="4" applyFont="1" applyAlignment="1">
      <alignment horizontal="center" vertical="center"/>
    </xf>
    <xf numFmtId="0" fontId="2" fillId="2" borderId="18" xfId="4" applyFont="1" applyFill="1" applyBorder="1" applyAlignment="1">
      <alignment horizontal="center" vertical="center"/>
    </xf>
    <xf numFmtId="0" fontId="2" fillId="2" borderId="14" xfId="4" applyFont="1" applyFill="1" applyBorder="1" applyAlignment="1">
      <alignment horizontal="center" vertical="center"/>
    </xf>
    <xf numFmtId="0" fontId="2" fillId="2" borderId="15" xfId="4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/>
    </xf>
    <xf numFmtId="0" fontId="14" fillId="3" borderId="18" xfId="0" applyFont="1" applyFill="1" applyBorder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3" fillId="3" borderId="41" xfId="0" applyFont="1" applyFill="1" applyBorder="1" applyAlignment="1">
      <alignment horizontal="center" vertical="center"/>
    </xf>
    <xf numFmtId="0" fontId="13" fillId="3" borderId="15" xfId="0" applyFont="1" applyFill="1" applyBorder="1" applyAlignment="1">
      <alignment horizontal="center" vertical="center"/>
    </xf>
    <xf numFmtId="167" fontId="26" fillId="3" borderId="50" xfId="2" applyNumberFormat="1" applyFont="1" applyFill="1" applyBorder="1" applyAlignment="1">
      <alignment horizontal="center" vertical="center"/>
    </xf>
    <xf numFmtId="167" fontId="26" fillId="3" borderId="51" xfId="2" applyNumberFormat="1" applyFont="1" applyFill="1" applyBorder="1" applyAlignment="1">
      <alignment horizontal="center" vertical="center"/>
    </xf>
    <xf numFmtId="167" fontId="26" fillId="3" borderId="52" xfId="2" applyNumberFormat="1" applyFont="1" applyFill="1" applyBorder="1" applyAlignment="1">
      <alignment horizontal="center" vertical="center"/>
    </xf>
    <xf numFmtId="167" fontId="26" fillId="3" borderId="8" xfId="2" applyNumberFormat="1" applyFont="1" applyFill="1" applyBorder="1" applyAlignment="1">
      <alignment horizontal="center" vertical="center"/>
    </xf>
    <xf numFmtId="167" fontId="26" fillId="3" borderId="62" xfId="2" applyNumberFormat="1" applyFont="1" applyFill="1" applyBorder="1" applyAlignment="1">
      <alignment horizontal="center" vertical="center"/>
    </xf>
    <xf numFmtId="167" fontId="26" fillId="3" borderId="38" xfId="2" applyNumberFormat="1" applyFont="1" applyFill="1" applyBorder="1" applyAlignment="1">
      <alignment horizontal="center" vertical="center"/>
    </xf>
    <xf numFmtId="167" fontId="5" fillId="3" borderId="63" xfId="2" applyNumberFormat="1" applyFont="1" applyFill="1" applyBorder="1" applyAlignment="1">
      <alignment horizontal="center" vertical="center"/>
    </xf>
    <xf numFmtId="167" fontId="5" fillId="3" borderId="62" xfId="2" applyNumberFormat="1" applyFont="1" applyFill="1" applyBorder="1" applyAlignment="1">
      <alignment horizontal="center" vertical="center"/>
    </xf>
    <xf numFmtId="167" fontId="5" fillId="3" borderId="64" xfId="2" applyNumberFormat="1" applyFont="1" applyFill="1" applyBorder="1" applyAlignment="1">
      <alignment horizontal="center" vertical="center"/>
    </xf>
    <xf numFmtId="0" fontId="31" fillId="0" borderId="0" xfId="5" applyFont="1" applyAlignment="1">
      <alignment horizontal="center"/>
    </xf>
    <xf numFmtId="0" fontId="25" fillId="10" borderId="67" xfId="5" applyFont="1" applyFill="1" applyBorder="1" applyAlignment="1">
      <alignment horizontal="center" vertical="center"/>
    </xf>
    <xf numFmtId="0" fontId="25" fillId="10" borderId="65" xfId="5" applyFont="1" applyFill="1" applyBorder="1" applyAlignment="1">
      <alignment horizontal="center" vertical="center"/>
    </xf>
    <xf numFmtId="0" fontId="25" fillId="10" borderId="35" xfId="5" applyFont="1" applyFill="1" applyBorder="1" applyAlignment="1">
      <alignment horizontal="center" vertical="center"/>
    </xf>
    <xf numFmtId="0" fontId="25" fillId="10" borderId="66" xfId="5" applyFont="1" applyFill="1" applyBorder="1" applyAlignment="1">
      <alignment horizontal="center" vertical="center"/>
    </xf>
    <xf numFmtId="0" fontId="25" fillId="10" borderId="68" xfId="5" applyFont="1" applyFill="1" applyBorder="1" applyAlignment="1">
      <alignment horizontal="center" vertical="center"/>
    </xf>
    <xf numFmtId="0" fontId="26" fillId="0" borderId="50" xfId="5" applyFont="1" applyBorder="1" applyAlignment="1">
      <alignment horizontal="center"/>
    </xf>
    <xf numFmtId="0" fontId="26" fillId="0" borderId="51" xfId="5" applyFont="1" applyBorder="1" applyAlignment="1">
      <alignment horizontal="center"/>
    </xf>
    <xf numFmtId="0" fontId="26" fillId="0" borderId="52" xfId="5" applyFont="1" applyBorder="1" applyAlignment="1">
      <alignment horizontal="center"/>
    </xf>
    <xf numFmtId="164" fontId="7" fillId="0" borderId="69" xfId="5" quotePrefix="1" applyNumberFormat="1" applyFont="1" applyBorder="1" applyAlignment="1">
      <alignment horizontal="center"/>
    </xf>
    <xf numFmtId="0" fontId="7" fillId="0" borderId="69" xfId="5" applyFont="1" applyBorder="1" applyAlignment="1">
      <alignment horizontal="center"/>
    </xf>
    <xf numFmtId="164" fontId="7" fillId="0" borderId="69" xfId="5" applyNumberFormat="1" applyFont="1" applyBorder="1" applyAlignment="1">
      <alignment horizontal="center"/>
    </xf>
    <xf numFmtId="164" fontId="3" fillId="8" borderId="19" xfId="5" applyNumberFormat="1" applyFont="1" applyFill="1" applyBorder="1" applyAlignment="1">
      <alignment horizontal="center"/>
    </xf>
    <xf numFmtId="0" fontId="3" fillId="8" borderId="9" xfId="5" applyFont="1" applyFill="1" applyBorder="1" applyAlignment="1">
      <alignment horizontal="center"/>
    </xf>
    <xf numFmtId="0" fontId="3" fillId="8" borderId="30" xfId="5" applyFont="1" applyFill="1" applyBorder="1" applyAlignment="1">
      <alignment horizontal="center"/>
    </xf>
    <xf numFmtId="0" fontId="7" fillId="0" borderId="50" xfId="5" applyFont="1" applyBorder="1" applyAlignment="1">
      <alignment horizontal="right"/>
    </xf>
    <xf numFmtId="0" fontId="7" fillId="0" borderId="51" xfId="5" applyFont="1" applyBorder="1" applyAlignment="1">
      <alignment horizontal="right"/>
    </xf>
    <xf numFmtId="0" fontId="7" fillId="0" borderId="52" xfId="5" applyFont="1" applyBorder="1" applyAlignment="1">
      <alignment horizontal="right"/>
    </xf>
    <xf numFmtId="0" fontId="32" fillId="0" borderId="0" xfId="5" applyFont="1" applyAlignment="1">
      <alignment horizontal="center"/>
    </xf>
    <xf numFmtId="0" fontId="26" fillId="3" borderId="18" xfId="5" applyFont="1" applyFill="1" applyBorder="1" applyAlignment="1">
      <alignment horizontal="center"/>
    </xf>
    <xf numFmtId="0" fontId="26" fillId="3" borderId="14" xfId="5" applyFont="1" applyFill="1" applyBorder="1"/>
    <xf numFmtId="164" fontId="5" fillId="3" borderId="14" xfId="5" applyNumberFormat="1" applyFont="1" applyFill="1" applyBorder="1"/>
    <xf numFmtId="164" fontId="5" fillId="3" borderId="14" xfId="2" applyFont="1" applyFill="1" applyBorder="1"/>
    <xf numFmtId="164" fontId="5" fillId="3" borderId="48" xfId="2" applyFont="1" applyFill="1" applyBorder="1"/>
    <xf numFmtId="164" fontId="5" fillId="0" borderId="0" xfId="5" applyNumberFormat="1" applyFont="1"/>
    <xf numFmtId="164" fontId="25" fillId="0" borderId="0" xfId="5" applyNumberFormat="1" applyFont="1"/>
    <xf numFmtId="0" fontId="26" fillId="9" borderId="19" xfId="5" applyFont="1" applyFill="1" applyBorder="1" applyAlignment="1">
      <alignment horizontal="center"/>
    </xf>
    <xf numFmtId="164" fontId="26" fillId="9" borderId="9" xfId="2" applyFont="1" applyFill="1" applyBorder="1"/>
    <xf numFmtId="164" fontId="26" fillId="9" borderId="30" xfId="2" applyFont="1" applyFill="1" applyBorder="1"/>
    <xf numFmtId="0" fontId="7" fillId="9" borderId="31" xfId="5" applyFont="1" applyFill="1" applyBorder="1" applyAlignment="1">
      <alignment horizontal="center"/>
    </xf>
    <xf numFmtId="164" fontId="7" fillId="9" borderId="32" xfId="2" applyFont="1" applyFill="1" applyBorder="1"/>
    <xf numFmtId="0" fontId="7" fillId="9" borderId="3" xfId="5" applyFont="1" applyFill="1" applyBorder="1" applyAlignment="1">
      <alignment horizontal="center"/>
    </xf>
    <xf numFmtId="164" fontId="7" fillId="9" borderId="1" xfId="2" applyFont="1" applyFill="1" applyBorder="1"/>
    <xf numFmtId="164" fontId="7" fillId="9" borderId="33" xfId="2" applyFont="1" applyFill="1" applyBorder="1"/>
    <xf numFmtId="0" fontId="26" fillId="2" borderId="53" xfId="5" applyFont="1" applyFill="1" applyBorder="1" applyAlignment="1">
      <alignment horizontal="center"/>
    </xf>
    <xf numFmtId="164" fontId="26" fillId="2" borderId="5" xfId="2" applyFont="1" applyFill="1" applyBorder="1"/>
    <xf numFmtId="164" fontId="26" fillId="2" borderId="56" xfId="2" applyFont="1" applyFill="1" applyBorder="1"/>
    <xf numFmtId="0" fontId="7" fillId="2" borderId="31" xfId="5" applyFont="1" applyFill="1" applyBorder="1" applyAlignment="1">
      <alignment horizontal="center"/>
    </xf>
    <xf numFmtId="164" fontId="7" fillId="2" borderId="32" xfId="2" applyFont="1" applyFill="1" applyBorder="1"/>
    <xf numFmtId="0" fontId="7" fillId="2" borderId="57" xfId="5" applyFont="1" applyFill="1" applyBorder="1" applyAlignment="1">
      <alignment horizontal="center"/>
    </xf>
    <xf numFmtId="164" fontId="7" fillId="2" borderId="7" xfId="2" applyFont="1" applyFill="1" applyBorder="1"/>
    <xf numFmtId="164" fontId="7" fillId="2" borderId="60" xfId="2" applyFont="1" applyFill="1" applyBorder="1"/>
    <xf numFmtId="0" fontId="7" fillId="2" borderId="3" xfId="5" applyFont="1" applyFill="1" applyBorder="1" applyAlignment="1">
      <alignment horizontal="center"/>
    </xf>
    <xf numFmtId="164" fontId="7" fillId="2" borderId="33" xfId="2" applyFont="1" applyFill="1" applyBorder="1"/>
    <xf numFmtId="0" fontId="33" fillId="0" borderId="0" xfId="5" applyFont="1"/>
  </cellXfs>
  <cellStyles count="6">
    <cellStyle name="Comma" xfId="1" builtinId="3"/>
    <cellStyle name="Comma [0]" xfId="2" builtinId="6"/>
    <cellStyle name="Normal" xfId="0" builtinId="0"/>
    <cellStyle name="Normal 2" xfId="4" xr:uid="{457E280E-DDBC-4B33-8EC1-28853D6730F1}"/>
    <cellStyle name="Normal 4" xfId="5" xr:uid="{8C20B45C-8AD4-455A-8FD3-3D53663C9527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ID" sz="1600">
                <a:latin typeface="Arial Narrow" panose="020B0606020202030204" pitchFamily="34" charset="0"/>
              </a:rPr>
              <a:t>PERBANDINGAN</a:t>
            </a:r>
            <a:r>
              <a:rPr lang="en-ID" sz="1600" baseline="0">
                <a:latin typeface="Arial Narrow" panose="020B0606020202030204" pitchFamily="34" charset="0"/>
              </a:rPr>
              <a:t> JUMDUK LAKI2 DAN PEREMPUAN</a:t>
            </a:r>
            <a:endParaRPr lang="en-ID" sz="1600">
              <a:latin typeface="Arial Narrow" panose="020B0606020202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17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5097466691336086E-2"/>
          <c:y val="0.22448527267424906"/>
          <c:w val="0.92752152685739442"/>
          <c:h val="0.62441601049868767"/>
        </c:manualLayout>
      </c:layout>
      <c:pie3DChart>
        <c:varyColors val="1"/>
        <c:ser>
          <c:idx val="0"/>
          <c:order val="0"/>
          <c:dPt>
            <c:idx val="0"/>
            <c:bubble3D val="0"/>
            <c:explosion val="9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445D-49BD-BE8F-7103207E3F6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445D-49BD-BE8F-7103207E3F69}"/>
              </c:ext>
            </c:extLst>
          </c:dPt>
          <c:dLbls>
            <c:dLbl>
              <c:idx val="0"/>
              <c:layout>
                <c:manualLayout>
                  <c:x val="-8.9445428696412949E-2"/>
                  <c:y val="-9.40726159230096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45D-49BD-BE8F-7103207E3F69}"/>
                </c:ext>
              </c:extLst>
            </c:dLbl>
            <c:dLbl>
              <c:idx val="1"/>
              <c:layout>
                <c:manualLayout>
                  <c:x val="9.6735345581802273E-2"/>
                  <c:y val="-0.1322670603674540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45D-49BD-BE8F-7103207E3F6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'[1]JUMDUK KEC(GRAPH)'!$E$3:$F$3</c:f>
              <c:strCache>
                <c:ptCount val="2"/>
                <c:pt idx="0">
                  <c:v>LAKI-LAKI</c:v>
                </c:pt>
                <c:pt idx="1">
                  <c:v>PEREMPUAN</c:v>
                </c:pt>
              </c:strCache>
            </c:strRef>
          </c:cat>
          <c:val>
            <c:numRef>
              <c:f>'[1]JUMDUK KEC(GRAPH)'!$E$72:$F$72</c:f>
              <c:numCache>
                <c:formatCode>General</c:formatCode>
                <c:ptCount val="2"/>
                <c:pt idx="0">
                  <c:v>1300822</c:v>
                </c:pt>
                <c:pt idx="1">
                  <c:v>1306426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45D-49BD-BE8F-7103207E3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2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ID" sz="1400">
                <a:latin typeface="Arial Narrow" panose="020B0606020202030204" pitchFamily="34" charset="0"/>
              </a:rPr>
              <a:t>% PERBANDINGAN</a:t>
            </a:r>
            <a:r>
              <a:rPr lang="en-ID" sz="1400" baseline="0">
                <a:latin typeface="Arial Narrow" panose="020B0606020202030204" pitchFamily="34" charset="0"/>
              </a:rPr>
              <a:t> JUMDUK LAKI2 DAN PEREMPUAN</a:t>
            </a:r>
            <a:endParaRPr lang="en-ID" sz="1400">
              <a:latin typeface="Arial Narrow" panose="020B0606020202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2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17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5097466691336086E-2"/>
          <c:y val="0.22448527267424906"/>
          <c:w val="0.92752152685739442"/>
          <c:h val="0.62441601049868767"/>
        </c:manualLayout>
      </c:layout>
      <c:pie3DChart>
        <c:varyColors val="1"/>
        <c:ser>
          <c:idx val="0"/>
          <c:order val="0"/>
          <c:explosion val="1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3319-44BE-B02D-4BEA6BE2BC5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3319-44BE-B02D-4BEA6BE2BC56}"/>
              </c:ext>
            </c:extLst>
          </c:dPt>
          <c:dLbls>
            <c:dLbl>
              <c:idx val="0"/>
              <c:layout>
                <c:manualLayout>
                  <c:x val="-8.9445428696412949E-2"/>
                  <c:y val="-9.40726159230096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319-44BE-B02D-4BEA6BE2BC56}"/>
                </c:ext>
              </c:extLst>
            </c:dLbl>
            <c:dLbl>
              <c:idx val="1"/>
              <c:layout>
                <c:manualLayout>
                  <c:x val="9.6735345581802273E-2"/>
                  <c:y val="-0.1322670603674540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319-44BE-B02D-4BEA6BE2BC5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'[1]JUMDUK KEC(GRAPH)'!$E$3:$F$3</c:f>
              <c:strCache>
                <c:ptCount val="2"/>
                <c:pt idx="0">
                  <c:v>LAKI-LAKI</c:v>
                </c:pt>
                <c:pt idx="1">
                  <c:v>PEREMPUAN</c:v>
                </c:pt>
              </c:strCache>
            </c:strRef>
          </c:cat>
          <c:val>
            <c:numRef>
              <c:f>'[1]JUMDUK KEC(GRAPH)'!$E$73:$F$73</c:f>
              <c:numCache>
                <c:formatCode>General</c:formatCode>
                <c:ptCount val="2"/>
                <c:pt idx="0">
                  <c:v>49.892530361515284</c:v>
                </c:pt>
                <c:pt idx="1">
                  <c:v>50.107469638484716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319-44BE-B02D-4BEA6BE2B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400" b="1">
                <a:latin typeface="Arial Narrow" panose="020B0606020202030204" pitchFamily="34" charset="0"/>
              </a:rPr>
              <a:t>GRAFIK JUMLAH PENDUDUK PER KECAMATAN DAN KELURAHAN DKB</a:t>
            </a:r>
            <a:r>
              <a:rPr lang="en-US" sz="1400" b="1" baseline="0">
                <a:latin typeface="Arial Narrow" panose="020B0606020202030204" pitchFamily="34" charset="0"/>
              </a:rPr>
              <a:t> SEMESTER 1 TAHUN 2026</a:t>
            </a:r>
            <a:endParaRPr lang="en-US" sz="1400" b="1">
              <a:latin typeface="Arial Narrow" panose="020B0606020202030204" pitchFamily="34" charset="0"/>
            </a:endParaRPr>
          </a:p>
        </c:rich>
      </c:tx>
      <c:layout>
        <c:manualLayout>
          <c:xMode val="edge"/>
          <c:yMode val="edge"/>
          <c:x val="0.19016131720331519"/>
          <c:y val="1.47249620571351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'[1]JUMDUK KEC(GRAPH)'!$G$3</c:f>
              <c:strCache>
                <c:ptCount val="1"/>
                <c:pt idx="0">
                  <c:v>JUMLAH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4.0953348111045142E-3"/>
                  <c:y val="-2.64003631550548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CD7-4577-8D66-6F4D4E098431}"/>
                </c:ext>
              </c:extLst>
            </c:dLbl>
            <c:dLbl>
              <c:idx val="1"/>
              <c:layout>
                <c:manualLayout>
                  <c:x val="4.232051727002006E-3"/>
                  <c:y val="-2.32696258615847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CD7-4577-8D66-6F4D4E098431}"/>
                </c:ext>
              </c:extLst>
            </c:dLbl>
            <c:dLbl>
              <c:idx val="2"/>
              <c:layout>
                <c:manualLayout>
                  <c:x val="0"/>
                  <c:y val="-6.54925928757163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CD7-4577-8D66-6F4D4E098431}"/>
                </c:ext>
              </c:extLst>
            </c:dLbl>
            <c:dLbl>
              <c:idx val="3"/>
              <c:layout>
                <c:manualLayout>
                  <c:x val="6.3480775905029709E-3"/>
                  <c:y val="-2.99180903934661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CD7-4577-8D66-6F4D4E098431}"/>
                </c:ext>
              </c:extLst>
            </c:dLbl>
            <c:dLbl>
              <c:idx val="4"/>
              <c:layout>
                <c:manualLayout>
                  <c:x val="8.4641034540040121E-3"/>
                  <c:y val="-2.32696258615847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CD7-4577-8D66-6F4D4E098431}"/>
                </c:ext>
              </c:extLst>
            </c:dLbl>
            <c:dLbl>
              <c:idx val="5"/>
              <c:layout>
                <c:manualLayout>
                  <c:x val="7.406090522253511E-3"/>
                  <c:y val="-1.32969290637627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CD7-4577-8D66-6F4D4E098431}"/>
                </c:ext>
              </c:extLst>
            </c:dLbl>
            <c:dLbl>
              <c:idx val="6"/>
              <c:layout>
                <c:manualLayout>
                  <c:x val="2.116025863501003E-3"/>
                  <c:y val="-3.32423226594067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CD7-4577-8D66-6F4D4E098431}"/>
                </c:ext>
              </c:extLst>
            </c:dLbl>
            <c:dLbl>
              <c:idx val="7"/>
              <c:layout>
                <c:manualLayout>
                  <c:x val="6.954162904271421E-4"/>
                  <c:y val="-3.70368894688997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CD7-4577-8D66-6F4D4E098431}"/>
                </c:ext>
              </c:extLst>
            </c:dLbl>
            <c:dLbl>
              <c:idx val="8"/>
              <c:layout>
                <c:manualLayout>
                  <c:x val="-3.1569950698629784E-17"/>
                  <c:y val="-4.62300655593291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CD7-4577-8D66-6F4D4E098431}"/>
                </c:ext>
              </c:extLst>
            </c:dLbl>
            <c:dLbl>
              <c:idx val="9"/>
              <c:layout>
                <c:manualLayout>
                  <c:x val="2.9770151272522972E-3"/>
                  <c:y val="-3.0974515702547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CD7-4577-8D66-6F4D4E098431}"/>
                </c:ext>
              </c:extLst>
            </c:dLbl>
            <c:dLbl>
              <c:idx val="10"/>
              <c:layout>
                <c:manualLayout>
                  <c:x val="4.232051727002006E-3"/>
                  <c:y val="-3.32423226594067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CD7-4577-8D66-6F4D4E098431}"/>
                </c:ext>
              </c:extLst>
            </c:dLbl>
            <c:dLbl>
              <c:idx val="11"/>
              <c:layout>
                <c:manualLayout>
                  <c:x val="5.290064658752508E-3"/>
                  <c:y val="-2.65938581275255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CD7-4577-8D66-6F4D4E098431}"/>
                </c:ext>
              </c:extLst>
            </c:dLbl>
            <c:dLbl>
              <c:idx val="17"/>
              <c:layout>
                <c:manualLayout>
                  <c:x val="0"/>
                  <c:y val="-3.11391472409673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CD7-4577-8D66-6F4D4E098431}"/>
                </c:ext>
              </c:extLst>
            </c:dLbl>
            <c:dLbl>
              <c:idx val="18"/>
              <c:layout>
                <c:manualLayout>
                  <c:x val="1.0034403782985661E-3"/>
                  <c:y val="-4.67086659999789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CD7-4577-8D66-6F4D4E098431}"/>
                </c:ext>
              </c:extLst>
            </c:dLbl>
            <c:dLbl>
              <c:idx val="23"/>
              <c:layout>
                <c:manualLayout>
                  <c:x val="0"/>
                  <c:y val="-2.33543604307255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CD7-4577-8D66-6F4D4E098431}"/>
                </c:ext>
              </c:extLst>
            </c:dLbl>
            <c:dLbl>
              <c:idx val="26"/>
              <c:layout>
                <c:manualLayout>
                  <c:x val="-6.3253920307662004E-17"/>
                  <c:y val="-3.11391472409673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CD7-4577-8D66-6F4D4E098431}"/>
                </c:ext>
              </c:extLst>
            </c:dLbl>
            <c:dLbl>
              <c:idx val="30"/>
              <c:layout>
                <c:manualLayout>
                  <c:x val="-6.3139901397259569E-17"/>
                  <c:y val="-4.62300655593292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0CD7-4577-8D66-6F4D4E098431}"/>
                </c:ext>
              </c:extLst>
            </c:dLbl>
            <c:dLbl>
              <c:idx val="32"/>
              <c:layout>
                <c:manualLayout>
                  <c:x val="-8.6256342303206879E-4"/>
                  <c:y val="-8.06234204391723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CD7-4577-8D66-6F4D4E098431}"/>
                </c:ext>
              </c:extLst>
            </c:dLbl>
            <c:dLbl>
              <c:idx val="33"/>
              <c:layout>
                <c:manualLayout>
                  <c:x val="-8.5943917756281898E-4"/>
                  <c:y val="-3.07404067826947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0CD7-4577-8D66-6F4D4E098431}"/>
                </c:ext>
              </c:extLst>
            </c:dLbl>
            <c:dLbl>
              <c:idx val="35"/>
              <c:layout>
                <c:manualLayout>
                  <c:x val="-8.6100130029731741E-4"/>
                  <c:y val="-3.08997803709359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0CD7-4577-8D66-6F4D4E098431}"/>
                </c:ext>
              </c:extLst>
            </c:dLbl>
            <c:dLbl>
              <c:idx val="36"/>
              <c:layout>
                <c:manualLayout>
                  <c:x val="-1.0034403782986029E-3"/>
                  <c:y val="-1.65133289219773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0CD7-4577-8D66-6F4D4E098431}"/>
                </c:ext>
              </c:extLst>
            </c:dLbl>
            <c:dLbl>
              <c:idx val="39"/>
              <c:layout>
                <c:manualLayout>
                  <c:x val="8.6256342303200548E-4"/>
                  <c:y val="-2.33543604307255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CD7-4577-8D66-6F4D4E098431}"/>
                </c:ext>
              </c:extLst>
            </c:dLbl>
            <c:dLbl>
              <c:idx val="41"/>
              <c:layout>
                <c:manualLayout>
                  <c:x val="0"/>
                  <c:y val="-2.72467538358465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0CD7-4577-8D66-6F4D4E098431}"/>
                </c:ext>
              </c:extLst>
            </c:dLbl>
            <c:dLbl>
              <c:idx val="43"/>
              <c:layout>
                <c:manualLayout>
                  <c:x val="8.6100860174711526E-4"/>
                  <c:y val="-6.16400874124389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0CD7-4577-8D66-6F4D4E098431}"/>
                </c:ext>
              </c:extLst>
            </c:dLbl>
            <c:dLbl>
              <c:idx val="45"/>
              <c:layout>
                <c:manualLayout>
                  <c:x val="0"/>
                  <c:y val="-5.06011142665719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0CD7-4577-8D66-6F4D4E098431}"/>
                </c:ext>
              </c:extLst>
            </c:dLbl>
            <c:dLbl>
              <c:idx val="46"/>
              <c:layout>
                <c:manualLayout>
                  <c:x val="8.6256342303200548E-4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0CD7-4577-8D66-6F4D4E098431}"/>
                </c:ext>
              </c:extLst>
            </c:dLbl>
            <c:dLbl>
              <c:idx val="49"/>
              <c:layout>
                <c:manualLayout>
                  <c:x val="-1.7220172034943567E-3"/>
                  <c:y val="-6.54925928757164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0CD7-4577-8D66-6F4D4E098431}"/>
                </c:ext>
              </c:extLst>
            </c:dLbl>
            <c:dLbl>
              <c:idx val="51"/>
              <c:layout>
                <c:manualLayout>
                  <c:x val="-1.2627980279451914E-16"/>
                  <c:y val="-5.7787581949161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0CD7-4577-8D66-6F4D4E098431}"/>
                </c:ext>
              </c:extLst>
            </c:dLbl>
            <c:dLbl>
              <c:idx val="54"/>
              <c:layout>
                <c:manualLayout>
                  <c:x val="-2.5714937442603406E-3"/>
                  <c:y val="-3.84860684065300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0CD7-4577-8D66-6F4D4E098431}"/>
                </c:ext>
              </c:extLst>
            </c:dLbl>
            <c:dLbl>
              <c:idx val="55"/>
              <c:layout>
                <c:manualLayout>
                  <c:x val="3.0103211348958083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0CD7-4577-8D66-6F4D4E098431}"/>
                </c:ext>
              </c:extLst>
            </c:dLbl>
            <c:dLbl>
              <c:idx val="56"/>
              <c:layout>
                <c:manualLayout>
                  <c:x val="-1.47169555368533E-16"/>
                  <c:y val="-3.63293236283502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0CD7-4577-8D66-6F4D4E098431}"/>
                </c:ext>
              </c:extLst>
            </c:dLbl>
            <c:dLbl>
              <c:idx val="57"/>
              <c:layout>
                <c:manualLayout>
                  <c:x val="0"/>
                  <c:y val="-3.892393405120989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0CD7-4577-8D66-6F4D4E098431}"/>
                </c:ext>
              </c:extLst>
            </c:dLbl>
            <c:dLbl>
              <c:idx val="58"/>
              <c:layout>
                <c:manualLayout>
                  <c:x val="3.0103211348958083E-3"/>
                  <c:y val="-3.302665784395597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0CD7-4577-8D66-6F4D4E098431}"/>
                </c:ext>
              </c:extLst>
            </c:dLbl>
            <c:dLbl>
              <c:idx val="59"/>
              <c:layout>
                <c:manualLayout>
                  <c:x val="-5.6461298766328225E-4"/>
                  <c:y val="-8.63328538400056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0CD7-4577-8D66-6F4D4E098431}"/>
                </c:ext>
              </c:extLst>
            </c:dLbl>
            <c:dLbl>
              <c:idx val="61"/>
              <c:layout>
                <c:manualLayout>
                  <c:x val="-8.6256342303200548E-4"/>
                  <c:y val="-5.44935076716928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0CD7-4577-8D66-6F4D4E098431}"/>
                </c:ext>
              </c:extLst>
            </c:dLbl>
            <c:dLbl>
              <c:idx val="64"/>
              <c:layout>
                <c:manualLayout>
                  <c:x val="2.0068807565972058E-3"/>
                  <c:y val="-2.97239920595592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0CD7-4577-8D66-6F4D4E098431}"/>
                </c:ext>
              </c:extLst>
            </c:dLbl>
            <c:dLbl>
              <c:idx val="66"/>
              <c:layout>
                <c:manualLayout>
                  <c:x val="0"/>
                  <c:y val="-8.256664460988690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0CD7-4577-8D66-6F4D4E098431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'[1]JUMDUK KEC(GRAPH)'!$C$4:$C$71</c:f>
              <c:strCache>
                <c:ptCount val="68"/>
                <c:pt idx="0">
                  <c:v>BEKASI TIMUR</c:v>
                </c:pt>
                <c:pt idx="1">
                  <c:v>BEKASI TIMUR</c:v>
                </c:pt>
                <c:pt idx="2">
                  <c:v>BEKASI TIMUR</c:v>
                </c:pt>
                <c:pt idx="3">
                  <c:v>BEKASI TIMUR</c:v>
                </c:pt>
                <c:pt idx="4">
                  <c:v>BEKASI TIMUR</c:v>
                </c:pt>
                <c:pt idx="5">
                  <c:v>BEKASI BARAT</c:v>
                </c:pt>
                <c:pt idx="6">
                  <c:v>BEKASI BARAT</c:v>
                </c:pt>
                <c:pt idx="7">
                  <c:v>BEKASI BARAT</c:v>
                </c:pt>
                <c:pt idx="8">
                  <c:v>BEKASI BARAT</c:v>
                </c:pt>
                <c:pt idx="9">
                  <c:v>BEKASI BARAT</c:v>
                </c:pt>
                <c:pt idx="10">
                  <c:v>BEKASI BARAT</c:v>
                </c:pt>
                <c:pt idx="11">
                  <c:v>BEKASI UTARA</c:v>
                </c:pt>
                <c:pt idx="12">
                  <c:v>BEKASI UTARA</c:v>
                </c:pt>
                <c:pt idx="13">
                  <c:v>BEKASI UTARA</c:v>
                </c:pt>
                <c:pt idx="14">
                  <c:v>BEKASI UTARA</c:v>
                </c:pt>
                <c:pt idx="15">
                  <c:v>BEKASI UTARA</c:v>
                </c:pt>
                <c:pt idx="16">
                  <c:v>BEKASI UTARA</c:v>
                </c:pt>
                <c:pt idx="17">
                  <c:v>BEKASI UTARA</c:v>
                </c:pt>
                <c:pt idx="18">
                  <c:v>BEKASI SELATAN</c:v>
                </c:pt>
                <c:pt idx="19">
                  <c:v>BEKASI SELATAN</c:v>
                </c:pt>
                <c:pt idx="20">
                  <c:v>BEKASI SELATAN</c:v>
                </c:pt>
                <c:pt idx="21">
                  <c:v>BEKASI SELATAN</c:v>
                </c:pt>
                <c:pt idx="22">
                  <c:v>BEKASI SELATAN</c:v>
                </c:pt>
                <c:pt idx="23">
                  <c:v>BEKASI SELATAN</c:v>
                </c:pt>
                <c:pt idx="24">
                  <c:v>RAWALUMBU</c:v>
                </c:pt>
                <c:pt idx="25">
                  <c:v>RAWALUMBU</c:v>
                </c:pt>
                <c:pt idx="26">
                  <c:v>RAWALUMBU</c:v>
                </c:pt>
                <c:pt idx="27">
                  <c:v>RAWALUMBU</c:v>
                </c:pt>
                <c:pt idx="28">
                  <c:v>RAWALUMBU</c:v>
                </c:pt>
                <c:pt idx="29">
                  <c:v>MEDAN SATRIA</c:v>
                </c:pt>
                <c:pt idx="30">
                  <c:v>MEDAN SATRIA</c:v>
                </c:pt>
                <c:pt idx="31">
                  <c:v>MEDAN SATRIA</c:v>
                </c:pt>
                <c:pt idx="32">
                  <c:v>MEDAN SATRIA</c:v>
                </c:pt>
                <c:pt idx="33">
                  <c:v>MEDANSATRIA</c:v>
                </c:pt>
                <c:pt idx="34">
                  <c:v>BANTARGEBANG</c:v>
                </c:pt>
                <c:pt idx="35">
                  <c:v>BANTARGEBANG</c:v>
                </c:pt>
                <c:pt idx="36">
                  <c:v>BANTARGEBANG</c:v>
                </c:pt>
                <c:pt idx="37">
                  <c:v>BANTARGEBANG</c:v>
                </c:pt>
                <c:pt idx="38">
                  <c:v>BANTARGEBANG</c:v>
                </c:pt>
                <c:pt idx="39">
                  <c:v>PONDOKGEDE</c:v>
                </c:pt>
                <c:pt idx="40">
                  <c:v>PONDOKGEDE</c:v>
                </c:pt>
                <c:pt idx="41">
                  <c:v>PONDOKGEDE</c:v>
                </c:pt>
                <c:pt idx="42">
                  <c:v>PONDOKGEDE</c:v>
                </c:pt>
                <c:pt idx="43">
                  <c:v>PONDOKGEDE</c:v>
                </c:pt>
                <c:pt idx="44">
                  <c:v>PONDOKGEDE</c:v>
                </c:pt>
                <c:pt idx="45">
                  <c:v>JATIASIH</c:v>
                </c:pt>
                <c:pt idx="46">
                  <c:v>JATIASIH</c:v>
                </c:pt>
                <c:pt idx="47">
                  <c:v>JATIASIH</c:v>
                </c:pt>
                <c:pt idx="48">
                  <c:v>JATIASIH</c:v>
                </c:pt>
                <c:pt idx="49">
                  <c:v>JATIASIH</c:v>
                </c:pt>
                <c:pt idx="50">
                  <c:v>JATIASIH</c:v>
                </c:pt>
                <c:pt idx="51">
                  <c:v>JATIASIH</c:v>
                </c:pt>
                <c:pt idx="52">
                  <c:v>JATISAMPURNA</c:v>
                </c:pt>
                <c:pt idx="53">
                  <c:v>JATISAMPURNA</c:v>
                </c:pt>
                <c:pt idx="54">
                  <c:v>JATISAMPURNA</c:v>
                </c:pt>
                <c:pt idx="55">
                  <c:v>JATISAMPURNA</c:v>
                </c:pt>
                <c:pt idx="56">
                  <c:v>JATISAMPURNA</c:v>
                </c:pt>
                <c:pt idx="57">
                  <c:v>JATISAMPURNA</c:v>
                </c:pt>
                <c:pt idx="58">
                  <c:v>MUSTIKA JAYA</c:v>
                </c:pt>
                <c:pt idx="59">
                  <c:v>MUSTIKA JAYA</c:v>
                </c:pt>
                <c:pt idx="60">
                  <c:v>MUSTIKA JAYA</c:v>
                </c:pt>
                <c:pt idx="61">
                  <c:v>MUSTIKA JAYA</c:v>
                </c:pt>
                <c:pt idx="62">
                  <c:v>MUSTIKAJAYA</c:v>
                </c:pt>
                <c:pt idx="63">
                  <c:v>PONDOK MELATI</c:v>
                </c:pt>
                <c:pt idx="64">
                  <c:v>PONDOK MELATI</c:v>
                </c:pt>
                <c:pt idx="65">
                  <c:v>PONDOK MELATI</c:v>
                </c:pt>
                <c:pt idx="66">
                  <c:v>PONDOK MELATI</c:v>
                </c:pt>
                <c:pt idx="67">
                  <c:v>PONDOKMELATI</c:v>
                </c:pt>
              </c:strCache>
            </c:strRef>
          </c:cat>
          <c:val>
            <c:numRef>
              <c:f>'[1]JUMDUK KEC(GRAPH)'!$G$4:$G$71</c:f>
              <c:numCache>
                <c:formatCode>General</c:formatCode>
                <c:ptCount val="68"/>
                <c:pt idx="0">
                  <c:v>66383</c:v>
                </c:pt>
                <c:pt idx="1">
                  <c:v>66759</c:v>
                </c:pt>
                <c:pt idx="2">
                  <c:v>76518</c:v>
                </c:pt>
                <c:pt idx="3">
                  <c:v>66651</c:v>
                </c:pt>
                <c:pt idx="4">
                  <c:v>276311</c:v>
                </c:pt>
                <c:pt idx="5">
                  <c:v>65516</c:v>
                </c:pt>
                <c:pt idx="6">
                  <c:v>49919</c:v>
                </c:pt>
                <c:pt idx="7">
                  <c:v>45522</c:v>
                </c:pt>
                <c:pt idx="8">
                  <c:v>35666</c:v>
                </c:pt>
                <c:pt idx="9">
                  <c:v>75633</c:v>
                </c:pt>
                <c:pt idx="10">
                  <c:v>272256</c:v>
                </c:pt>
                <c:pt idx="11">
                  <c:v>97544</c:v>
                </c:pt>
                <c:pt idx="12">
                  <c:v>40808</c:v>
                </c:pt>
                <c:pt idx="13">
                  <c:v>29091</c:v>
                </c:pt>
                <c:pt idx="14">
                  <c:v>71835</c:v>
                </c:pt>
                <c:pt idx="15">
                  <c:v>25043</c:v>
                </c:pt>
                <c:pt idx="16">
                  <c:v>84301</c:v>
                </c:pt>
                <c:pt idx="17">
                  <c:v>348622</c:v>
                </c:pt>
                <c:pt idx="18">
                  <c:v>60932</c:v>
                </c:pt>
                <c:pt idx="19">
                  <c:v>17654</c:v>
                </c:pt>
                <c:pt idx="20">
                  <c:v>37920</c:v>
                </c:pt>
                <c:pt idx="21">
                  <c:v>45235</c:v>
                </c:pt>
                <c:pt idx="22">
                  <c:v>58803</c:v>
                </c:pt>
                <c:pt idx="23">
                  <c:v>220544</c:v>
                </c:pt>
                <c:pt idx="24">
                  <c:v>80942</c:v>
                </c:pt>
                <c:pt idx="25">
                  <c:v>63621</c:v>
                </c:pt>
                <c:pt idx="26">
                  <c:v>37751</c:v>
                </c:pt>
                <c:pt idx="27">
                  <c:v>45633</c:v>
                </c:pt>
                <c:pt idx="28">
                  <c:v>227947</c:v>
                </c:pt>
                <c:pt idx="29">
                  <c:v>28354</c:v>
                </c:pt>
                <c:pt idx="30">
                  <c:v>25378</c:v>
                </c:pt>
                <c:pt idx="31">
                  <c:v>77857</c:v>
                </c:pt>
                <c:pt idx="32">
                  <c:v>31049</c:v>
                </c:pt>
                <c:pt idx="33">
                  <c:v>162638</c:v>
                </c:pt>
                <c:pt idx="34">
                  <c:v>35332</c:v>
                </c:pt>
                <c:pt idx="35">
                  <c:v>29842</c:v>
                </c:pt>
                <c:pt idx="36">
                  <c:v>27263</c:v>
                </c:pt>
                <c:pt idx="37">
                  <c:v>28472</c:v>
                </c:pt>
                <c:pt idx="38">
                  <c:v>120909</c:v>
                </c:pt>
                <c:pt idx="39">
                  <c:v>48286</c:v>
                </c:pt>
                <c:pt idx="40">
                  <c:v>38343</c:v>
                </c:pt>
                <c:pt idx="41">
                  <c:v>62883</c:v>
                </c:pt>
                <c:pt idx="42">
                  <c:v>39674</c:v>
                </c:pt>
                <c:pt idx="43">
                  <c:v>46216</c:v>
                </c:pt>
                <c:pt idx="44">
                  <c:v>235402</c:v>
                </c:pt>
                <c:pt idx="45">
                  <c:v>42176</c:v>
                </c:pt>
                <c:pt idx="46">
                  <c:v>38843</c:v>
                </c:pt>
                <c:pt idx="47">
                  <c:v>47677</c:v>
                </c:pt>
                <c:pt idx="48">
                  <c:v>42232</c:v>
                </c:pt>
                <c:pt idx="49">
                  <c:v>37655</c:v>
                </c:pt>
                <c:pt idx="50">
                  <c:v>44407</c:v>
                </c:pt>
                <c:pt idx="51">
                  <c:v>252990</c:v>
                </c:pt>
                <c:pt idx="52">
                  <c:v>32339</c:v>
                </c:pt>
                <c:pt idx="53">
                  <c:v>17173</c:v>
                </c:pt>
                <c:pt idx="54">
                  <c:v>30464</c:v>
                </c:pt>
                <c:pt idx="55">
                  <c:v>20442</c:v>
                </c:pt>
                <c:pt idx="56">
                  <c:v>23647</c:v>
                </c:pt>
                <c:pt idx="57">
                  <c:v>124065</c:v>
                </c:pt>
                <c:pt idx="58">
                  <c:v>60906</c:v>
                </c:pt>
                <c:pt idx="59">
                  <c:v>47515</c:v>
                </c:pt>
                <c:pt idx="60">
                  <c:v>81974</c:v>
                </c:pt>
                <c:pt idx="61">
                  <c:v>41205</c:v>
                </c:pt>
                <c:pt idx="62">
                  <c:v>231600</c:v>
                </c:pt>
                <c:pt idx="63">
                  <c:v>58899</c:v>
                </c:pt>
                <c:pt idx="64">
                  <c:v>23804</c:v>
                </c:pt>
                <c:pt idx="65">
                  <c:v>22576</c:v>
                </c:pt>
                <c:pt idx="66">
                  <c:v>28685</c:v>
                </c:pt>
                <c:pt idx="67">
                  <c:v>133964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0CD7-4577-8D66-6F4D4E0984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21187663"/>
        <c:axId val="821188079"/>
        <c:axId val="0"/>
      </c:bar3DChart>
      <c:catAx>
        <c:axId val="821187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821188079"/>
        <c:crosses val="autoZero"/>
        <c:auto val="1"/>
        <c:lblAlgn val="ctr"/>
        <c:lblOffset val="100"/>
        <c:noMultiLvlLbl val="0"/>
      </c:catAx>
      <c:valAx>
        <c:axId val="82118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821187663"/>
        <c:crosses val="autoZero"/>
        <c:crossBetween val="between"/>
        <c:majorUnit val="100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4803149606299213" l="0.70866141732283472" r="0.70866141732283472" t="0.74803149606299213" header="0.31496062992125984" footer="0.31496062992125984"/>
    <c:pageSetup paperSize="5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400" b="1">
                <a:latin typeface="Arial Narrow" panose="020B0606020202030204" pitchFamily="34" charset="0"/>
              </a:rPr>
              <a:t>GRAFIK JUMLAH PENDUDUK PER KECAMATAN DAN KELURAHAN DKB</a:t>
            </a:r>
            <a:r>
              <a:rPr lang="en-US" sz="1400" b="1" baseline="0">
                <a:latin typeface="Arial Narrow" panose="020B0606020202030204" pitchFamily="34" charset="0"/>
              </a:rPr>
              <a:t> SEMESTER 2 TAHUN 2024</a:t>
            </a:r>
            <a:endParaRPr lang="en-US" sz="1400" b="1">
              <a:latin typeface="Arial Narrow" panose="020B0606020202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'JUMDUK KEC&amp; KEL (GRAPH)'!$G$3</c:f>
              <c:strCache>
                <c:ptCount val="1"/>
                <c:pt idx="0">
                  <c:v>JUMLAH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4.0953348111045142E-3"/>
                  <c:y val="-2.64003631550548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5B5-47C7-BB09-E1445ABE8F67}"/>
                </c:ext>
              </c:extLst>
            </c:dLbl>
            <c:dLbl>
              <c:idx val="1"/>
              <c:layout>
                <c:manualLayout>
                  <c:x val="4.232051727002006E-3"/>
                  <c:y val="-2.32696258615847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5B5-47C7-BB09-E1445ABE8F67}"/>
                </c:ext>
              </c:extLst>
            </c:dLbl>
            <c:dLbl>
              <c:idx val="2"/>
              <c:layout>
                <c:manualLayout>
                  <c:x val="0"/>
                  <c:y val="-6.54925928757163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5B5-47C7-BB09-E1445ABE8F67}"/>
                </c:ext>
              </c:extLst>
            </c:dLbl>
            <c:dLbl>
              <c:idx val="3"/>
              <c:layout>
                <c:manualLayout>
                  <c:x val="6.3480775905029709E-3"/>
                  <c:y val="-2.99180903934661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5B5-47C7-BB09-E1445ABE8F67}"/>
                </c:ext>
              </c:extLst>
            </c:dLbl>
            <c:dLbl>
              <c:idx val="4"/>
              <c:layout>
                <c:manualLayout>
                  <c:x val="8.4641034540040121E-3"/>
                  <c:y val="-2.32696258615847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5B5-47C7-BB09-E1445ABE8F67}"/>
                </c:ext>
              </c:extLst>
            </c:dLbl>
            <c:dLbl>
              <c:idx val="5"/>
              <c:layout>
                <c:manualLayout>
                  <c:x val="7.406090522253511E-3"/>
                  <c:y val="-1.32969290637627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5B5-47C7-BB09-E1445ABE8F67}"/>
                </c:ext>
              </c:extLst>
            </c:dLbl>
            <c:dLbl>
              <c:idx val="6"/>
              <c:layout>
                <c:manualLayout>
                  <c:x val="2.116025863501003E-3"/>
                  <c:y val="-3.32423226594067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5B5-47C7-BB09-E1445ABE8F67}"/>
                </c:ext>
              </c:extLst>
            </c:dLbl>
            <c:dLbl>
              <c:idx val="7"/>
              <c:layout>
                <c:manualLayout>
                  <c:x val="6.954162904271421E-4"/>
                  <c:y val="-3.70368894688997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5B5-47C7-BB09-E1445ABE8F67}"/>
                </c:ext>
              </c:extLst>
            </c:dLbl>
            <c:dLbl>
              <c:idx val="8"/>
              <c:layout>
                <c:manualLayout>
                  <c:x val="-3.1569950698629784E-17"/>
                  <c:y val="-4.62300655593291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5B5-47C7-BB09-E1445ABE8F67}"/>
                </c:ext>
              </c:extLst>
            </c:dLbl>
            <c:dLbl>
              <c:idx val="9"/>
              <c:layout>
                <c:manualLayout>
                  <c:x val="2.9770151272522972E-3"/>
                  <c:y val="-3.0974515702547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5B5-47C7-BB09-E1445ABE8F67}"/>
                </c:ext>
              </c:extLst>
            </c:dLbl>
            <c:dLbl>
              <c:idx val="10"/>
              <c:layout>
                <c:manualLayout>
                  <c:x val="4.232051727002006E-3"/>
                  <c:y val="-3.32423226594067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5B5-47C7-BB09-E1445ABE8F67}"/>
                </c:ext>
              </c:extLst>
            </c:dLbl>
            <c:dLbl>
              <c:idx val="11"/>
              <c:layout>
                <c:manualLayout>
                  <c:x val="5.290064658752508E-3"/>
                  <c:y val="-2.65938581275255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5B5-47C7-BB09-E1445ABE8F67}"/>
                </c:ext>
              </c:extLst>
            </c:dLbl>
            <c:dLbl>
              <c:idx val="17"/>
              <c:layout>
                <c:manualLayout>
                  <c:x val="0"/>
                  <c:y val="-3.11391472409673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5B5-47C7-BB09-E1445ABE8F67}"/>
                </c:ext>
              </c:extLst>
            </c:dLbl>
            <c:dLbl>
              <c:idx val="18"/>
              <c:layout>
                <c:manualLayout>
                  <c:x val="1.0034403782985661E-3"/>
                  <c:y val="-4.67086659999789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5B5-47C7-BB09-E1445ABE8F67}"/>
                </c:ext>
              </c:extLst>
            </c:dLbl>
            <c:dLbl>
              <c:idx val="23"/>
              <c:layout>
                <c:manualLayout>
                  <c:x val="0"/>
                  <c:y val="-2.33543604307255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5B5-47C7-BB09-E1445ABE8F67}"/>
                </c:ext>
              </c:extLst>
            </c:dLbl>
            <c:dLbl>
              <c:idx val="26"/>
              <c:layout>
                <c:manualLayout>
                  <c:x val="-6.3253920307662004E-17"/>
                  <c:y val="-3.11391472409673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5B5-47C7-BB09-E1445ABE8F67}"/>
                </c:ext>
              </c:extLst>
            </c:dLbl>
            <c:dLbl>
              <c:idx val="30"/>
              <c:layout>
                <c:manualLayout>
                  <c:x val="-6.3139901397259569E-17"/>
                  <c:y val="-4.62300655593292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C5B5-47C7-BB09-E1445ABE8F67}"/>
                </c:ext>
              </c:extLst>
            </c:dLbl>
            <c:dLbl>
              <c:idx val="32"/>
              <c:layout>
                <c:manualLayout>
                  <c:x val="-8.6256342303206879E-4"/>
                  <c:y val="-8.06234204391723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5B5-47C7-BB09-E1445ABE8F67}"/>
                </c:ext>
              </c:extLst>
            </c:dLbl>
            <c:dLbl>
              <c:idx val="33"/>
              <c:layout>
                <c:manualLayout>
                  <c:x val="-8.5943917756281898E-4"/>
                  <c:y val="-3.07404067826947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C5B5-47C7-BB09-E1445ABE8F67}"/>
                </c:ext>
              </c:extLst>
            </c:dLbl>
            <c:dLbl>
              <c:idx val="35"/>
              <c:layout>
                <c:manualLayout>
                  <c:x val="-8.6100130029731741E-4"/>
                  <c:y val="-3.08997803709359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C5B5-47C7-BB09-E1445ABE8F67}"/>
                </c:ext>
              </c:extLst>
            </c:dLbl>
            <c:dLbl>
              <c:idx val="36"/>
              <c:layout>
                <c:manualLayout>
                  <c:x val="-1.0034403782986029E-3"/>
                  <c:y val="-1.65133289219773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C5B5-47C7-BB09-E1445ABE8F67}"/>
                </c:ext>
              </c:extLst>
            </c:dLbl>
            <c:dLbl>
              <c:idx val="39"/>
              <c:layout>
                <c:manualLayout>
                  <c:x val="8.6256342303200548E-4"/>
                  <c:y val="-2.33543604307255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5B5-47C7-BB09-E1445ABE8F67}"/>
                </c:ext>
              </c:extLst>
            </c:dLbl>
            <c:dLbl>
              <c:idx val="41"/>
              <c:layout>
                <c:manualLayout>
                  <c:x val="0"/>
                  <c:y val="-2.72467538358465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C5B5-47C7-BB09-E1445ABE8F67}"/>
                </c:ext>
              </c:extLst>
            </c:dLbl>
            <c:dLbl>
              <c:idx val="43"/>
              <c:layout>
                <c:manualLayout>
                  <c:x val="8.6100860174711526E-4"/>
                  <c:y val="-6.16400874124389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C5B5-47C7-BB09-E1445ABE8F67}"/>
                </c:ext>
              </c:extLst>
            </c:dLbl>
            <c:dLbl>
              <c:idx val="45"/>
              <c:layout>
                <c:manualLayout>
                  <c:x val="0"/>
                  <c:y val="-5.06011142665719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C5B5-47C7-BB09-E1445ABE8F67}"/>
                </c:ext>
              </c:extLst>
            </c:dLbl>
            <c:dLbl>
              <c:idx val="46"/>
              <c:layout>
                <c:manualLayout>
                  <c:x val="8.6256342303200548E-4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C5B5-47C7-BB09-E1445ABE8F67}"/>
                </c:ext>
              </c:extLst>
            </c:dLbl>
            <c:dLbl>
              <c:idx val="49"/>
              <c:layout>
                <c:manualLayout>
                  <c:x val="-1.7220172034943567E-3"/>
                  <c:y val="-6.54925928757164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C5B5-47C7-BB09-E1445ABE8F67}"/>
                </c:ext>
              </c:extLst>
            </c:dLbl>
            <c:dLbl>
              <c:idx val="51"/>
              <c:layout>
                <c:manualLayout>
                  <c:x val="-1.2627980279451914E-16"/>
                  <c:y val="-5.7787581949161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C5B5-47C7-BB09-E1445ABE8F67}"/>
                </c:ext>
              </c:extLst>
            </c:dLbl>
            <c:dLbl>
              <c:idx val="54"/>
              <c:layout>
                <c:manualLayout>
                  <c:x val="-2.5714937442603406E-3"/>
                  <c:y val="-3.84860684065300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C5B5-47C7-BB09-E1445ABE8F67}"/>
                </c:ext>
              </c:extLst>
            </c:dLbl>
            <c:dLbl>
              <c:idx val="55"/>
              <c:layout>
                <c:manualLayout>
                  <c:x val="3.0103211348958083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C5B5-47C7-BB09-E1445ABE8F67}"/>
                </c:ext>
              </c:extLst>
            </c:dLbl>
            <c:dLbl>
              <c:idx val="56"/>
              <c:layout>
                <c:manualLayout>
                  <c:x val="-1.47169555368533E-16"/>
                  <c:y val="-3.63293236283502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C5B5-47C7-BB09-E1445ABE8F67}"/>
                </c:ext>
              </c:extLst>
            </c:dLbl>
            <c:dLbl>
              <c:idx val="57"/>
              <c:layout>
                <c:manualLayout>
                  <c:x val="0"/>
                  <c:y val="-3.892393405120989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C5B5-47C7-BB09-E1445ABE8F67}"/>
                </c:ext>
              </c:extLst>
            </c:dLbl>
            <c:dLbl>
              <c:idx val="58"/>
              <c:layout>
                <c:manualLayout>
                  <c:x val="3.0103211348958083E-3"/>
                  <c:y val="-3.302665784395597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C5B5-47C7-BB09-E1445ABE8F67}"/>
                </c:ext>
              </c:extLst>
            </c:dLbl>
            <c:dLbl>
              <c:idx val="59"/>
              <c:layout>
                <c:manualLayout>
                  <c:x val="-5.6461298766328225E-4"/>
                  <c:y val="-8.63328538400056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C5B5-47C7-BB09-E1445ABE8F67}"/>
                </c:ext>
              </c:extLst>
            </c:dLbl>
            <c:dLbl>
              <c:idx val="61"/>
              <c:layout>
                <c:manualLayout>
                  <c:x val="-8.6256342303200548E-4"/>
                  <c:y val="-5.44935076716928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C5B5-47C7-BB09-E1445ABE8F67}"/>
                </c:ext>
              </c:extLst>
            </c:dLbl>
            <c:dLbl>
              <c:idx val="64"/>
              <c:layout>
                <c:manualLayout>
                  <c:x val="2.0068807565972058E-3"/>
                  <c:y val="-2.97239920595592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C5B5-47C7-BB09-E1445ABE8F67}"/>
                </c:ext>
              </c:extLst>
            </c:dLbl>
            <c:dLbl>
              <c:idx val="66"/>
              <c:layout>
                <c:manualLayout>
                  <c:x val="0"/>
                  <c:y val="-8.256664460988690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C5B5-47C7-BB09-E1445ABE8F67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'JUMDUK KEC&amp; KEL (GRAPH)'!$C$4:$C$71</c:f>
              <c:strCache>
                <c:ptCount val="52"/>
                <c:pt idx="0">
                  <c:v>BEKASI TIMUR</c:v>
                </c:pt>
                <c:pt idx="4">
                  <c:v>BEKASI BARAT</c:v>
                </c:pt>
                <c:pt idx="9">
                  <c:v>BEKASI UTARA</c:v>
                </c:pt>
                <c:pt idx="15">
                  <c:v>BEKASI SELATAN</c:v>
                </c:pt>
                <c:pt idx="20">
                  <c:v>RAWALUMBU</c:v>
                </c:pt>
                <c:pt idx="24">
                  <c:v>MEDAN SATRIA</c:v>
                </c:pt>
                <c:pt idx="28">
                  <c:v>BANTARGEBANG</c:v>
                </c:pt>
                <c:pt idx="32">
                  <c:v>PONDOKGEDE</c:v>
                </c:pt>
                <c:pt idx="36">
                  <c:v>JATIASIH</c:v>
                </c:pt>
                <c:pt idx="42">
                  <c:v>JATISAMPURNA</c:v>
                </c:pt>
                <c:pt idx="47">
                  <c:v>MUSTIKA JAYA</c:v>
                </c:pt>
                <c:pt idx="51">
                  <c:v>PONDOK MELATI</c:v>
                </c:pt>
              </c:strCache>
            </c:strRef>
          </c:cat>
          <c:val>
            <c:numRef>
              <c:f>'JUMDUK KEC&amp; KEL (GRAPH)'!$G$4:$G$71</c:f>
              <c:numCache>
                <c:formatCode>#,##0</c:formatCode>
                <c:ptCount val="55"/>
                <c:pt idx="0">
                  <c:v>66383</c:v>
                </c:pt>
                <c:pt idx="1">
                  <c:v>66759</c:v>
                </c:pt>
                <c:pt idx="2">
                  <c:v>76518</c:v>
                </c:pt>
                <c:pt idx="3">
                  <c:v>66651</c:v>
                </c:pt>
                <c:pt idx="4">
                  <c:v>65516</c:v>
                </c:pt>
                <c:pt idx="5">
                  <c:v>49919</c:v>
                </c:pt>
                <c:pt idx="6">
                  <c:v>45522</c:v>
                </c:pt>
                <c:pt idx="7">
                  <c:v>35666</c:v>
                </c:pt>
                <c:pt idx="8">
                  <c:v>75633</c:v>
                </c:pt>
                <c:pt idx="9">
                  <c:v>97544</c:v>
                </c:pt>
                <c:pt idx="10">
                  <c:v>40808</c:v>
                </c:pt>
                <c:pt idx="11">
                  <c:v>29091</c:v>
                </c:pt>
                <c:pt idx="12">
                  <c:v>71835</c:v>
                </c:pt>
                <c:pt idx="13">
                  <c:v>25043</c:v>
                </c:pt>
                <c:pt idx="14">
                  <c:v>84301</c:v>
                </c:pt>
                <c:pt idx="15">
                  <c:v>60932</c:v>
                </c:pt>
                <c:pt idx="16">
                  <c:v>17654</c:v>
                </c:pt>
                <c:pt idx="17">
                  <c:v>37920</c:v>
                </c:pt>
                <c:pt idx="18">
                  <c:v>45235</c:v>
                </c:pt>
                <c:pt idx="19">
                  <c:v>58803</c:v>
                </c:pt>
                <c:pt idx="20">
                  <c:v>80942</c:v>
                </c:pt>
                <c:pt idx="21">
                  <c:v>63621</c:v>
                </c:pt>
                <c:pt idx="22">
                  <c:v>37751</c:v>
                </c:pt>
                <c:pt idx="23">
                  <c:v>45633</c:v>
                </c:pt>
                <c:pt idx="24">
                  <c:v>28354</c:v>
                </c:pt>
                <c:pt idx="25">
                  <c:v>25378</c:v>
                </c:pt>
                <c:pt idx="26">
                  <c:v>77857</c:v>
                </c:pt>
                <c:pt idx="27">
                  <c:v>31049</c:v>
                </c:pt>
                <c:pt idx="28">
                  <c:v>35332</c:v>
                </c:pt>
                <c:pt idx="29">
                  <c:v>29842</c:v>
                </c:pt>
                <c:pt idx="30">
                  <c:v>27263</c:v>
                </c:pt>
                <c:pt idx="31">
                  <c:v>28472</c:v>
                </c:pt>
                <c:pt idx="32">
                  <c:v>48286</c:v>
                </c:pt>
                <c:pt idx="33">
                  <c:v>38343</c:v>
                </c:pt>
                <c:pt idx="34">
                  <c:v>62883</c:v>
                </c:pt>
                <c:pt idx="35">
                  <c:v>39674</c:v>
                </c:pt>
                <c:pt idx="36">
                  <c:v>42176</c:v>
                </c:pt>
                <c:pt idx="37">
                  <c:v>38843</c:v>
                </c:pt>
                <c:pt idx="38">
                  <c:v>47677</c:v>
                </c:pt>
                <c:pt idx="39">
                  <c:v>42232</c:v>
                </c:pt>
                <c:pt idx="40">
                  <c:v>37655</c:v>
                </c:pt>
                <c:pt idx="41">
                  <c:v>44407</c:v>
                </c:pt>
                <c:pt idx="42">
                  <c:v>32339</c:v>
                </c:pt>
                <c:pt idx="43">
                  <c:v>17173</c:v>
                </c:pt>
                <c:pt idx="44">
                  <c:v>30464</c:v>
                </c:pt>
                <c:pt idx="45">
                  <c:v>20442</c:v>
                </c:pt>
                <c:pt idx="46">
                  <c:v>23647</c:v>
                </c:pt>
                <c:pt idx="47">
                  <c:v>60906</c:v>
                </c:pt>
                <c:pt idx="48">
                  <c:v>47515</c:v>
                </c:pt>
                <c:pt idx="49">
                  <c:v>81974</c:v>
                </c:pt>
                <c:pt idx="50">
                  <c:v>41205</c:v>
                </c:pt>
                <c:pt idx="51">
                  <c:v>58899</c:v>
                </c:pt>
                <c:pt idx="52">
                  <c:v>23804</c:v>
                </c:pt>
                <c:pt idx="53">
                  <c:v>22576</c:v>
                </c:pt>
                <c:pt idx="54">
                  <c:v>28685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C5B5-47C7-BB09-E1445ABE8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21187663"/>
        <c:axId val="821188079"/>
        <c:axId val="0"/>
      </c:bar3DChart>
      <c:catAx>
        <c:axId val="821187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821188079"/>
        <c:crosses val="autoZero"/>
        <c:auto val="1"/>
        <c:lblAlgn val="ctr"/>
        <c:lblOffset val="100"/>
        <c:noMultiLvlLbl val="0"/>
      </c:catAx>
      <c:valAx>
        <c:axId val="82118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821187663"/>
        <c:crosses val="autoZero"/>
        <c:crossBetween val="between"/>
        <c:majorUnit val="100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ID" b="1">
                <a:latin typeface="Arial Narrow" panose="020B0606020202030204" pitchFamily="34" charset="0"/>
              </a:rPr>
              <a:t>PROSENTASE JUMLAH PENDUDUK PER KECAMATAN DAN KELURAHAN (%) DKB SEMESTER</a:t>
            </a:r>
            <a:r>
              <a:rPr lang="en-ID" b="1" baseline="0">
                <a:latin typeface="Arial Narrow" panose="020B0606020202030204" pitchFamily="34" charset="0"/>
              </a:rPr>
              <a:t> 2 TAHUN 2024</a:t>
            </a:r>
            <a:endParaRPr lang="en-ID" b="1">
              <a:latin typeface="Arial Narrow" panose="020B0606020202030204" pitchFamily="34" charset="0"/>
            </a:endParaRPr>
          </a:p>
        </c:rich>
      </c:tx>
      <c:layout>
        <c:manualLayout>
          <c:xMode val="edge"/>
          <c:yMode val="edge"/>
          <c:x val="0.18115142874401818"/>
          <c:y val="1.99591910503196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'JUMDUK KEC&amp; KEL (GRAPH)'!$I$3</c:f>
              <c:strCache>
                <c:ptCount val="1"/>
                <c:pt idx="0">
                  <c:v>PROSENTASE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7.417300850061038E-3"/>
                  <c:y val="-3.32653184171994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9F2-42E7-9D73-416B7838ADE6}"/>
                </c:ext>
              </c:extLst>
            </c:dLbl>
            <c:dLbl>
              <c:idx val="2"/>
              <c:layout>
                <c:manualLayout>
                  <c:x val="7.4173008500610571E-3"/>
                  <c:y val="-1.66326592085997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9F2-42E7-9D73-416B7838ADE6}"/>
                </c:ext>
              </c:extLst>
            </c:dLbl>
            <c:dLbl>
              <c:idx val="3"/>
              <c:layout>
                <c:manualLayout>
                  <c:x val="1.0596144071515795E-2"/>
                  <c:y val="-2.32857228920396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9F2-42E7-9D73-416B7838ADE6}"/>
                </c:ext>
              </c:extLst>
            </c:dLbl>
            <c:dLbl>
              <c:idx val="4"/>
              <c:layout>
                <c:manualLayout>
                  <c:x val="7.4173008500609799E-3"/>
                  <c:y val="-1.33061273668797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9F2-42E7-9D73-416B7838ADE6}"/>
                </c:ext>
              </c:extLst>
            </c:dLbl>
            <c:dLbl>
              <c:idx val="5"/>
              <c:layout>
                <c:manualLayout>
                  <c:x val="1.2715372885818955E-2"/>
                  <c:y val="-1.99591910503196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9F2-42E7-9D73-416B7838ADE6}"/>
                </c:ext>
              </c:extLst>
            </c:dLbl>
            <c:dLbl>
              <c:idx val="6"/>
              <c:layout>
                <c:manualLayout>
                  <c:x val="6.3576864429094777E-3"/>
                  <c:y val="-2.32857228920397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9F2-42E7-9D73-416B7838ADE6}"/>
                </c:ext>
              </c:extLst>
            </c:dLbl>
            <c:dLbl>
              <c:idx val="7"/>
              <c:layout>
                <c:manualLayout>
                  <c:x val="1.1655758478667297E-2"/>
                  <c:y val="-1.33061273668797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9F2-42E7-9D73-416B7838ADE6}"/>
                </c:ext>
              </c:extLst>
            </c:dLbl>
            <c:dLbl>
              <c:idx val="8"/>
              <c:layout>
                <c:manualLayout>
                  <c:x val="2.1192288143030815E-3"/>
                  <c:y val="-1.66326592085998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9F2-42E7-9D73-416B7838ADE6}"/>
                </c:ext>
              </c:extLst>
            </c:dLbl>
            <c:dLbl>
              <c:idx val="9"/>
              <c:layout>
                <c:manualLayout>
                  <c:x val="4.2384576286063182E-3"/>
                  <c:y val="-3.32653184171994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9F2-42E7-9D73-416B7838ADE6}"/>
                </c:ext>
              </c:extLst>
            </c:dLbl>
            <c:dLbl>
              <c:idx val="10"/>
              <c:layout>
                <c:manualLayout>
                  <c:x val="5.2980720357578975E-3"/>
                  <c:y val="-2.66122547337595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9F2-42E7-9D73-416B7838ADE6}"/>
                </c:ext>
              </c:extLst>
            </c:dLbl>
            <c:dLbl>
              <c:idx val="11"/>
              <c:layout>
                <c:manualLayout>
                  <c:x val="1.3774987292970534E-2"/>
                  <c:y val="-2.66122547337596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9F2-42E7-9D73-416B7838ADE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'JUMDUK KEC&amp; KEL (GRAPH)'!$D$4:$D$71</c:f>
              <c:strCache>
                <c:ptCount val="55"/>
                <c:pt idx="0">
                  <c:v>BEKASI JAYA</c:v>
                </c:pt>
                <c:pt idx="1">
                  <c:v>MARGAHAYU</c:v>
                </c:pt>
                <c:pt idx="2">
                  <c:v>DUREN JAYA</c:v>
                </c:pt>
                <c:pt idx="3">
                  <c:v>AREN JAYA</c:v>
                </c:pt>
                <c:pt idx="4">
                  <c:v>BINTARA</c:v>
                </c:pt>
                <c:pt idx="5">
                  <c:v>KRANJI</c:v>
                </c:pt>
                <c:pt idx="6">
                  <c:v>KOTA BARU</c:v>
                </c:pt>
                <c:pt idx="7">
                  <c:v>BINTARA JAYA</c:v>
                </c:pt>
                <c:pt idx="8">
                  <c:v>JAKA SAMPURNA</c:v>
                </c:pt>
                <c:pt idx="9">
                  <c:v>KALIABANG TENGAH</c:v>
                </c:pt>
                <c:pt idx="10">
                  <c:v>PERWIRA</c:v>
                </c:pt>
                <c:pt idx="11">
                  <c:v>HARAPAN BARU</c:v>
                </c:pt>
                <c:pt idx="12">
                  <c:v>TELUK PUCUNG</c:v>
                </c:pt>
                <c:pt idx="13">
                  <c:v>MARGA MULYA</c:v>
                </c:pt>
                <c:pt idx="14">
                  <c:v>HARAPAN JAYA</c:v>
                </c:pt>
                <c:pt idx="15">
                  <c:v>PEKAYON JAYA</c:v>
                </c:pt>
                <c:pt idx="16">
                  <c:v>MARGA JAYA</c:v>
                </c:pt>
                <c:pt idx="17">
                  <c:v>JAKA MULYA</c:v>
                </c:pt>
                <c:pt idx="18">
                  <c:v>JAKA SETIA</c:v>
                </c:pt>
                <c:pt idx="19">
                  <c:v>KAYURINGIN JAYA</c:v>
                </c:pt>
                <c:pt idx="20">
                  <c:v>BOJONG RAWALUMBU</c:v>
                </c:pt>
                <c:pt idx="21">
                  <c:v>PENGASINAN</c:v>
                </c:pt>
                <c:pt idx="22">
                  <c:v>SEPANJANG JAYA</c:v>
                </c:pt>
                <c:pt idx="23">
                  <c:v>BOJONG MENTENG</c:v>
                </c:pt>
                <c:pt idx="24">
                  <c:v>MEDAN SATRIA</c:v>
                </c:pt>
                <c:pt idx="25">
                  <c:v>HARAPAN MULYA</c:v>
                </c:pt>
                <c:pt idx="26">
                  <c:v>PEJUANG</c:v>
                </c:pt>
                <c:pt idx="27">
                  <c:v>KALI BARU</c:v>
                </c:pt>
                <c:pt idx="28">
                  <c:v>BANTAR GEBANG</c:v>
                </c:pt>
                <c:pt idx="29">
                  <c:v>CIKIWUL</c:v>
                </c:pt>
                <c:pt idx="30">
                  <c:v>CIKETINGUDIK</c:v>
                </c:pt>
                <c:pt idx="31">
                  <c:v>SUMUR BATU</c:v>
                </c:pt>
                <c:pt idx="32">
                  <c:v>JATI WARINGIN</c:v>
                </c:pt>
                <c:pt idx="33">
                  <c:v>JATI BENING</c:v>
                </c:pt>
                <c:pt idx="34">
                  <c:v>JATI MAKMUR</c:v>
                </c:pt>
                <c:pt idx="35">
                  <c:v>JATI BENING BARU</c:v>
                </c:pt>
                <c:pt idx="36">
                  <c:v>JATI MEKAR</c:v>
                </c:pt>
                <c:pt idx="37">
                  <c:v>JATI ASIH </c:v>
                </c:pt>
                <c:pt idx="38">
                  <c:v>JATI KRAMAT</c:v>
                </c:pt>
                <c:pt idx="39">
                  <c:v>JATI RASA</c:v>
                </c:pt>
                <c:pt idx="40">
                  <c:v>JATI LUHUR</c:v>
                </c:pt>
                <c:pt idx="41">
                  <c:v>JATI SARI</c:v>
                </c:pt>
                <c:pt idx="42">
                  <c:v>JATI SAMPURNA</c:v>
                </c:pt>
                <c:pt idx="43">
                  <c:v>JATI KARYA</c:v>
                </c:pt>
                <c:pt idx="44">
                  <c:v>JATI RANGGON</c:v>
                </c:pt>
                <c:pt idx="45">
                  <c:v>JATI RANGGA</c:v>
                </c:pt>
                <c:pt idx="46">
                  <c:v>JATI RADEN</c:v>
                </c:pt>
                <c:pt idx="47">
                  <c:v>PADURENAN</c:v>
                </c:pt>
                <c:pt idx="48">
                  <c:v>CIMUNING</c:v>
                </c:pt>
                <c:pt idx="49">
                  <c:v>MUSTIKA JAYA</c:v>
                </c:pt>
                <c:pt idx="50">
                  <c:v>MUSTIKA SARI</c:v>
                </c:pt>
                <c:pt idx="51">
                  <c:v>JATI RAHAYU</c:v>
                </c:pt>
                <c:pt idx="52">
                  <c:v>JATI WARNA</c:v>
                </c:pt>
                <c:pt idx="53">
                  <c:v>JATI MELATI</c:v>
                </c:pt>
                <c:pt idx="54">
                  <c:v>JATI MURNI</c:v>
                </c:pt>
              </c:strCache>
            </c:strRef>
          </c:cat>
          <c:val>
            <c:numRef>
              <c:f>'JUMDUK KEC&amp; KEL (GRAPH)'!$I$4:$I$71</c:f>
              <c:numCache>
                <c:formatCode>#,##0.00</c:formatCode>
                <c:ptCount val="55"/>
                <c:pt idx="0">
                  <c:v>2.5460945794186052</c:v>
                </c:pt>
                <c:pt idx="1">
                  <c:v>2.5605159156321151</c:v>
                </c:pt>
                <c:pt idx="2">
                  <c:v>2.9348186286843445</c:v>
                </c:pt>
                <c:pt idx="3">
                  <c:v>2.5563736169324898</c:v>
                </c:pt>
                <c:pt idx="4">
                  <c:v>2.5128411259688375</c:v>
                </c:pt>
                <c:pt idx="5">
                  <c:v>1.9146241554313208</c:v>
                </c:pt>
                <c:pt idx="6">
                  <c:v>1.7459789018919567</c:v>
                </c:pt>
                <c:pt idx="7">
                  <c:v>1.367955790933582</c:v>
                </c:pt>
                <c:pt idx="8">
                  <c:v>2.9008747921179729</c:v>
                </c:pt>
                <c:pt idx="9">
                  <c:v>3.7412628181131979</c:v>
                </c:pt>
                <c:pt idx="10">
                  <c:v>1.5651752345768413</c:v>
                </c:pt>
                <c:pt idx="11">
                  <c:v>1.1157741802851129</c:v>
                </c:pt>
                <c:pt idx="12">
                  <c:v>2.7552039545144917</c:v>
                </c:pt>
                <c:pt idx="13">
                  <c:v>0.96051468828435194</c:v>
                </c:pt>
                <c:pt idx="14">
                  <c:v>3.2333326173804715</c:v>
                </c:pt>
                <c:pt idx="15">
                  <c:v>2.3370235589403077</c:v>
                </c:pt>
                <c:pt idx="16">
                  <c:v>0.6771124189183384</c:v>
                </c:pt>
                <c:pt idx="17">
                  <c:v>1.4544070989794604</c:v>
                </c:pt>
                <c:pt idx="18">
                  <c:v>1.7349711266438788</c:v>
                </c:pt>
                <c:pt idx="19">
                  <c:v>2.2553665780930698</c:v>
                </c:pt>
                <c:pt idx="20">
                  <c:v>3.1044994568986151</c:v>
                </c:pt>
                <c:pt idx="21">
                  <c:v>2.4401591256374537</c:v>
                </c:pt>
                <c:pt idx="22">
                  <c:v>1.4479251686068988</c:v>
                </c:pt>
                <c:pt idx="23">
                  <c:v>1.7502362644443488</c:v>
                </c:pt>
                <c:pt idx="24">
                  <c:v>1.0875068271219308</c:v>
                </c:pt>
                <c:pt idx="25">
                  <c:v>0.97336348517670734</c:v>
                </c:pt>
                <c:pt idx="26">
                  <c:v>2.9861754616361771</c:v>
                </c:pt>
                <c:pt idx="27">
                  <c:v>1.1908725215246114</c:v>
                </c:pt>
                <c:pt idx="28">
                  <c:v>1.3551453486588156</c:v>
                </c:pt>
                <c:pt idx="29">
                  <c:v>1.1445784980945426</c:v>
                </c:pt>
                <c:pt idx="30">
                  <c:v>1.0456619393322</c:v>
                </c:pt>
                <c:pt idx="31">
                  <c:v>1.0920326719974471</c:v>
                </c:pt>
                <c:pt idx="32">
                  <c:v>1.8519910649082865</c:v>
                </c:pt>
                <c:pt idx="33">
                  <c:v>1.4706311022196585</c:v>
                </c:pt>
                <c:pt idx="34">
                  <c:v>2.4118534178566824</c:v>
                </c:pt>
                <c:pt idx="35">
                  <c:v>1.5216810982307782</c:v>
                </c:pt>
                <c:pt idx="36">
                  <c:v>1.6176443514387584</c:v>
                </c:pt>
                <c:pt idx="37">
                  <c:v>1.4898084110142187</c:v>
                </c:pt>
                <c:pt idx="38">
                  <c:v>1.8286331027965119</c:v>
                </c:pt>
                <c:pt idx="39">
                  <c:v>1.6197922100237492</c:v>
                </c:pt>
                <c:pt idx="40">
                  <c:v>1.4442431253183432</c:v>
                </c:pt>
                <c:pt idx="41">
                  <c:v>1.703213503280087</c:v>
                </c:pt>
                <c:pt idx="42">
                  <c:v>1.2403499782145773</c:v>
                </c:pt>
                <c:pt idx="43">
                  <c:v>0.65866384785797127</c:v>
                </c:pt>
                <c:pt idx="44">
                  <c:v>1.1684350702349757</c:v>
                </c:pt>
                <c:pt idx="45">
                  <c:v>0.78404509275680712</c:v>
                </c:pt>
                <c:pt idx="46">
                  <c:v>0.9069716421299393</c:v>
                </c:pt>
                <c:pt idx="47">
                  <c:v>2.3360263388829909</c:v>
                </c:pt>
                <c:pt idx="48">
                  <c:v>1.8224196547470743</c:v>
                </c:pt>
                <c:pt idx="49">
                  <c:v>3.1440814222505877</c:v>
                </c:pt>
                <c:pt idx="50">
                  <c:v>1.580402017759722</c:v>
                </c:pt>
                <c:pt idx="51">
                  <c:v>2.2590486213816252</c:v>
                </c:pt>
                <c:pt idx="52">
                  <c:v>0.91299331709143117</c:v>
                </c:pt>
                <c:pt idx="53">
                  <c:v>0.86589384669199088</c:v>
                </c:pt>
                <c:pt idx="54">
                  <c:v>1.10020220554393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9F2-42E7-9D73-416B7838AD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24765599"/>
        <c:axId val="824772255"/>
        <c:axId val="0"/>
      </c:bar3DChart>
      <c:catAx>
        <c:axId val="824765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824772255"/>
        <c:crosses val="autoZero"/>
        <c:auto val="1"/>
        <c:lblAlgn val="ctr"/>
        <c:lblOffset val="100"/>
        <c:noMultiLvlLbl val="0"/>
      </c:catAx>
      <c:valAx>
        <c:axId val="82477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824765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400" b="1">
                <a:latin typeface="Arial Narrow" panose="020B0606020202030204" pitchFamily="34" charset="0"/>
              </a:rPr>
              <a:t>GRAFIK JUMLAH KELUARGA PER KECAMATAN DKB SEMESTER 1 TAHUN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4494118790706715E-2"/>
          <c:y val="0.16369647297765358"/>
          <c:w val="0.94686390590065128"/>
          <c:h val="0.68818349038042093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'JUM_KK KECAMATAN'!$E$5:$E$16</c:f>
              <c:strCache>
                <c:ptCount val="12"/>
                <c:pt idx="0">
                  <c:v>89,782</c:v>
                </c:pt>
                <c:pt idx="1">
                  <c:v>88,692</c:v>
                </c:pt>
                <c:pt idx="2">
                  <c:v>109,038</c:v>
                </c:pt>
                <c:pt idx="3">
                  <c:v>71,232</c:v>
                </c:pt>
                <c:pt idx="4">
                  <c:v>73,964</c:v>
                </c:pt>
                <c:pt idx="5">
                  <c:v>51,897</c:v>
                </c:pt>
                <c:pt idx="6">
                  <c:v>39,457</c:v>
                </c:pt>
                <c:pt idx="7">
                  <c:v>76,796</c:v>
                </c:pt>
                <c:pt idx="8">
                  <c:v>78,562</c:v>
                </c:pt>
                <c:pt idx="9">
                  <c:v>39,348</c:v>
                </c:pt>
                <c:pt idx="10">
                  <c:v>69,657</c:v>
                </c:pt>
                <c:pt idx="11">
                  <c:v>43,729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5.5096356428812904E-3"/>
                  <c:y val="-6.33308843798173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807-4928-8DDA-019DD189151A}"/>
                </c:ext>
              </c:extLst>
            </c:dLbl>
            <c:dLbl>
              <c:idx val="2"/>
              <c:layout>
                <c:manualLayout>
                  <c:x val="-2.2894683532872028E-17"/>
                  <c:y val="-2.62937158906323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807-4928-8DDA-019DD189151A}"/>
                </c:ext>
              </c:extLst>
            </c:dLbl>
            <c:dLbl>
              <c:idx val="3"/>
              <c:layout>
                <c:manualLayout>
                  <c:x val="-2.2894683532872028E-17"/>
                  <c:y val="-7.51249025446638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807-4928-8DDA-019DD189151A}"/>
                </c:ext>
              </c:extLst>
            </c:dLbl>
            <c:dLbl>
              <c:idx val="5"/>
              <c:layout>
                <c:manualLayout>
                  <c:x val="1.2488153462296297E-3"/>
                  <c:y val="-3.756245127233191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807-4928-8DDA-019DD189151A}"/>
                </c:ext>
              </c:extLst>
            </c:dLbl>
            <c:dLbl>
              <c:idx val="6"/>
              <c:layout>
                <c:manualLayout>
                  <c:x val="-2.2894683532872028E-17"/>
                  <c:y val="-4.88311866540315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807-4928-8DDA-019DD189151A}"/>
                </c:ext>
              </c:extLst>
            </c:dLbl>
            <c:dLbl>
              <c:idx val="7"/>
              <c:layout>
                <c:manualLayout>
                  <c:x val="-2.5723629493989856E-4"/>
                  <c:y val="-8.96246002704496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807-4928-8DDA-019DD189151A}"/>
                </c:ext>
              </c:extLst>
            </c:dLbl>
            <c:dLbl>
              <c:idx val="11"/>
              <c:layout>
                <c:manualLayout>
                  <c:x val="1.2488153462296297E-3"/>
                  <c:y val="-3.00499610178655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807-4928-8DDA-019DD189151A}"/>
                </c:ext>
              </c:extLst>
            </c:dLbl>
            <c:dLbl>
              <c:idx val="12"/>
              <c:layout>
                <c:manualLayout>
                  <c:x val="-4.5789367065744056E-17"/>
                  <c:y val="-5.25874317812646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807-4928-8DDA-019DD189151A}"/>
                </c:ext>
              </c:extLst>
            </c:dLbl>
            <c:dLbl>
              <c:idx val="21"/>
              <c:layout>
                <c:manualLayout>
                  <c:x val="1.2488153462296297E-3"/>
                  <c:y val="-1.87812256361659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807-4928-8DDA-019DD189151A}"/>
                </c:ext>
              </c:extLst>
            </c:dLbl>
            <c:dLbl>
              <c:idx val="22"/>
              <c:layout>
                <c:manualLayout>
                  <c:x val="0"/>
                  <c:y val="-3.00499610178655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807-4928-8DDA-019DD189151A}"/>
                </c:ext>
              </c:extLst>
            </c:dLbl>
            <c:dLbl>
              <c:idx val="24"/>
              <c:layout>
                <c:manualLayout>
                  <c:x val="0"/>
                  <c:y val="-1.50249805089327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807-4928-8DDA-019DD189151A}"/>
                </c:ext>
              </c:extLst>
            </c:dLbl>
            <c:dLbl>
              <c:idx val="27"/>
              <c:layout>
                <c:manualLayout>
                  <c:x val="0"/>
                  <c:y val="-3.75624512723319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807-4928-8DDA-019DD189151A}"/>
                </c:ext>
              </c:extLst>
            </c:dLbl>
            <c:dLbl>
              <c:idx val="29"/>
              <c:layout>
                <c:manualLayout>
                  <c:x val="0"/>
                  <c:y val="-3.75624512723319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807-4928-8DDA-019DD189151A}"/>
                </c:ext>
              </c:extLst>
            </c:dLbl>
            <c:dLbl>
              <c:idx val="30"/>
              <c:layout>
                <c:manualLayout>
                  <c:x val="0"/>
                  <c:y val="-3.756245127233191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807-4928-8DDA-019DD189151A}"/>
                </c:ext>
              </c:extLst>
            </c:dLbl>
            <c:dLbl>
              <c:idx val="32"/>
              <c:layout>
                <c:manualLayout>
                  <c:x val="0"/>
                  <c:y val="-1.50249805089328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807-4928-8DDA-019DD189151A}"/>
                </c:ext>
              </c:extLst>
            </c:dLbl>
            <c:dLbl>
              <c:idx val="34"/>
              <c:layout>
                <c:manualLayout>
                  <c:x val="2.4976306924591679E-3"/>
                  <c:y val="-5.63436769084978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807-4928-8DDA-019DD189151A}"/>
                </c:ext>
              </c:extLst>
            </c:dLbl>
            <c:dLbl>
              <c:idx val="35"/>
              <c:layout>
                <c:manualLayout>
                  <c:x val="0"/>
                  <c:y val="-3.38062061450987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807-4928-8DDA-019DD189151A}"/>
                </c:ext>
              </c:extLst>
            </c:dLbl>
            <c:dLbl>
              <c:idx val="36"/>
              <c:layout>
                <c:manualLayout>
                  <c:x val="0"/>
                  <c:y val="-1.87812256361660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807-4928-8DDA-019DD189151A}"/>
                </c:ext>
              </c:extLst>
            </c:dLbl>
            <c:dLbl>
              <c:idx val="39"/>
              <c:layout>
                <c:manualLayout>
                  <c:x val="0"/>
                  <c:y val="-2.25374707633991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807-4928-8DDA-019DD189151A}"/>
                </c:ext>
              </c:extLst>
            </c:dLbl>
            <c:dLbl>
              <c:idx val="41"/>
              <c:layout>
                <c:manualLayout>
                  <c:x val="0"/>
                  <c:y val="-4.88311866540314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807-4928-8DDA-019DD189151A}"/>
                </c:ext>
              </c:extLst>
            </c:dLbl>
            <c:dLbl>
              <c:idx val="43"/>
              <c:layout>
                <c:manualLayout>
                  <c:x val="0"/>
                  <c:y val="-1.87812256361660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807-4928-8DDA-019DD189151A}"/>
                </c:ext>
              </c:extLst>
            </c:dLbl>
            <c:dLbl>
              <c:idx val="45"/>
              <c:layout>
                <c:manualLayout>
                  <c:x val="1.2488153462295382E-3"/>
                  <c:y val="-4.88311866540315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807-4928-8DDA-019DD189151A}"/>
                </c:ext>
              </c:extLst>
            </c:dLbl>
            <c:dLbl>
              <c:idx val="46"/>
              <c:layout>
                <c:manualLayout>
                  <c:x val="-9.1578734131488112E-17"/>
                  <c:y val="-1.50249805089328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807-4928-8DDA-019DD189151A}"/>
                </c:ext>
              </c:extLst>
            </c:dLbl>
            <c:dLbl>
              <c:idx val="47"/>
              <c:layout>
                <c:manualLayout>
                  <c:x val="3.7464460386887979E-3"/>
                  <c:y val="-4.50749415267982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807-4928-8DDA-019DD189151A}"/>
                </c:ext>
              </c:extLst>
            </c:dLbl>
            <c:dLbl>
              <c:idx val="49"/>
              <c:layout>
                <c:manualLayout>
                  <c:x val="9.1578734131488112E-17"/>
                  <c:y val="-4.88311866540315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807-4928-8DDA-019DD189151A}"/>
                </c:ext>
              </c:extLst>
            </c:dLbl>
            <c:dLbl>
              <c:idx val="50"/>
              <c:layout>
                <c:manualLayout>
                  <c:x val="0"/>
                  <c:y val="-3.756245127233191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2807-4928-8DDA-019DD189151A}"/>
                </c:ext>
              </c:extLst>
            </c:dLbl>
            <c:dLbl>
              <c:idx val="52"/>
              <c:layout>
                <c:manualLayout>
                  <c:x val="2.4976306924591679E-3"/>
                  <c:y val="-1.50249805089328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2807-4928-8DDA-019DD189151A}"/>
                </c:ext>
              </c:extLst>
            </c:dLbl>
            <c:dLbl>
              <c:idx val="54"/>
              <c:layout>
                <c:manualLayout>
                  <c:x val="0"/>
                  <c:y val="-3.75624512723319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2807-4928-8DDA-019DD189151A}"/>
                </c:ext>
              </c:extLst>
            </c:dLbl>
            <c:dLbl>
              <c:idx val="56"/>
              <c:layout>
                <c:manualLayout>
                  <c:x val="-2.4976306924592595E-3"/>
                  <c:y val="-3.7562451272331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2807-4928-8DDA-019DD189151A}"/>
                </c:ext>
              </c:extLst>
            </c:dLbl>
            <c:dLbl>
              <c:idx val="58"/>
              <c:layout>
                <c:manualLayout>
                  <c:x val="1.2488153462296297E-3"/>
                  <c:y val="-3.00499610178655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2807-4928-8DDA-019DD189151A}"/>
                </c:ext>
              </c:extLst>
            </c:dLbl>
            <c:dLbl>
              <c:idx val="60"/>
              <c:layout>
                <c:manualLayout>
                  <c:x val="-2.4976306924594429E-3"/>
                  <c:y val="-3.00499610178655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2807-4928-8DDA-019DD189151A}"/>
                </c:ext>
              </c:extLst>
            </c:dLbl>
            <c:dLbl>
              <c:idx val="61"/>
              <c:layout>
                <c:manualLayout>
                  <c:x val="-1.8315746826297622E-16"/>
                  <c:y val="-3.75624512723319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2807-4928-8DDA-019DD189151A}"/>
                </c:ext>
              </c:extLst>
            </c:dLbl>
            <c:dLbl>
              <c:idx val="63"/>
              <c:layout>
                <c:manualLayout>
                  <c:x val="2.4976306924590764E-3"/>
                  <c:y val="-4.13186963995651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2807-4928-8DDA-019DD189151A}"/>
                </c:ext>
              </c:extLst>
            </c:dLbl>
            <c:dLbl>
              <c:idx val="64"/>
              <c:layout>
                <c:manualLayout>
                  <c:x val="2.4976306924590764E-3"/>
                  <c:y val="-4.50749415267983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2807-4928-8DDA-019DD189151A}"/>
                </c:ext>
              </c:extLst>
            </c:dLbl>
            <c:dLbl>
              <c:idx val="65"/>
              <c:layout>
                <c:manualLayout>
                  <c:x val="-1.8315746826297622E-16"/>
                  <c:y val="3.756245127233191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2807-4928-8DDA-019DD189151A}"/>
                </c:ext>
              </c:extLst>
            </c:dLbl>
            <c:dLbl>
              <c:idx val="66"/>
              <c:layout>
                <c:manualLayout>
                  <c:x val="-1.8315746826297622E-16"/>
                  <c:y val="-3.75624512723319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2807-4928-8DDA-019DD189151A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'JUM_KK KECAMATAN'!$D$5:$D$16</c:f>
              <c:strCache>
                <c:ptCount val="12"/>
                <c:pt idx="0">
                  <c:v>BEKASI TIMUR</c:v>
                </c:pt>
                <c:pt idx="1">
                  <c:v>BEKASI BARAT</c:v>
                </c:pt>
                <c:pt idx="2">
                  <c:v>BEKASI UTARA</c:v>
                </c:pt>
                <c:pt idx="3">
                  <c:v>BEKASI SELATAN</c:v>
                </c:pt>
                <c:pt idx="4">
                  <c:v>RAWA LUMBU</c:v>
                </c:pt>
                <c:pt idx="5">
                  <c:v>MEDAN SATRIA</c:v>
                </c:pt>
                <c:pt idx="6">
                  <c:v>BANTARGEBANG</c:v>
                </c:pt>
                <c:pt idx="7">
                  <c:v>PONDOH GEDE</c:v>
                </c:pt>
                <c:pt idx="8">
                  <c:v>JATIASIH</c:v>
                </c:pt>
                <c:pt idx="9">
                  <c:v>JATISAMPURNA</c:v>
                </c:pt>
                <c:pt idx="10">
                  <c:v>MUJSTIKAJAYA</c:v>
                </c:pt>
                <c:pt idx="11">
                  <c:v>PONDOKMELATI</c:v>
                </c:pt>
              </c:strCache>
            </c:strRef>
          </c:cat>
          <c:val>
            <c:numRef>
              <c:f>'JUM_KK KECAMATAN'!$E$5:$E$16</c:f>
              <c:numCache>
                <c:formatCode>#,##0</c:formatCode>
                <c:ptCount val="12"/>
                <c:pt idx="0">
                  <c:v>89782</c:v>
                </c:pt>
                <c:pt idx="1">
                  <c:v>88692</c:v>
                </c:pt>
                <c:pt idx="2">
                  <c:v>109038</c:v>
                </c:pt>
                <c:pt idx="3">
                  <c:v>71232</c:v>
                </c:pt>
                <c:pt idx="4">
                  <c:v>73964</c:v>
                </c:pt>
                <c:pt idx="5">
                  <c:v>51897</c:v>
                </c:pt>
                <c:pt idx="6">
                  <c:v>39457</c:v>
                </c:pt>
                <c:pt idx="7">
                  <c:v>76796</c:v>
                </c:pt>
                <c:pt idx="8">
                  <c:v>78562</c:v>
                </c:pt>
                <c:pt idx="9">
                  <c:v>39348</c:v>
                </c:pt>
                <c:pt idx="10">
                  <c:v>69657</c:v>
                </c:pt>
                <c:pt idx="11">
                  <c:v>43729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2807-4928-8DDA-019DD18915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21187663"/>
        <c:axId val="821188079"/>
        <c:axId val="0"/>
      </c:bar3DChart>
      <c:catAx>
        <c:axId val="821187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821188079"/>
        <c:crosses val="autoZero"/>
        <c:auto val="1"/>
        <c:lblAlgn val="ctr"/>
        <c:lblOffset val="100"/>
        <c:noMultiLvlLbl val="0"/>
      </c:catAx>
      <c:valAx>
        <c:axId val="82118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821187663"/>
        <c:crosses val="autoZero"/>
        <c:crossBetween val="between"/>
        <c:majorUnit val="20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39370078740157483" l="0.39370078740157483" r="1.1811023622047245" t="0.39370078740157483" header="0.31496062992125984" footer="0.31496062992125984"/>
    <c:pageSetup paperSize="5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ID" b="1">
                <a:latin typeface="Arial Narrow" panose="020B0606020202030204" pitchFamily="34" charset="0"/>
              </a:rPr>
              <a:t>GRAFIK PROSENTASE KELUARGA PER KECAMATAN (%) DKB SEMESTER</a:t>
            </a:r>
            <a:r>
              <a:rPr lang="en-ID" b="1" baseline="0">
                <a:latin typeface="Arial Narrow" panose="020B0606020202030204" pitchFamily="34" charset="0"/>
              </a:rPr>
              <a:t> 1 TAHUN 2026</a:t>
            </a:r>
            <a:endParaRPr lang="en-ID" b="1">
              <a:latin typeface="Arial Narrow" panose="020B0606020202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'JUM_KK KECAMATAN'!$F$4</c:f>
              <c:strCache>
                <c:ptCount val="1"/>
                <c:pt idx="0">
                  <c:v>PROSENTASE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1.1461233230497873E-17"/>
                  <c:y val="-4.57818237748255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03E-42CE-B2CC-9CED81E52B53}"/>
                </c:ext>
              </c:extLst>
            </c:dLbl>
            <c:dLbl>
              <c:idx val="2"/>
              <c:layout>
                <c:manualLayout>
                  <c:x val="1.1461233230497873E-17"/>
                  <c:y val="-6.10424316997673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03E-42CE-B2CC-9CED81E52B53}"/>
                </c:ext>
              </c:extLst>
            </c:dLbl>
            <c:dLbl>
              <c:idx val="7"/>
              <c:layout>
                <c:manualLayout>
                  <c:x val="0"/>
                  <c:y val="-3.81515198123546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03E-42CE-B2CC-9CED81E52B53}"/>
                </c:ext>
              </c:extLst>
            </c:dLbl>
            <c:dLbl>
              <c:idx val="12"/>
              <c:layout>
                <c:manualLayout>
                  <c:x val="0"/>
                  <c:y val="-2.28909118874127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03E-42CE-B2CC-9CED81E52B53}"/>
                </c:ext>
              </c:extLst>
            </c:dLbl>
            <c:dLbl>
              <c:idx val="20"/>
              <c:layout>
                <c:manualLayout>
                  <c:x val="-4.5844932921991492E-17"/>
                  <c:y val="-1.14454559437063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03E-42CE-B2CC-9CED81E52B53}"/>
                </c:ext>
              </c:extLst>
            </c:dLbl>
            <c:dLbl>
              <c:idx val="21"/>
              <c:layout>
                <c:manualLayout>
                  <c:x val="1.2503307961791465E-3"/>
                  <c:y val="-2.67060638686482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03E-42CE-B2CC-9CED81E52B53}"/>
                </c:ext>
              </c:extLst>
            </c:dLbl>
            <c:dLbl>
              <c:idx val="22"/>
              <c:layout>
                <c:manualLayout>
                  <c:x val="4.5844932921991492E-17"/>
                  <c:y val="-4.57818237748255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03E-42CE-B2CC-9CED81E52B53}"/>
                </c:ext>
              </c:extLst>
            </c:dLbl>
            <c:dLbl>
              <c:idx val="27"/>
              <c:layout>
                <c:manualLayout>
                  <c:x val="0"/>
                  <c:y val="-3.05212158498837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03E-42CE-B2CC-9CED81E52B53}"/>
                </c:ext>
              </c:extLst>
            </c:dLbl>
            <c:dLbl>
              <c:idx val="29"/>
              <c:layout>
                <c:manualLayout>
                  <c:x val="0"/>
                  <c:y val="-3.05212158498836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03E-42CE-B2CC-9CED81E52B53}"/>
                </c:ext>
              </c:extLst>
            </c:dLbl>
            <c:dLbl>
              <c:idx val="34"/>
              <c:layout>
                <c:manualLayout>
                  <c:x val="0"/>
                  <c:y val="-7.63030396247092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03E-42CE-B2CC-9CED81E52B53}"/>
                </c:ext>
              </c:extLst>
            </c:dLbl>
            <c:dLbl>
              <c:idx val="35"/>
              <c:layout>
                <c:manualLayout>
                  <c:x val="0"/>
                  <c:y val="-5.34121277372965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03E-42CE-B2CC-9CED81E52B53}"/>
                </c:ext>
              </c:extLst>
            </c:dLbl>
            <c:dLbl>
              <c:idx val="36"/>
              <c:layout>
                <c:manualLayout>
                  <c:x val="0"/>
                  <c:y val="-3.05212158498837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03E-42CE-B2CC-9CED81E52B53}"/>
                </c:ext>
              </c:extLst>
            </c:dLbl>
            <c:dLbl>
              <c:idx val="39"/>
              <c:layout>
                <c:manualLayout>
                  <c:x val="0"/>
                  <c:y val="-2.67060638686482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03E-42CE-B2CC-9CED81E52B53}"/>
                </c:ext>
              </c:extLst>
            </c:dLbl>
            <c:dLbl>
              <c:idx val="43"/>
              <c:layout>
                <c:manualLayout>
                  <c:x val="-9.1689865843982984E-17"/>
                  <c:y val="-1.52606079249418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03E-42CE-B2CC-9CED81E52B53}"/>
                </c:ext>
              </c:extLst>
            </c:dLbl>
            <c:dLbl>
              <c:idx val="45"/>
              <c:layout>
                <c:manualLayout>
                  <c:x val="-9.1689865843982984E-17"/>
                  <c:y val="-4.57818237748255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03E-42CE-B2CC-9CED81E52B53}"/>
                </c:ext>
              </c:extLst>
            </c:dLbl>
            <c:dLbl>
              <c:idx val="47"/>
              <c:layout>
                <c:manualLayout>
                  <c:x val="0"/>
                  <c:y val="-5.72272797185319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03E-42CE-B2CC-9CED81E52B53}"/>
                </c:ext>
              </c:extLst>
            </c:dLbl>
            <c:dLbl>
              <c:idx val="48"/>
              <c:layout>
                <c:manualLayout>
                  <c:x val="0"/>
                  <c:y val="-3.05212158498836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03E-42CE-B2CC-9CED81E52B53}"/>
                </c:ext>
              </c:extLst>
            </c:dLbl>
            <c:dLbl>
              <c:idx val="50"/>
              <c:layout>
                <c:manualLayout>
                  <c:x val="0"/>
                  <c:y val="-3.05212158498837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03E-42CE-B2CC-9CED81E52B53}"/>
                </c:ext>
              </c:extLst>
            </c:dLbl>
            <c:dLbl>
              <c:idx val="52"/>
              <c:layout>
                <c:manualLayout>
                  <c:x val="-1.8337973168796597E-16"/>
                  <c:y val="-4.19666717935900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03E-42CE-B2CC-9CED81E52B53}"/>
                </c:ext>
              </c:extLst>
            </c:dLbl>
            <c:dLbl>
              <c:idx val="54"/>
              <c:layout>
                <c:manualLayout>
                  <c:x val="0"/>
                  <c:y val="-3.05212158498836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03E-42CE-B2CC-9CED81E52B53}"/>
                </c:ext>
              </c:extLst>
            </c:dLbl>
            <c:dLbl>
              <c:idx val="56"/>
              <c:layout>
                <c:manualLayout>
                  <c:x val="-9.1689865843982984E-17"/>
                  <c:y val="-3.05212158498836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603E-42CE-B2CC-9CED81E52B53}"/>
                </c:ext>
              </c:extLst>
            </c:dLbl>
            <c:dLbl>
              <c:idx val="58"/>
              <c:layout>
                <c:manualLayout>
                  <c:x val="0"/>
                  <c:y val="-3.43363678311192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03E-42CE-B2CC-9CED81E52B53}"/>
                </c:ext>
              </c:extLst>
            </c:dLbl>
            <c:dLbl>
              <c:idx val="63"/>
              <c:layout>
                <c:manualLayout>
                  <c:x val="0"/>
                  <c:y val="-3.81515198123546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603E-42CE-B2CC-9CED81E52B53}"/>
                </c:ext>
              </c:extLst>
            </c:dLbl>
            <c:dLbl>
              <c:idx val="64"/>
              <c:layout>
                <c:manualLayout>
                  <c:x val="-1.8337973168796597E-16"/>
                  <c:y val="-3.43363678311192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603E-42CE-B2CC-9CED81E52B53}"/>
                </c:ext>
              </c:extLst>
            </c:dLbl>
            <c:dLbl>
              <c:idx val="65"/>
              <c:layout>
                <c:manualLayout>
                  <c:x val="-1.8337973168796597E-16"/>
                  <c:y val="-3.815151981235460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603E-42CE-B2CC-9CED81E52B53}"/>
                </c:ext>
              </c:extLst>
            </c:dLbl>
            <c:dLbl>
              <c:idx val="66"/>
              <c:layout>
                <c:manualLayout>
                  <c:x val="1.2503307961791465E-3"/>
                  <c:y val="-4.19666717935900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603E-42CE-B2CC-9CED81E52B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'JUM_KK KECAMATAN'!$D$5:$D$16</c:f>
              <c:strCache>
                <c:ptCount val="12"/>
                <c:pt idx="0">
                  <c:v>BEKASI TIMUR</c:v>
                </c:pt>
                <c:pt idx="1">
                  <c:v>BEKASI BARAT</c:v>
                </c:pt>
                <c:pt idx="2">
                  <c:v>BEKASI UTARA</c:v>
                </c:pt>
                <c:pt idx="3">
                  <c:v>BEKASI SELATAN</c:v>
                </c:pt>
                <c:pt idx="4">
                  <c:v>RAWA LUMBU</c:v>
                </c:pt>
                <c:pt idx="5">
                  <c:v>MEDAN SATRIA</c:v>
                </c:pt>
                <c:pt idx="6">
                  <c:v>BANTARGEBANG</c:v>
                </c:pt>
                <c:pt idx="7">
                  <c:v>PONDOH GEDE</c:v>
                </c:pt>
                <c:pt idx="8">
                  <c:v>JATIASIH</c:v>
                </c:pt>
                <c:pt idx="9">
                  <c:v>JATISAMPURNA</c:v>
                </c:pt>
                <c:pt idx="10">
                  <c:v>MUJSTIKAJAYA</c:v>
                </c:pt>
                <c:pt idx="11">
                  <c:v>PONDOKMELATI</c:v>
                </c:pt>
              </c:strCache>
            </c:strRef>
          </c:cat>
          <c:val>
            <c:numRef>
              <c:f>'JUM_KK KECAMATAN'!$F$5:$F$16</c:f>
              <c:numCache>
                <c:formatCode>#,##0.00</c:formatCode>
                <c:ptCount val="12"/>
                <c:pt idx="0">
                  <c:v>10.789108746698327</c:v>
                </c:pt>
                <c:pt idx="1">
                  <c:v>10.658123376202001</c:v>
                </c:pt>
                <c:pt idx="2">
                  <c:v>13.103103512090311</c:v>
                </c:pt>
                <c:pt idx="3">
                  <c:v>8.5599540469672686</c:v>
                </c:pt>
                <c:pt idx="4">
                  <c:v>8.8882586636608121</c:v>
                </c:pt>
                <c:pt idx="5">
                  <c:v>6.2364658464659186</c:v>
                </c:pt>
                <c:pt idx="6">
                  <c:v>4.7415502419023401</c:v>
                </c:pt>
                <c:pt idx="7">
                  <c:v>9.2285802868219111</c:v>
                </c:pt>
                <c:pt idx="8">
                  <c:v>9.4408006210388944</c:v>
                </c:pt>
                <c:pt idx="9">
                  <c:v>4.7284517048527075</c:v>
                </c:pt>
                <c:pt idx="10">
                  <c:v>8.3706861951033105</c:v>
                </c:pt>
                <c:pt idx="11">
                  <c:v>5.2549167581961997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603E-42CE-B2CC-9CED81E52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24765599"/>
        <c:axId val="824772255"/>
        <c:axId val="0"/>
      </c:bar3DChart>
      <c:catAx>
        <c:axId val="824765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824772255"/>
        <c:crosses val="autoZero"/>
        <c:auto val="1"/>
        <c:lblAlgn val="ctr"/>
        <c:lblOffset val="100"/>
        <c:noMultiLvlLbl val="0"/>
      </c:catAx>
      <c:valAx>
        <c:axId val="82477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824765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52917</xdr:colOff>
      <xdr:row>49</xdr:row>
      <xdr:rowOff>97974</xdr:rowOff>
    </xdr:from>
    <xdr:to>
      <xdr:col>15</xdr:col>
      <xdr:colOff>740834</xdr:colOff>
      <xdr:row>63</xdr:row>
      <xdr:rowOff>97973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C3ED50-6FA2-4E07-A959-B6E3CB75EC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74688</xdr:colOff>
      <xdr:row>64</xdr:row>
      <xdr:rowOff>91923</xdr:rowOff>
    </xdr:from>
    <xdr:to>
      <xdr:col>16</xdr:col>
      <xdr:colOff>8164</xdr:colOff>
      <xdr:row>85</xdr:row>
      <xdr:rowOff>202293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02C8D0-71BF-4097-9DBD-C072C803D4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41365</xdr:colOff>
      <xdr:row>4</xdr:row>
      <xdr:rowOff>57501</xdr:rowOff>
    </xdr:from>
    <xdr:to>
      <xdr:col>15</xdr:col>
      <xdr:colOff>706211</xdr:colOff>
      <xdr:row>20</xdr:row>
      <xdr:rowOff>78425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151D957-5E57-4DE7-9091-6258D7B9E0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108</xdr:row>
      <xdr:rowOff>141817</xdr:rowOff>
    </xdr:from>
    <xdr:to>
      <xdr:col>8</xdr:col>
      <xdr:colOff>1318684</xdr:colOff>
      <xdr:row>131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CC1815-DD38-46DB-B45E-02C92EED8C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133</xdr:row>
      <xdr:rowOff>143933</xdr:rowOff>
    </xdr:from>
    <xdr:to>
      <xdr:col>8</xdr:col>
      <xdr:colOff>1316586</xdr:colOff>
      <xdr:row>154</xdr:row>
      <xdr:rowOff>180247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26FEFB-7080-4168-BAE0-10B7734A5F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34</xdr:row>
      <xdr:rowOff>117699</xdr:rowOff>
    </xdr:from>
    <xdr:to>
      <xdr:col>6</xdr:col>
      <xdr:colOff>7902</xdr:colOff>
      <xdr:row>52</xdr:row>
      <xdr:rowOff>79339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0742DC-692B-4EA1-9B71-1ADC6D60AE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53</xdr:row>
      <xdr:rowOff>121161</xdr:rowOff>
    </xdr:from>
    <xdr:to>
      <xdr:col>6</xdr:col>
      <xdr:colOff>6797</xdr:colOff>
      <xdr:row>71</xdr:row>
      <xdr:rowOff>129309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25DE10-5374-4FD2-867E-2CC82CB8A6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K%20SEMESTER%201%20TAHUN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MDUK"/>
      <sheetName val="JUMDUK KEC(GRAPH)"/>
      <sheetName val="JUMDUK KEC&amp; KEL (GRAPH)"/>
      <sheetName val="JUM_KK"/>
      <sheetName val="JUM_KK KECAMATAN"/>
      <sheetName val="JUMDUK_AGM"/>
      <sheetName val="JUMDUK_AGM (KEC)"/>
      <sheetName val="JUMDUK PEND"/>
      <sheetName val="JUMDUK PEKERJAAN"/>
      <sheetName val="JUMDUK_GOLDAR"/>
      <sheetName val="JUMDUK_STUSKWN"/>
      <sheetName val="JUMDUK_STATHUBKEL"/>
      <sheetName val="JUMDUK_DISABLITAS"/>
      <sheetName val="JUMDUK_DISABLITAS (KEC)"/>
      <sheetName val="JUMDUK_KELUMUR"/>
      <sheetName val="JUMDUK_KELUMUR (KEC)"/>
      <sheetName val="UMUR TUNGGAL"/>
      <sheetName val="UMUR TUNGGAL (2)"/>
      <sheetName val="UMUR TUNGGAL (PER KECAMATAN)"/>
      <sheetName val="UMUR TUNGGAL(REKAP)"/>
      <sheetName val="PRODUKTIF_NON"/>
      <sheetName val="PRODUKTIF_NON (KEC)"/>
      <sheetName val="WAJIB KTP"/>
    </sheetNames>
    <sheetDataSet>
      <sheetData sheetId="0"/>
      <sheetData sheetId="1">
        <row r="3">
          <cell r="E3" t="str">
            <v>LAKI-LAKI</v>
          </cell>
          <cell r="F3" t="str">
            <v>PEREMPUAN</v>
          </cell>
          <cell r="G3" t="str">
            <v>JUMLAH</v>
          </cell>
        </row>
        <row r="4">
          <cell r="C4" t="str">
            <v>BEKASI TIMUR</v>
          </cell>
          <cell r="G4">
            <v>66383</v>
          </cell>
        </row>
        <row r="5">
          <cell r="C5" t="str">
            <v>BEKASI TIMUR</v>
          </cell>
          <cell r="G5">
            <v>66759</v>
          </cell>
        </row>
        <row r="6">
          <cell r="C6" t="str">
            <v>BEKASI TIMUR</v>
          </cell>
          <cell r="G6">
            <v>76518</v>
          </cell>
        </row>
        <row r="7">
          <cell r="C7" t="str">
            <v>BEKASI TIMUR</v>
          </cell>
          <cell r="G7">
            <v>66651</v>
          </cell>
        </row>
        <row r="8">
          <cell r="C8" t="str">
            <v>BEKASI TIMUR</v>
          </cell>
          <cell r="G8">
            <v>276311</v>
          </cell>
        </row>
        <row r="9">
          <cell r="C9" t="str">
            <v>BEKASI BARAT</v>
          </cell>
          <cell r="G9">
            <v>65516</v>
          </cell>
        </row>
        <row r="10">
          <cell r="C10" t="str">
            <v>BEKASI BARAT</v>
          </cell>
          <cell r="G10">
            <v>49919</v>
          </cell>
        </row>
        <row r="11">
          <cell r="C11" t="str">
            <v>BEKASI BARAT</v>
          </cell>
          <cell r="G11">
            <v>45522</v>
          </cell>
        </row>
        <row r="12">
          <cell r="C12" t="str">
            <v>BEKASI BARAT</v>
          </cell>
          <cell r="G12">
            <v>35666</v>
          </cell>
        </row>
        <row r="13">
          <cell r="C13" t="str">
            <v>BEKASI BARAT</v>
          </cell>
          <cell r="G13">
            <v>75633</v>
          </cell>
        </row>
        <row r="14">
          <cell r="C14" t="str">
            <v>BEKASI BARAT</v>
          </cell>
          <cell r="G14">
            <v>272256</v>
          </cell>
        </row>
        <row r="15">
          <cell r="C15" t="str">
            <v>BEKASI UTARA</v>
          </cell>
          <cell r="G15">
            <v>97544</v>
          </cell>
        </row>
        <row r="16">
          <cell r="C16" t="str">
            <v>BEKASI UTARA</v>
          </cell>
          <cell r="G16">
            <v>40808</v>
          </cell>
        </row>
        <row r="17">
          <cell r="C17" t="str">
            <v>BEKASI UTARA</v>
          </cell>
          <cell r="G17">
            <v>29091</v>
          </cell>
        </row>
        <row r="18">
          <cell r="C18" t="str">
            <v>BEKASI UTARA</v>
          </cell>
          <cell r="G18">
            <v>71835</v>
          </cell>
        </row>
        <row r="19">
          <cell r="C19" t="str">
            <v>BEKASI UTARA</v>
          </cell>
          <cell r="G19">
            <v>25043</v>
          </cell>
        </row>
        <row r="20">
          <cell r="C20" t="str">
            <v>BEKASI UTARA</v>
          </cell>
          <cell r="G20">
            <v>84301</v>
          </cell>
        </row>
        <row r="21">
          <cell r="C21" t="str">
            <v>BEKASI UTARA</v>
          </cell>
          <cell r="G21">
            <v>348622</v>
          </cell>
        </row>
        <row r="22">
          <cell r="C22" t="str">
            <v>BEKASI SELATAN</v>
          </cell>
          <cell r="G22">
            <v>60932</v>
          </cell>
        </row>
        <row r="23">
          <cell r="C23" t="str">
            <v>BEKASI SELATAN</v>
          </cell>
          <cell r="G23">
            <v>17654</v>
          </cell>
        </row>
        <row r="24">
          <cell r="C24" t="str">
            <v>BEKASI SELATAN</v>
          </cell>
          <cell r="G24">
            <v>37920</v>
          </cell>
        </row>
        <row r="25">
          <cell r="C25" t="str">
            <v>BEKASI SELATAN</v>
          </cell>
          <cell r="G25">
            <v>45235</v>
          </cell>
        </row>
        <row r="26">
          <cell r="C26" t="str">
            <v>BEKASI SELATAN</v>
          </cell>
          <cell r="G26">
            <v>58803</v>
          </cell>
        </row>
        <row r="27">
          <cell r="C27" t="str">
            <v>BEKASI SELATAN</v>
          </cell>
          <cell r="G27">
            <v>220544</v>
          </cell>
        </row>
        <row r="28">
          <cell r="C28" t="str">
            <v>RAWALUMBU</v>
          </cell>
          <cell r="G28">
            <v>80942</v>
          </cell>
        </row>
        <row r="29">
          <cell r="C29" t="str">
            <v>RAWALUMBU</v>
          </cell>
          <cell r="G29">
            <v>63621</v>
          </cell>
        </row>
        <row r="30">
          <cell r="C30" t="str">
            <v>RAWALUMBU</v>
          </cell>
          <cell r="G30">
            <v>37751</v>
          </cell>
        </row>
        <row r="31">
          <cell r="C31" t="str">
            <v>RAWALUMBU</v>
          </cell>
          <cell r="G31">
            <v>45633</v>
          </cell>
        </row>
        <row r="32">
          <cell r="C32" t="str">
            <v>RAWALUMBU</v>
          </cell>
          <cell r="G32">
            <v>227947</v>
          </cell>
        </row>
        <row r="33">
          <cell r="C33" t="str">
            <v>MEDAN SATRIA</v>
          </cell>
          <cell r="G33">
            <v>28354</v>
          </cell>
        </row>
        <row r="34">
          <cell r="C34" t="str">
            <v>MEDAN SATRIA</v>
          </cell>
          <cell r="G34">
            <v>25378</v>
          </cell>
        </row>
        <row r="35">
          <cell r="C35" t="str">
            <v>MEDAN SATRIA</v>
          </cell>
          <cell r="G35">
            <v>77857</v>
          </cell>
        </row>
        <row r="36">
          <cell r="C36" t="str">
            <v>MEDAN SATRIA</v>
          </cell>
          <cell r="G36">
            <v>31049</v>
          </cell>
        </row>
        <row r="37">
          <cell r="C37" t="str">
            <v>MEDANSATRIA</v>
          </cell>
          <cell r="G37">
            <v>162638</v>
          </cell>
        </row>
        <row r="38">
          <cell r="C38" t="str">
            <v>BANTARGEBANG</v>
          </cell>
          <cell r="G38">
            <v>35332</v>
          </cell>
        </row>
        <row r="39">
          <cell r="C39" t="str">
            <v>BANTARGEBANG</v>
          </cell>
          <cell r="G39">
            <v>29842</v>
          </cell>
        </row>
        <row r="40">
          <cell r="C40" t="str">
            <v>BANTARGEBANG</v>
          </cell>
          <cell r="G40">
            <v>27263</v>
          </cell>
        </row>
        <row r="41">
          <cell r="C41" t="str">
            <v>BANTARGEBANG</v>
          </cell>
          <cell r="G41">
            <v>28472</v>
          </cell>
        </row>
        <row r="42">
          <cell r="C42" t="str">
            <v>BANTARGEBANG</v>
          </cell>
          <cell r="G42">
            <v>120909</v>
          </cell>
        </row>
        <row r="43">
          <cell r="C43" t="str">
            <v>PONDOKGEDE</v>
          </cell>
          <cell r="G43">
            <v>48286</v>
          </cell>
        </row>
        <row r="44">
          <cell r="C44" t="str">
            <v>PONDOKGEDE</v>
          </cell>
          <cell r="G44">
            <v>38343</v>
          </cell>
        </row>
        <row r="45">
          <cell r="C45" t="str">
            <v>PONDOKGEDE</v>
          </cell>
          <cell r="G45">
            <v>62883</v>
          </cell>
        </row>
        <row r="46">
          <cell r="C46" t="str">
            <v>PONDOKGEDE</v>
          </cell>
          <cell r="G46">
            <v>39674</v>
          </cell>
        </row>
        <row r="47">
          <cell r="C47" t="str">
            <v>PONDOKGEDE</v>
          </cell>
          <cell r="G47">
            <v>46216</v>
          </cell>
        </row>
        <row r="48">
          <cell r="C48" t="str">
            <v>PONDOKGEDE</v>
          </cell>
          <cell r="G48">
            <v>235402</v>
          </cell>
        </row>
        <row r="49">
          <cell r="C49" t="str">
            <v>JATIASIH</v>
          </cell>
          <cell r="G49">
            <v>42176</v>
          </cell>
        </row>
        <row r="50">
          <cell r="C50" t="str">
            <v>JATIASIH</v>
          </cell>
          <cell r="G50">
            <v>38843</v>
          </cell>
        </row>
        <row r="51">
          <cell r="C51" t="str">
            <v>JATIASIH</v>
          </cell>
          <cell r="G51">
            <v>47677</v>
          </cell>
        </row>
        <row r="52">
          <cell r="C52" t="str">
            <v>JATIASIH</v>
          </cell>
          <cell r="G52">
            <v>42232</v>
          </cell>
        </row>
        <row r="53">
          <cell r="C53" t="str">
            <v>JATIASIH</v>
          </cell>
          <cell r="G53">
            <v>37655</v>
          </cell>
        </row>
        <row r="54">
          <cell r="C54" t="str">
            <v>JATIASIH</v>
          </cell>
          <cell r="G54">
            <v>44407</v>
          </cell>
        </row>
        <row r="55">
          <cell r="C55" t="str">
            <v>JATIASIH</v>
          </cell>
          <cell r="G55">
            <v>252990</v>
          </cell>
        </row>
        <row r="56">
          <cell r="C56" t="str">
            <v>JATISAMPURNA</v>
          </cell>
          <cell r="G56">
            <v>32339</v>
          </cell>
        </row>
        <row r="57">
          <cell r="C57" t="str">
            <v>JATISAMPURNA</v>
          </cell>
          <cell r="G57">
            <v>17173</v>
          </cell>
        </row>
        <row r="58">
          <cell r="C58" t="str">
            <v>JATISAMPURNA</v>
          </cell>
          <cell r="G58">
            <v>30464</v>
          </cell>
        </row>
        <row r="59">
          <cell r="C59" t="str">
            <v>JATISAMPURNA</v>
          </cell>
          <cell r="G59">
            <v>20442</v>
          </cell>
        </row>
        <row r="60">
          <cell r="C60" t="str">
            <v>JATISAMPURNA</v>
          </cell>
          <cell r="G60">
            <v>23647</v>
          </cell>
        </row>
        <row r="61">
          <cell r="C61" t="str">
            <v>JATISAMPURNA</v>
          </cell>
          <cell r="G61">
            <v>124065</v>
          </cell>
        </row>
        <row r="62">
          <cell r="C62" t="str">
            <v>MUSTIKA JAYA</v>
          </cell>
          <cell r="G62">
            <v>60906</v>
          </cell>
        </row>
        <row r="63">
          <cell r="C63" t="str">
            <v>MUSTIKA JAYA</v>
          </cell>
          <cell r="G63">
            <v>47515</v>
          </cell>
        </row>
        <row r="64">
          <cell r="C64" t="str">
            <v>MUSTIKA JAYA</v>
          </cell>
          <cell r="G64">
            <v>81974</v>
          </cell>
        </row>
        <row r="65">
          <cell r="C65" t="str">
            <v>MUSTIKA JAYA</v>
          </cell>
          <cell r="G65">
            <v>41205</v>
          </cell>
        </row>
        <row r="66">
          <cell r="C66" t="str">
            <v>MUSTIKAJAYA</v>
          </cell>
          <cell r="G66">
            <v>231600</v>
          </cell>
        </row>
        <row r="67">
          <cell r="C67" t="str">
            <v>PONDOK MELATI</v>
          </cell>
          <cell r="G67">
            <v>58899</v>
          </cell>
        </row>
        <row r="68">
          <cell r="C68" t="str">
            <v>PONDOK MELATI</v>
          </cell>
          <cell r="G68">
            <v>23804</v>
          </cell>
        </row>
        <row r="69">
          <cell r="C69" t="str">
            <v>PONDOK MELATI</v>
          </cell>
          <cell r="G69">
            <v>22576</v>
          </cell>
        </row>
        <row r="70">
          <cell r="C70" t="str">
            <v>PONDOK MELATI</v>
          </cell>
          <cell r="G70">
            <v>28685</v>
          </cell>
        </row>
        <row r="71">
          <cell r="C71" t="str">
            <v>PONDOKMELATI</v>
          </cell>
          <cell r="G71">
            <v>133964</v>
          </cell>
        </row>
        <row r="72">
          <cell r="E72">
            <v>1300822</v>
          </cell>
          <cell r="F72">
            <v>1306426</v>
          </cell>
        </row>
        <row r="73">
          <cell r="E73">
            <v>49.892530361515284</v>
          </cell>
          <cell r="F73">
            <v>50.107469638484716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D6759-C540-434E-AFC8-899120E075A2}">
  <sheetPr>
    <tabColor rgb="FF00B050"/>
  </sheetPr>
  <dimension ref="B1:AA86"/>
  <sheetViews>
    <sheetView showGridLines="0" topLeftCell="A63" zoomScale="80" zoomScaleNormal="80" zoomScaleSheetLayoutView="100" workbookViewId="0">
      <selection activeCell="F73" sqref="F73:H73"/>
    </sheetView>
  </sheetViews>
  <sheetFormatPr defaultColWidth="9.1796875" defaultRowHeight="14" x14ac:dyDescent="0.3"/>
  <cols>
    <col min="1" max="1" width="1.7265625" style="2" customWidth="1"/>
    <col min="2" max="2" width="6.453125" style="70" hidden="1" customWidth="1"/>
    <col min="3" max="3" width="8.54296875" style="70" hidden="1" customWidth="1"/>
    <col min="4" max="4" width="15.1796875" style="2" bestFit="1" customWidth="1"/>
    <col min="5" max="5" width="22" style="2" bestFit="1" customWidth="1"/>
    <col min="6" max="6" width="20.54296875" style="2" customWidth="1"/>
    <col min="7" max="7" width="17.81640625" style="2" customWidth="1"/>
    <col min="8" max="8" width="19.453125" style="2" customWidth="1"/>
    <col min="9" max="9" width="14.453125" style="2" hidden="1" customWidth="1"/>
    <col min="10" max="15" width="9.1796875" style="2"/>
    <col min="16" max="16" width="11.54296875" style="2" customWidth="1"/>
    <col min="17" max="17" width="9.1796875" style="2"/>
    <col min="18" max="21" width="0" style="2" hidden="1" customWidth="1"/>
    <col min="22" max="22" width="16.453125" style="2" hidden="1" customWidth="1"/>
    <col min="23" max="23" width="9.1796875" style="2" hidden="1" customWidth="1"/>
    <col min="24" max="24" width="14.7265625" style="2" hidden="1" customWidth="1"/>
    <col min="25" max="30" width="0" style="2" hidden="1" customWidth="1"/>
    <col min="31" max="16384" width="9.1796875" style="2"/>
  </cols>
  <sheetData>
    <row r="1" spans="2:27" ht="18" x14ac:dyDescent="0.3">
      <c r="B1" s="1"/>
      <c r="C1" s="1"/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2:27" ht="6" customHeight="1" x14ac:dyDescent="0.3">
      <c r="B2" s="3"/>
      <c r="C2" s="3"/>
      <c r="D2" s="4"/>
      <c r="E2" s="4"/>
      <c r="F2" s="4"/>
      <c r="G2" s="4"/>
      <c r="H2" s="4"/>
      <c r="I2" s="4"/>
    </row>
    <row r="3" spans="2:27" ht="6" customHeight="1" x14ac:dyDescent="0.3">
      <c r="B3" s="3"/>
      <c r="C3" s="3"/>
      <c r="D3" s="4"/>
      <c r="E3" s="4"/>
      <c r="F3" s="4"/>
      <c r="G3" s="4"/>
      <c r="H3" s="4"/>
      <c r="I3" s="4"/>
    </row>
    <row r="4" spans="2:27" ht="16" thickBot="1" x14ac:dyDescent="0.4">
      <c r="B4" s="5" t="s">
        <v>1</v>
      </c>
      <c r="C4" s="5" t="s">
        <v>2</v>
      </c>
      <c r="D4" s="6" t="s">
        <v>3</v>
      </c>
      <c r="E4" s="7" t="s">
        <v>4</v>
      </c>
      <c r="F4" s="8" t="s">
        <v>5</v>
      </c>
      <c r="G4" s="9" t="s">
        <v>6</v>
      </c>
      <c r="H4" s="6" t="s">
        <v>7</v>
      </c>
      <c r="I4" s="10" t="s">
        <v>8</v>
      </c>
      <c r="R4" s="11" t="s">
        <v>9</v>
      </c>
      <c r="S4" s="11" t="s">
        <v>10</v>
      </c>
      <c r="T4" s="11" t="s">
        <v>11</v>
      </c>
      <c r="U4" s="11" t="s">
        <v>12</v>
      </c>
      <c r="V4" s="11" t="s">
        <v>13</v>
      </c>
      <c r="W4" s="12" t="s">
        <v>14</v>
      </c>
      <c r="X4" s="12" t="s">
        <v>15</v>
      </c>
      <c r="Y4" s="12" t="s">
        <v>16</v>
      </c>
      <c r="Z4" s="12" t="s">
        <v>17</v>
      </c>
      <c r="AA4" s="12" t="s">
        <v>18</v>
      </c>
    </row>
    <row r="5" spans="2:27" ht="16" thickBot="1" x14ac:dyDescent="0.4">
      <c r="B5" s="13">
        <v>1</v>
      </c>
      <c r="C5" s="13">
        <v>1001</v>
      </c>
      <c r="D5" s="14"/>
      <c r="E5" s="15" t="s">
        <v>19</v>
      </c>
      <c r="F5" s="16">
        <v>32963</v>
      </c>
      <c r="G5" s="16">
        <v>33420</v>
      </c>
      <c r="H5" s="16">
        <v>66383</v>
      </c>
      <c r="I5" s="17">
        <f>F5/G5</f>
        <v>0.98632555356074203</v>
      </c>
      <c r="R5" s="18">
        <v>1</v>
      </c>
      <c r="S5" s="19" t="s">
        <v>20</v>
      </c>
      <c r="T5" s="20">
        <v>136428</v>
      </c>
      <c r="U5" s="20">
        <v>137275</v>
      </c>
      <c r="V5" s="20">
        <v>273703</v>
      </c>
      <c r="W5" s="21" t="s">
        <v>21</v>
      </c>
      <c r="X5" s="21" t="s">
        <v>22</v>
      </c>
      <c r="Y5" s="21">
        <v>1285093</v>
      </c>
      <c r="Z5" s="21">
        <v>1287116</v>
      </c>
      <c r="AA5" s="21">
        <v>2572209</v>
      </c>
    </row>
    <row r="6" spans="2:27" ht="15.5" x14ac:dyDescent="0.35">
      <c r="B6" s="22">
        <v>1</v>
      </c>
      <c r="C6" s="22">
        <v>1002</v>
      </c>
      <c r="D6" s="23"/>
      <c r="E6" s="24" t="s">
        <v>23</v>
      </c>
      <c r="F6" s="16">
        <v>33420</v>
      </c>
      <c r="G6" s="16">
        <v>33339</v>
      </c>
      <c r="H6" s="16">
        <v>66759</v>
      </c>
      <c r="I6" s="25">
        <f t="shared" ref="I6:I71" si="0">F6/G6</f>
        <v>1.0024295869702151</v>
      </c>
      <c r="R6" s="26">
        <v>1</v>
      </c>
      <c r="S6" s="27" t="s">
        <v>19</v>
      </c>
      <c r="T6" s="28">
        <v>32732</v>
      </c>
      <c r="U6" s="28">
        <v>32903</v>
      </c>
      <c r="V6" s="28">
        <v>65635</v>
      </c>
      <c r="W6" s="29" t="s">
        <v>24</v>
      </c>
      <c r="X6" s="29" t="s">
        <v>20</v>
      </c>
      <c r="Y6" s="29">
        <v>137171</v>
      </c>
      <c r="Z6" s="29">
        <v>138360</v>
      </c>
      <c r="AA6" s="29">
        <v>275531</v>
      </c>
    </row>
    <row r="7" spans="2:27" ht="15.5" x14ac:dyDescent="0.35">
      <c r="B7" s="22">
        <v>1</v>
      </c>
      <c r="C7" s="22">
        <v>1003</v>
      </c>
      <c r="D7" s="23"/>
      <c r="E7" s="24" t="s">
        <v>25</v>
      </c>
      <c r="F7" s="16">
        <v>37922</v>
      </c>
      <c r="G7" s="16">
        <v>38596</v>
      </c>
      <c r="H7" s="16">
        <v>76518</v>
      </c>
      <c r="I7" s="25">
        <f t="shared" si="0"/>
        <v>0.98253705047155149</v>
      </c>
      <c r="R7" s="26">
        <v>2</v>
      </c>
      <c r="S7" s="27" t="s">
        <v>23</v>
      </c>
      <c r="T7" s="28">
        <v>33440</v>
      </c>
      <c r="U7" s="28">
        <v>33087</v>
      </c>
      <c r="V7" s="28">
        <v>66527</v>
      </c>
      <c r="W7" s="30" t="s">
        <v>26</v>
      </c>
      <c r="X7" s="30" t="s">
        <v>19</v>
      </c>
      <c r="Y7" s="30">
        <v>32896</v>
      </c>
      <c r="Z7" s="30">
        <v>33235</v>
      </c>
      <c r="AA7" s="30">
        <v>66131</v>
      </c>
    </row>
    <row r="8" spans="2:27" ht="16" thickBot="1" x14ac:dyDescent="0.4">
      <c r="B8" s="31">
        <v>1</v>
      </c>
      <c r="C8" s="31">
        <v>1004</v>
      </c>
      <c r="D8" s="32"/>
      <c r="E8" s="33" t="s">
        <v>27</v>
      </c>
      <c r="F8" s="16">
        <v>32965</v>
      </c>
      <c r="G8" s="16">
        <v>33686</v>
      </c>
      <c r="H8" s="16">
        <v>66651</v>
      </c>
      <c r="I8" s="34">
        <f t="shared" si="0"/>
        <v>0.97859644956361691</v>
      </c>
      <c r="R8" s="26">
        <v>3</v>
      </c>
      <c r="S8" s="27" t="s">
        <v>25</v>
      </c>
      <c r="T8" s="28">
        <v>37440</v>
      </c>
      <c r="U8" s="28">
        <v>37919</v>
      </c>
      <c r="V8" s="28">
        <v>75359</v>
      </c>
      <c r="W8" s="30" t="s">
        <v>28</v>
      </c>
      <c r="X8" s="30" t="s">
        <v>23</v>
      </c>
      <c r="Y8" s="30">
        <v>33513</v>
      </c>
      <c r="Z8" s="30">
        <v>33311</v>
      </c>
      <c r="AA8" s="30">
        <v>66824</v>
      </c>
    </row>
    <row r="9" spans="2:27" ht="16" thickBot="1" x14ac:dyDescent="0.4">
      <c r="B9" s="35"/>
      <c r="C9" s="35"/>
      <c r="D9" s="36" t="s">
        <v>20</v>
      </c>
      <c r="E9" s="37"/>
      <c r="F9" s="38">
        <f>SUM(F5:F8)</f>
        <v>137270</v>
      </c>
      <c r="G9" s="38">
        <f>SUM(G5:G8)</f>
        <v>139041</v>
      </c>
      <c r="H9" s="39">
        <f>SUM(H5:H8)</f>
        <v>276311</v>
      </c>
      <c r="I9" s="40"/>
      <c r="K9" s="41"/>
      <c r="L9" s="41"/>
      <c r="R9" s="26">
        <v>4</v>
      </c>
      <c r="S9" s="27" t="s">
        <v>27</v>
      </c>
      <c r="T9" s="28">
        <v>32816</v>
      </c>
      <c r="U9" s="28">
        <v>33366</v>
      </c>
      <c r="V9" s="28">
        <v>66182</v>
      </c>
      <c r="W9" s="30" t="s">
        <v>29</v>
      </c>
      <c r="X9" s="30" t="s">
        <v>25</v>
      </c>
      <c r="Y9" s="30">
        <v>37780</v>
      </c>
      <c r="Z9" s="30">
        <v>38272</v>
      </c>
      <c r="AA9" s="30">
        <v>76052</v>
      </c>
    </row>
    <row r="10" spans="2:27" ht="16" thickBot="1" x14ac:dyDescent="0.4">
      <c r="B10" s="42">
        <v>2</v>
      </c>
      <c r="C10" s="42">
        <v>1001</v>
      </c>
      <c r="D10" s="43"/>
      <c r="E10" s="15" t="s">
        <v>30</v>
      </c>
      <c r="F10" s="44">
        <v>32830</v>
      </c>
      <c r="G10" s="44">
        <v>32686</v>
      </c>
      <c r="H10" s="44">
        <v>65516</v>
      </c>
      <c r="I10" s="45">
        <f t="shared" si="0"/>
        <v>1.0044055558954905</v>
      </c>
      <c r="R10" s="27"/>
      <c r="S10" s="46" t="s">
        <v>31</v>
      </c>
      <c r="T10" s="46">
        <v>136428</v>
      </c>
      <c r="U10" s="46">
        <v>137275</v>
      </c>
      <c r="V10" s="46">
        <v>273703</v>
      </c>
      <c r="W10" s="47" t="s">
        <v>32</v>
      </c>
      <c r="X10" s="47" t="s">
        <v>27</v>
      </c>
      <c r="Y10" s="47">
        <v>32982</v>
      </c>
      <c r="Z10" s="47">
        <v>33542</v>
      </c>
      <c r="AA10" s="47">
        <v>66524</v>
      </c>
    </row>
    <row r="11" spans="2:27" ht="15.5" x14ac:dyDescent="0.35">
      <c r="B11" s="22">
        <v>2</v>
      </c>
      <c r="C11" s="22">
        <v>1002</v>
      </c>
      <c r="D11" s="23"/>
      <c r="E11" s="24" t="s">
        <v>33</v>
      </c>
      <c r="F11" s="48">
        <v>24910</v>
      </c>
      <c r="G11" s="48">
        <v>25009</v>
      </c>
      <c r="H11" s="48">
        <v>49919</v>
      </c>
      <c r="I11" s="49">
        <f t="shared" si="0"/>
        <v>0.99604142508696869</v>
      </c>
      <c r="R11" s="18">
        <v>2</v>
      </c>
      <c r="S11" s="19" t="s">
        <v>34</v>
      </c>
      <c r="T11" s="20">
        <v>133054</v>
      </c>
      <c r="U11" s="20">
        <v>133233</v>
      </c>
      <c r="V11" s="20">
        <v>266287</v>
      </c>
      <c r="W11" s="29" t="s">
        <v>35</v>
      </c>
      <c r="X11" s="29" t="s">
        <v>34</v>
      </c>
      <c r="Y11" s="29">
        <v>135594</v>
      </c>
      <c r="Z11" s="29">
        <v>136038</v>
      </c>
      <c r="AA11" s="29">
        <v>271632</v>
      </c>
    </row>
    <row r="12" spans="2:27" ht="15.5" x14ac:dyDescent="0.35">
      <c r="B12" s="22">
        <v>2</v>
      </c>
      <c r="C12" s="22">
        <v>1003</v>
      </c>
      <c r="D12" s="23"/>
      <c r="E12" s="24" t="s">
        <v>36</v>
      </c>
      <c r="F12" s="48">
        <v>22735</v>
      </c>
      <c r="G12" s="48">
        <v>22787</v>
      </c>
      <c r="H12" s="48">
        <v>45522</v>
      </c>
      <c r="I12" s="49">
        <f t="shared" si="0"/>
        <v>0.99771799710361175</v>
      </c>
      <c r="R12" s="26">
        <v>1</v>
      </c>
      <c r="S12" s="27" t="s">
        <v>30</v>
      </c>
      <c r="T12" s="28">
        <v>31585</v>
      </c>
      <c r="U12" s="28">
        <v>31390</v>
      </c>
      <c r="V12" s="28">
        <v>62975</v>
      </c>
      <c r="W12" s="30" t="s">
        <v>37</v>
      </c>
      <c r="X12" s="30" t="s">
        <v>30</v>
      </c>
      <c r="Y12" s="30">
        <v>32665</v>
      </c>
      <c r="Z12" s="30">
        <v>32503</v>
      </c>
      <c r="AA12" s="30">
        <v>65168</v>
      </c>
    </row>
    <row r="13" spans="2:27" ht="15.5" x14ac:dyDescent="0.35">
      <c r="B13" s="22">
        <v>2</v>
      </c>
      <c r="C13" s="22">
        <v>1004</v>
      </c>
      <c r="D13" s="23"/>
      <c r="E13" s="24" t="s">
        <v>38</v>
      </c>
      <c r="F13" s="48">
        <v>17719</v>
      </c>
      <c r="G13" s="48">
        <v>17947</v>
      </c>
      <c r="H13" s="48">
        <v>35666</v>
      </c>
      <c r="I13" s="49">
        <f t="shared" si="0"/>
        <v>0.98729592689585999</v>
      </c>
      <c r="R13" s="26">
        <v>2</v>
      </c>
      <c r="S13" s="27" t="s">
        <v>33</v>
      </c>
      <c r="T13" s="28">
        <v>24799</v>
      </c>
      <c r="U13" s="28">
        <v>24811</v>
      </c>
      <c r="V13" s="28">
        <v>49610</v>
      </c>
      <c r="W13" s="30" t="s">
        <v>39</v>
      </c>
      <c r="X13" s="30" t="s">
        <v>33</v>
      </c>
      <c r="Y13" s="30">
        <v>24992</v>
      </c>
      <c r="Z13" s="30">
        <v>24997</v>
      </c>
      <c r="AA13" s="30">
        <v>49989</v>
      </c>
    </row>
    <row r="14" spans="2:27" ht="16" thickBot="1" x14ac:dyDescent="0.4">
      <c r="B14" s="31">
        <v>2</v>
      </c>
      <c r="C14" s="31">
        <v>1005</v>
      </c>
      <c r="D14" s="32"/>
      <c r="E14" s="33" t="s">
        <v>40</v>
      </c>
      <c r="F14" s="50">
        <v>37635</v>
      </c>
      <c r="G14" s="50">
        <v>37998</v>
      </c>
      <c r="H14" s="50">
        <v>75633</v>
      </c>
      <c r="I14" s="51">
        <f t="shared" si="0"/>
        <v>0.99044686562450657</v>
      </c>
      <c r="R14" s="26">
        <v>3</v>
      </c>
      <c r="S14" s="27" t="s">
        <v>36</v>
      </c>
      <c r="T14" s="28">
        <v>22469</v>
      </c>
      <c r="U14" s="28">
        <v>22394</v>
      </c>
      <c r="V14" s="28">
        <v>44863</v>
      </c>
      <c r="W14" s="30" t="s">
        <v>41</v>
      </c>
      <c r="X14" s="30" t="s">
        <v>36</v>
      </c>
      <c r="Y14" s="30">
        <v>22744</v>
      </c>
      <c r="Z14" s="30">
        <v>22805</v>
      </c>
      <c r="AA14" s="30">
        <v>45549</v>
      </c>
    </row>
    <row r="15" spans="2:27" ht="16" thickBot="1" x14ac:dyDescent="0.4">
      <c r="B15" s="35"/>
      <c r="C15" s="35"/>
      <c r="D15" s="36" t="s">
        <v>34</v>
      </c>
      <c r="E15" s="37"/>
      <c r="F15" s="52">
        <f>SUM(F10:F14)</f>
        <v>135829</v>
      </c>
      <c r="G15" s="52">
        <f>SUM(G10:G14)</f>
        <v>136427</v>
      </c>
      <c r="H15" s="53">
        <f>SUM(H10:H14)</f>
        <v>272256</v>
      </c>
      <c r="I15" s="54"/>
      <c r="R15" s="26">
        <v>4</v>
      </c>
      <c r="S15" s="27" t="s">
        <v>38</v>
      </c>
      <c r="T15" s="28">
        <v>16991</v>
      </c>
      <c r="U15" s="28">
        <v>17168</v>
      </c>
      <c r="V15" s="28">
        <v>34159</v>
      </c>
      <c r="W15" s="30" t="s">
        <v>42</v>
      </c>
      <c r="X15" s="30" t="s">
        <v>38</v>
      </c>
      <c r="Y15" s="30">
        <v>17617</v>
      </c>
      <c r="Z15" s="30">
        <v>17838</v>
      </c>
      <c r="AA15" s="30">
        <v>35455</v>
      </c>
    </row>
    <row r="16" spans="2:27" ht="16" thickBot="1" x14ac:dyDescent="0.4">
      <c r="B16" s="42">
        <v>3</v>
      </c>
      <c r="C16" s="42">
        <v>1001</v>
      </c>
      <c r="D16" s="43"/>
      <c r="E16" s="15" t="s">
        <v>43</v>
      </c>
      <c r="F16" s="16">
        <v>48995</v>
      </c>
      <c r="G16" s="16">
        <v>48549</v>
      </c>
      <c r="H16" s="16">
        <v>97544</v>
      </c>
      <c r="I16" s="17">
        <f t="shared" si="0"/>
        <v>1.0091865949865084</v>
      </c>
      <c r="R16" s="26">
        <v>5</v>
      </c>
      <c r="S16" s="27" t="s">
        <v>40</v>
      </c>
      <c r="T16" s="28">
        <v>37210</v>
      </c>
      <c r="U16" s="28">
        <v>37470</v>
      </c>
      <c r="V16" s="28">
        <v>74680</v>
      </c>
      <c r="W16" s="47" t="s">
        <v>44</v>
      </c>
      <c r="X16" s="47" t="s">
        <v>40</v>
      </c>
      <c r="Y16" s="47">
        <v>37576</v>
      </c>
      <c r="Z16" s="47">
        <v>37895</v>
      </c>
      <c r="AA16" s="47">
        <v>75471</v>
      </c>
    </row>
    <row r="17" spans="2:27" ht="15.5" x14ac:dyDescent="0.35">
      <c r="B17" s="22">
        <v>3</v>
      </c>
      <c r="C17" s="22">
        <v>1002</v>
      </c>
      <c r="D17" s="23"/>
      <c r="E17" s="24" t="s">
        <v>45</v>
      </c>
      <c r="F17" s="16">
        <v>20434</v>
      </c>
      <c r="G17" s="16">
        <v>20374</v>
      </c>
      <c r="H17" s="16">
        <v>40808</v>
      </c>
      <c r="I17" s="25">
        <f t="shared" si="0"/>
        <v>1.0029449298125062</v>
      </c>
      <c r="R17" s="27"/>
      <c r="S17" s="46" t="s">
        <v>31</v>
      </c>
      <c r="T17" s="46">
        <v>133054</v>
      </c>
      <c r="U17" s="46">
        <v>133233</v>
      </c>
      <c r="V17" s="46">
        <v>266287</v>
      </c>
      <c r="W17" s="29" t="s">
        <v>46</v>
      </c>
      <c r="X17" s="29" t="s">
        <v>47</v>
      </c>
      <c r="Y17" s="29">
        <v>172822</v>
      </c>
      <c r="Z17" s="29">
        <v>172018</v>
      </c>
      <c r="AA17" s="29">
        <v>344840</v>
      </c>
    </row>
    <row r="18" spans="2:27" ht="15.5" x14ac:dyDescent="0.35">
      <c r="B18" s="22">
        <v>3</v>
      </c>
      <c r="C18" s="22">
        <v>1003</v>
      </c>
      <c r="D18" s="23"/>
      <c r="E18" s="24" t="s">
        <v>48</v>
      </c>
      <c r="F18" s="16">
        <v>14683</v>
      </c>
      <c r="G18" s="16">
        <v>14408</v>
      </c>
      <c r="H18" s="16">
        <v>29091</v>
      </c>
      <c r="I18" s="25">
        <f t="shared" si="0"/>
        <v>1.0190866185452527</v>
      </c>
      <c r="R18" s="18">
        <v>3</v>
      </c>
      <c r="S18" s="19" t="s">
        <v>47</v>
      </c>
      <c r="T18" s="20">
        <v>169528</v>
      </c>
      <c r="U18" s="20">
        <v>168559</v>
      </c>
      <c r="V18" s="20">
        <v>338087</v>
      </c>
      <c r="W18" s="30" t="s">
        <v>49</v>
      </c>
      <c r="X18" s="30" t="s">
        <v>43</v>
      </c>
      <c r="Y18" s="30">
        <v>48513</v>
      </c>
      <c r="Z18" s="30">
        <v>47989</v>
      </c>
      <c r="AA18" s="30">
        <v>96502</v>
      </c>
    </row>
    <row r="19" spans="2:27" ht="15.5" x14ac:dyDescent="0.35">
      <c r="B19" s="22">
        <v>3</v>
      </c>
      <c r="C19" s="22">
        <v>1004</v>
      </c>
      <c r="D19" s="23"/>
      <c r="E19" s="24" t="s">
        <v>50</v>
      </c>
      <c r="F19" s="16">
        <v>36049</v>
      </c>
      <c r="G19" s="16">
        <v>35786</v>
      </c>
      <c r="H19" s="16">
        <v>71835</v>
      </c>
      <c r="I19" s="25">
        <f t="shared" si="0"/>
        <v>1.007349242720617</v>
      </c>
      <c r="R19" s="26">
        <v>1</v>
      </c>
      <c r="S19" s="27" t="s">
        <v>43</v>
      </c>
      <c r="T19" s="28">
        <v>47453</v>
      </c>
      <c r="U19" s="28">
        <v>46930</v>
      </c>
      <c r="V19" s="28">
        <v>94383</v>
      </c>
      <c r="W19" s="30" t="s">
        <v>51</v>
      </c>
      <c r="X19" s="30" t="s">
        <v>45</v>
      </c>
      <c r="Y19" s="30">
        <v>20165</v>
      </c>
      <c r="Z19" s="30">
        <v>19991</v>
      </c>
      <c r="AA19" s="30">
        <v>40156</v>
      </c>
    </row>
    <row r="20" spans="2:27" ht="15.5" x14ac:dyDescent="0.35">
      <c r="B20" s="22">
        <v>3</v>
      </c>
      <c r="C20" s="22">
        <v>1005</v>
      </c>
      <c r="D20" s="23"/>
      <c r="E20" s="24" t="s">
        <v>52</v>
      </c>
      <c r="F20" s="16">
        <v>12596</v>
      </c>
      <c r="G20" s="16">
        <v>12447</v>
      </c>
      <c r="H20" s="16">
        <v>25043</v>
      </c>
      <c r="I20" s="25">
        <f t="shared" si="0"/>
        <v>1.0119707560054632</v>
      </c>
      <c r="R20" s="26">
        <v>2</v>
      </c>
      <c r="S20" s="27" t="s">
        <v>45</v>
      </c>
      <c r="T20" s="28">
        <v>19679</v>
      </c>
      <c r="U20" s="28">
        <v>19470</v>
      </c>
      <c r="V20" s="28">
        <v>39149</v>
      </c>
      <c r="W20" s="30" t="s">
        <v>53</v>
      </c>
      <c r="X20" s="30" t="s">
        <v>48</v>
      </c>
      <c r="Y20" s="30">
        <v>14251</v>
      </c>
      <c r="Z20" s="30">
        <v>13980</v>
      </c>
      <c r="AA20" s="30">
        <v>28231</v>
      </c>
    </row>
    <row r="21" spans="2:27" ht="16" thickBot="1" x14ac:dyDescent="0.4">
      <c r="B21" s="31">
        <v>3</v>
      </c>
      <c r="C21" s="31">
        <v>1006</v>
      </c>
      <c r="D21" s="32"/>
      <c r="E21" s="33" t="s">
        <v>54</v>
      </c>
      <c r="F21" s="16">
        <v>41756</v>
      </c>
      <c r="G21" s="16">
        <v>42545</v>
      </c>
      <c r="H21" s="16">
        <v>84301</v>
      </c>
      <c r="I21" s="34">
        <f t="shared" si="0"/>
        <v>0.98145493007403928</v>
      </c>
      <c r="R21" s="26">
        <v>3</v>
      </c>
      <c r="S21" s="27" t="s">
        <v>48</v>
      </c>
      <c r="T21" s="28">
        <v>13731</v>
      </c>
      <c r="U21" s="28">
        <v>13504</v>
      </c>
      <c r="V21" s="28">
        <v>27235</v>
      </c>
      <c r="W21" s="30" t="s">
        <v>55</v>
      </c>
      <c r="X21" s="30" t="s">
        <v>50</v>
      </c>
      <c r="Y21" s="30">
        <v>35745</v>
      </c>
      <c r="Z21" s="30">
        <v>35478</v>
      </c>
      <c r="AA21" s="30">
        <v>71223</v>
      </c>
    </row>
    <row r="22" spans="2:27" ht="16" thickBot="1" x14ac:dyDescent="0.4">
      <c r="B22" s="35"/>
      <c r="C22" s="35"/>
      <c r="D22" s="36" t="s">
        <v>47</v>
      </c>
      <c r="E22" s="37"/>
      <c r="F22" s="55">
        <f>SUM(F16:F21)</f>
        <v>174513</v>
      </c>
      <c r="G22" s="55">
        <f>SUM(G16:G21)</f>
        <v>174109</v>
      </c>
      <c r="H22" s="56">
        <f>SUM(H16:H21)</f>
        <v>348622</v>
      </c>
      <c r="I22" s="57"/>
      <c r="R22" s="26">
        <v>4</v>
      </c>
      <c r="S22" s="27" t="s">
        <v>50</v>
      </c>
      <c r="T22" s="28">
        <v>35142</v>
      </c>
      <c r="U22" s="28">
        <v>34840</v>
      </c>
      <c r="V22" s="28">
        <v>69982</v>
      </c>
      <c r="W22" s="30" t="s">
        <v>56</v>
      </c>
      <c r="X22" s="30" t="s">
        <v>52</v>
      </c>
      <c r="Y22" s="30">
        <v>12421</v>
      </c>
      <c r="Z22" s="30">
        <v>12208</v>
      </c>
      <c r="AA22" s="30">
        <v>24629</v>
      </c>
    </row>
    <row r="23" spans="2:27" ht="16" thickBot="1" x14ac:dyDescent="0.4">
      <c r="B23" s="42">
        <v>4</v>
      </c>
      <c r="C23" s="42">
        <v>1001</v>
      </c>
      <c r="D23" s="43"/>
      <c r="E23" s="15" t="s">
        <v>57</v>
      </c>
      <c r="F23" s="16">
        <v>29952</v>
      </c>
      <c r="G23" s="16">
        <v>30980</v>
      </c>
      <c r="H23" s="16">
        <v>60932</v>
      </c>
      <c r="I23" s="45">
        <f t="shared" si="0"/>
        <v>0.96681730148482892</v>
      </c>
      <c r="R23" s="26">
        <v>5</v>
      </c>
      <c r="S23" s="27" t="s">
        <v>52</v>
      </c>
      <c r="T23" s="28">
        <v>12219</v>
      </c>
      <c r="U23" s="28">
        <v>11989</v>
      </c>
      <c r="V23" s="28">
        <v>24208</v>
      </c>
      <c r="W23" s="47" t="s">
        <v>58</v>
      </c>
      <c r="X23" s="47" t="s">
        <v>54</v>
      </c>
      <c r="Y23" s="47">
        <v>41727</v>
      </c>
      <c r="Z23" s="47">
        <v>42372</v>
      </c>
      <c r="AA23" s="47">
        <v>84099</v>
      </c>
    </row>
    <row r="24" spans="2:27" ht="15.5" x14ac:dyDescent="0.35">
      <c r="B24" s="22">
        <v>4</v>
      </c>
      <c r="C24" s="22">
        <v>1002</v>
      </c>
      <c r="D24" s="23"/>
      <c r="E24" s="24" t="s">
        <v>59</v>
      </c>
      <c r="F24" s="16">
        <v>8789</v>
      </c>
      <c r="G24" s="16">
        <v>8865</v>
      </c>
      <c r="H24" s="16">
        <v>17654</v>
      </c>
      <c r="I24" s="49">
        <f t="shared" si="0"/>
        <v>0.99142695995487873</v>
      </c>
      <c r="R24" s="26">
        <v>6</v>
      </c>
      <c r="S24" s="27" t="s">
        <v>54</v>
      </c>
      <c r="T24" s="28">
        <v>41304</v>
      </c>
      <c r="U24" s="28">
        <v>41826</v>
      </c>
      <c r="V24" s="28">
        <v>83130</v>
      </c>
      <c r="W24" s="29" t="s">
        <v>60</v>
      </c>
      <c r="X24" s="29" t="s">
        <v>61</v>
      </c>
      <c r="Y24" s="29">
        <v>107699</v>
      </c>
      <c r="Z24" s="29">
        <v>110371</v>
      </c>
      <c r="AA24" s="29">
        <v>218070</v>
      </c>
    </row>
    <row r="25" spans="2:27" ht="15.5" x14ac:dyDescent="0.35">
      <c r="B25" s="22">
        <v>4</v>
      </c>
      <c r="C25" s="22">
        <v>1003</v>
      </c>
      <c r="D25" s="23"/>
      <c r="E25" s="24" t="s">
        <v>62</v>
      </c>
      <c r="F25" s="16">
        <v>18851</v>
      </c>
      <c r="G25" s="16">
        <v>19069</v>
      </c>
      <c r="H25" s="16">
        <v>37920</v>
      </c>
      <c r="I25" s="49">
        <f t="shared" si="0"/>
        <v>0.9885678326078976</v>
      </c>
      <c r="R25" s="27"/>
      <c r="S25" s="46" t="s">
        <v>31</v>
      </c>
      <c r="T25" s="46">
        <v>169528</v>
      </c>
      <c r="U25" s="46">
        <v>168559</v>
      </c>
      <c r="V25" s="46">
        <v>338087</v>
      </c>
      <c r="W25" s="30" t="s">
        <v>63</v>
      </c>
      <c r="X25" s="30" t="s">
        <v>57</v>
      </c>
      <c r="Y25" s="30">
        <v>29517</v>
      </c>
      <c r="Z25" s="30">
        <v>30572</v>
      </c>
      <c r="AA25" s="30">
        <v>60089</v>
      </c>
    </row>
    <row r="26" spans="2:27" ht="15.5" x14ac:dyDescent="0.35">
      <c r="B26" s="22">
        <v>4</v>
      </c>
      <c r="C26" s="22">
        <v>1004</v>
      </c>
      <c r="D26" s="23"/>
      <c r="E26" s="24" t="s">
        <v>64</v>
      </c>
      <c r="F26" s="16">
        <v>22265</v>
      </c>
      <c r="G26" s="16">
        <v>22970</v>
      </c>
      <c r="H26" s="16">
        <v>45235</v>
      </c>
      <c r="I26" s="49">
        <f t="shared" si="0"/>
        <v>0.96930779277318246</v>
      </c>
      <c r="R26" s="18">
        <v>4</v>
      </c>
      <c r="S26" s="19" t="s">
        <v>61</v>
      </c>
      <c r="T26" s="20">
        <v>106105</v>
      </c>
      <c r="U26" s="20">
        <v>108388</v>
      </c>
      <c r="V26" s="20">
        <v>214493</v>
      </c>
      <c r="W26" s="30" t="s">
        <v>65</v>
      </c>
      <c r="X26" s="30" t="s">
        <v>59</v>
      </c>
      <c r="Y26" s="30">
        <v>8719</v>
      </c>
      <c r="Z26" s="30">
        <v>8825</v>
      </c>
      <c r="AA26" s="30">
        <v>17544</v>
      </c>
    </row>
    <row r="27" spans="2:27" ht="16" thickBot="1" x14ac:dyDescent="0.4">
      <c r="B27" s="31">
        <v>4</v>
      </c>
      <c r="C27" s="31">
        <v>1005</v>
      </c>
      <c r="D27" s="32"/>
      <c r="E27" s="33" t="s">
        <v>66</v>
      </c>
      <c r="F27" s="16">
        <v>29054</v>
      </c>
      <c r="G27" s="16">
        <v>29749</v>
      </c>
      <c r="H27" s="16">
        <v>58803</v>
      </c>
      <c r="I27" s="51">
        <f t="shared" si="0"/>
        <v>0.97663787018051029</v>
      </c>
      <c r="R27" s="26">
        <v>1</v>
      </c>
      <c r="S27" s="27" t="s">
        <v>57</v>
      </c>
      <c r="T27" s="28">
        <v>29028</v>
      </c>
      <c r="U27" s="28">
        <v>29870</v>
      </c>
      <c r="V27" s="28">
        <v>58898</v>
      </c>
      <c r="W27" s="30" t="s">
        <v>67</v>
      </c>
      <c r="X27" s="30" t="s">
        <v>62</v>
      </c>
      <c r="Y27" s="30">
        <v>18606</v>
      </c>
      <c r="Z27" s="30">
        <v>18802</v>
      </c>
      <c r="AA27" s="30">
        <v>37408</v>
      </c>
    </row>
    <row r="28" spans="2:27" ht="16" thickBot="1" x14ac:dyDescent="0.4">
      <c r="B28" s="35"/>
      <c r="C28" s="35"/>
      <c r="D28" s="36" t="s">
        <v>61</v>
      </c>
      <c r="E28" s="37"/>
      <c r="F28" s="58">
        <f>SUM(F23:F27)</f>
        <v>108911</v>
      </c>
      <c r="G28" s="58">
        <f>SUM(G23:G27)</f>
        <v>111633</v>
      </c>
      <c r="H28" s="56">
        <f>SUM(H23:H27)</f>
        <v>220544</v>
      </c>
      <c r="I28" s="54"/>
      <c r="R28" s="26">
        <v>2</v>
      </c>
      <c r="S28" s="27" t="s">
        <v>59</v>
      </c>
      <c r="T28" s="28">
        <v>8729</v>
      </c>
      <c r="U28" s="28">
        <v>8803</v>
      </c>
      <c r="V28" s="28">
        <v>17532</v>
      </c>
      <c r="W28" s="30" t="s">
        <v>68</v>
      </c>
      <c r="X28" s="30" t="s">
        <v>64</v>
      </c>
      <c r="Y28" s="30">
        <v>21909</v>
      </c>
      <c r="Z28" s="30">
        <v>22502</v>
      </c>
      <c r="AA28" s="30">
        <v>44411</v>
      </c>
    </row>
    <row r="29" spans="2:27" ht="16" thickBot="1" x14ac:dyDescent="0.4">
      <c r="B29" s="42">
        <v>5</v>
      </c>
      <c r="C29" s="42">
        <v>1001</v>
      </c>
      <c r="D29" s="43"/>
      <c r="E29" s="15" t="s">
        <v>69</v>
      </c>
      <c r="F29" s="16">
        <v>40544</v>
      </c>
      <c r="G29" s="16">
        <v>40398</v>
      </c>
      <c r="H29" s="16">
        <v>80942</v>
      </c>
      <c r="I29" s="17">
        <f t="shared" si="0"/>
        <v>1.0036140402990248</v>
      </c>
      <c r="R29" s="26">
        <v>3</v>
      </c>
      <c r="S29" s="27" t="s">
        <v>62</v>
      </c>
      <c r="T29" s="28">
        <v>18138</v>
      </c>
      <c r="U29" s="28">
        <v>18352</v>
      </c>
      <c r="V29" s="28">
        <v>36490</v>
      </c>
      <c r="W29" s="47" t="s">
        <v>70</v>
      </c>
      <c r="X29" s="47" t="s">
        <v>66</v>
      </c>
      <c r="Y29" s="47">
        <v>28948</v>
      </c>
      <c r="Z29" s="47">
        <v>29670</v>
      </c>
      <c r="AA29" s="47">
        <v>58618</v>
      </c>
    </row>
    <row r="30" spans="2:27" ht="15.5" x14ac:dyDescent="0.35">
      <c r="B30" s="22">
        <v>5</v>
      </c>
      <c r="C30" s="22">
        <v>1002</v>
      </c>
      <c r="D30" s="23"/>
      <c r="E30" s="24" t="s">
        <v>71</v>
      </c>
      <c r="F30" s="16">
        <v>31507</v>
      </c>
      <c r="G30" s="16">
        <v>32114</v>
      </c>
      <c r="H30" s="16">
        <v>63621</v>
      </c>
      <c r="I30" s="25">
        <f t="shared" si="0"/>
        <v>0.98109858628635482</v>
      </c>
      <c r="R30" s="26">
        <v>4</v>
      </c>
      <c r="S30" s="27" t="s">
        <v>64</v>
      </c>
      <c r="T30" s="28">
        <v>21487</v>
      </c>
      <c r="U30" s="28">
        <v>22030</v>
      </c>
      <c r="V30" s="28">
        <v>43517</v>
      </c>
      <c r="W30" s="29" t="s">
        <v>72</v>
      </c>
      <c r="X30" s="29" t="s">
        <v>73</v>
      </c>
      <c r="Y30" s="29">
        <v>112819</v>
      </c>
      <c r="Z30" s="29">
        <v>112763</v>
      </c>
      <c r="AA30" s="29">
        <v>225582</v>
      </c>
    </row>
    <row r="31" spans="2:27" ht="15.5" x14ac:dyDescent="0.35">
      <c r="B31" s="22">
        <v>5</v>
      </c>
      <c r="C31" s="22">
        <v>1003</v>
      </c>
      <c r="D31" s="23"/>
      <c r="E31" s="24" t="s">
        <v>74</v>
      </c>
      <c r="F31" s="16">
        <v>18823</v>
      </c>
      <c r="G31" s="16">
        <v>18928</v>
      </c>
      <c r="H31" s="16">
        <v>37751</v>
      </c>
      <c r="I31" s="25">
        <f t="shared" si="0"/>
        <v>0.99445266272189348</v>
      </c>
      <c r="R31" s="26">
        <v>5</v>
      </c>
      <c r="S31" s="27" t="s">
        <v>66</v>
      </c>
      <c r="T31" s="28">
        <v>28723</v>
      </c>
      <c r="U31" s="28">
        <v>29333</v>
      </c>
      <c r="V31" s="28">
        <v>58056</v>
      </c>
      <c r="W31" s="30" t="s">
        <v>75</v>
      </c>
      <c r="X31" s="30" t="s">
        <v>69</v>
      </c>
      <c r="Y31" s="30">
        <v>40153</v>
      </c>
      <c r="Z31" s="30">
        <v>39778</v>
      </c>
      <c r="AA31" s="30">
        <v>79931</v>
      </c>
    </row>
    <row r="32" spans="2:27" ht="16" thickBot="1" x14ac:dyDescent="0.4">
      <c r="B32" s="31">
        <v>5</v>
      </c>
      <c r="C32" s="31">
        <v>1004</v>
      </c>
      <c r="D32" s="32"/>
      <c r="E32" s="33" t="s">
        <v>76</v>
      </c>
      <c r="F32" s="16">
        <v>22887</v>
      </c>
      <c r="G32" s="16">
        <v>22746</v>
      </c>
      <c r="H32" s="16">
        <v>45633</v>
      </c>
      <c r="I32" s="34">
        <f t="shared" si="0"/>
        <v>1.006198892112899</v>
      </c>
      <c r="R32" s="27"/>
      <c r="S32" s="46" t="s">
        <v>31</v>
      </c>
      <c r="T32" s="46">
        <v>106105</v>
      </c>
      <c r="U32" s="46">
        <v>108388</v>
      </c>
      <c r="V32" s="46">
        <v>214493</v>
      </c>
      <c r="W32" s="30" t="s">
        <v>77</v>
      </c>
      <c r="X32" s="30" t="s">
        <v>71</v>
      </c>
      <c r="Y32" s="30">
        <v>31335</v>
      </c>
      <c r="Z32" s="30">
        <v>31754</v>
      </c>
      <c r="AA32" s="30">
        <v>63089</v>
      </c>
    </row>
    <row r="33" spans="2:27" ht="16" thickBot="1" x14ac:dyDescent="0.4">
      <c r="B33" s="35"/>
      <c r="C33" s="35"/>
      <c r="D33" s="36" t="s">
        <v>73</v>
      </c>
      <c r="E33" s="37"/>
      <c r="F33" s="58">
        <f>SUM(F29:F32)</f>
        <v>113761</v>
      </c>
      <c r="G33" s="58">
        <f>SUM(G29:G32)</f>
        <v>114186</v>
      </c>
      <c r="H33" s="56">
        <f>SUM(H29:H32)</f>
        <v>227947</v>
      </c>
      <c r="I33" s="57"/>
      <c r="R33" s="18">
        <v>5</v>
      </c>
      <c r="S33" s="19" t="s">
        <v>73</v>
      </c>
      <c r="T33" s="20">
        <v>111408</v>
      </c>
      <c r="U33" s="20">
        <v>110990</v>
      </c>
      <c r="V33" s="20">
        <v>222398</v>
      </c>
      <c r="W33" s="30" t="s">
        <v>78</v>
      </c>
      <c r="X33" s="30" t="s">
        <v>74</v>
      </c>
      <c r="Y33" s="30">
        <v>18613</v>
      </c>
      <c r="Z33" s="30">
        <v>18737</v>
      </c>
      <c r="AA33" s="30">
        <v>37350</v>
      </c>
    </row>
    <row r="34" spans="2:27" ht="16" thickBot="1" x14ac:dyDescent="0.4">
      <c r="B34" s="42">
        <v>6</v>
      </c>
      <c r="C34" s="42">
        <v>1001</v>
      </c>
      <c r="D34" s="43"/>
      <c r="E34" s="15" t="s">
        <v>79</v>
      </c>
      <c r="F34" s="16">
        <v>14409</v>
      </c>
      <c r="G34" s="16">
        <v>13945</v>
      </c>
      <c r="H34" s="16">
        <v>28354</v>
      </c>
      <c r="I34" s="45">
        <f t="shared" si="0"/>
        <v>1.0332735747579778</v>
      </c>
      <c r="R34" s="26">
        <v>1</v>
      </c>
      <c r="S34" s="27" t="s">
        <v>69</v>
      </c>
      <c r="T34" s="28">
        <v>39766</v>
      </c>
      <c r="U34" s="28">
        <v>39149</v>
      </c>
      <c r="V34" s="28">
        <v>78915</v>
      </c>
      <c r="W34" s="47" t="s">
        <v>80</v>
      </c>
      <c r="X34" s="47" t="s">
        <v>76</v>
      </c>
      <c r="Y34" s="47">
        <v>22718</v>
      </c>
      <c r="Z34" s="47">
        <v>22494</v>
      </c>
      <c r="AA34" s="47">
        <v>45212</v>
      </c>
    </row>
    <row r="35" spans="2:27" ht="15.5" x14ac:dyDescent="0.35">
      <c r="B35" s="22">
        <v>6</v>
      </c>
      <c r="C35" s="22">
        <v>1002</v>
      </c>
      <c r="D35" s="23"/>
      <c r="E35" s="24" t="s">
        <v>81</v>
      </c>
      <c r="F35" s="16">
        <v>12844</v>
      </c>
      <c r="G35" s="16">
        <v>12534</v>
      </c>
      <c r="H35" s="16">
        <v>25378</v>
      </c>
      <c r="I35" s="49">
        <f t="shared" si="0"/>
        <v>1.0247327269826072</v>
      </c>
      <c r="R35" s="26">
        <v>2</v>
      </c>
      <c r="S35" s="27" t="s">
        <v>71</v>
      </c>
      <c r="T35" s="28">
        <v>30869</v>
      </c>
      <c r="U35" s="28">
        <v>31179</v>
      </c>
      <c r="V35" s="28">
        <v>62048</v>
      </c>
      <c r="W35" s="29" t="s">
        <v>82</v>
      </c>
      <c r="X35" s="29" t="s">
        <v>79</v>
      </c>
      <c r="Y35" s="29">
        <v>81210</v>
      </c>
      <c r="Z35" s="29">
        <v>80156</v>
      </c>
      <c r="AA35" s="29">
        <v>161366</v>
      </c>
    </row>
    <row r="36" spans="2:27" ht="15.5" x14ac:dyDescent="0.35">
      <c r="B36" s="22">
        <v>6</v>
      </c>
      <c r="C36" s="22">
        <v>1003</v>
      </c>
      <c r="D36" s="23"/>
      <c r="E36" s="24" t="s">
        <v>83</v>
      </c>
      <c r="F36" s="16">
        <v>38758</v>
      </c>
      <c r="G36" s="16">
        <v>39099</v>
      </c>
      <c r="H36" s="16">
        <v>77857</v>
      </c>
      <c r="I36" s="49">
        <f t="shared" si="0"/>
        <v>0.99127854932351211</v>
      </c>
      <c r="R36" s="26">
        <v>3</v>
      </c>
      <c r="S36" s="27" t="s">
        <v>74</v>
      </c>
      <c r="T36" s="28">
        <v>18351</v>
      </c>
      <c r="U36" s="28">
        <v>18474</v>
      </c>
      <c r="V36" s="28">
        <v>36825</v>
      </c>
      <c r="W36" s="30" t="s">
        <v>84</v>
      </c>
      <c r="X36" s="30" t="s">
        <v>79</v>
      </c>
      <c r="Y36" s="30">
        <v>14393</v>
      </c>
      <c r="Z36" s="30">
        <v>13913</v>
      </c>
      <c r="AA36" s="30">
        <v>28306</v>
      </c>
    </row>
    <row r="37" spans="2:27" ht="16" thickBot="1" x14ac:dyDescent="0.4">
      <c r="B37" s="31">
        <v>6</v>
      </c>
      <c r="C37" s="31">
        <v>1004</v>
      </c>
      <c r="D37" s="32"/>
      <c r="E37" s="33" t="s">
        <v>85</v>
      </c>
      <c r="F37" s="16">
        <v>15731</v>
      </c>
      <c r="G37" s="16">
        <v>15318</v>
      </c>
      <c r="H37" s="16">
        <v>31049</v>
      </c>
      <c r="I37" s="51">
        <f t="shared" si="0"/>
        <v>1.0269617443530488</v>
      </c>
      <c r="R37" s="26">
        <v>4</v>
      </c>
      <c r="S37" s="27" t="s">
        <v>76</v>
      </c>
      <c r="T37" s="28">
        <v>22422</v>
      </c>
      <c r="U37" s="28">
        <v>22188</v>
      </c>
      <c r="V37" s="28">
        <v>44610</v>
      </c>
      <c r="W37" s="30" t="s">
        <v>86</v>
      </c>
      <c r="X37" s="30" t="s">
        <v>81</v>
      </c>
      <c r="Y37" s="30">
        <v>12679</v>
      </c>
      <c r="Z37" s="30">
        <v>12287</v>
      </c>
      <c r="AA37" s="30">
        <v>24966</v>
      </c>
    </row>
    <row r="38" spans="2:27" ht="16" thickBot="1" x14ac:dyDescent="0.4">
      <c r="B38" s="35"/>
      <c r="C38" s="35"/>
      <c r="D38" s="36" t="s">
        <v>87</v>
      </c>
      <c r="E38" s="37"/>
      <c r="F38" s="58">
        <f>SUM(F34:F37)</f>
        <v>81742</v>
      </c>
      <c r="G38" s="58">
        <f>SUM(G34:G37)</f>
        <v>80896</v>
      </c>
      <c r="H38" s="56">
        <f>SUM(H34:H37)</f>
        <v>162638</v>
      </c>
      <c r="I38" s="54"/>
      <c r="R38" s="27"/>
      <c r="S38" s="46" t="s">
        <v>31</v>
      </c>
      <c r="T38" s="46">
        <v>111408</v>
      </c>
      <c r="U38" s="46">
        <v>110990</v>
      </c>
      <c r="V38" s="46">
        <v>222398</v>
      </c>
      <c r="W38" s="30" t="s">
        <v>88</v>
      </c>
      <c r="X38" s="30" t="s">
        <v>83</v>
      </c>
      <c r="Y38" s="30">
        <v>38448</v>
      </c>
      <c r="Z38" s="30">
        <v>38644</v>
      </c>
      <c r="AA38" s="30">
        <v>77092</v>
      </c>
    </row>
    <row r="39" spans="2:27" ht="16" thickBot="1" x14ac:dyDescent="0.4">
      <c r="B39" s="42">
        <v>7</v>
      </c>
      <c r="C39" s="42">
        <v>1003</v>
      </c>
      <c r="D39" s="43"/>
      <c r="E39" s="15" t="s">
        <v>89</v>
      </c>
      <c r="F39" s="16">
        <v>17978</v>
      </c>
      <c r="G39" s="16">
        <v>17354</v>
      </c>
      <c r="H39" s="16">
        <v>35332</v>
      </c>
      <c r="I39" s="17">
        <f t="shared" si="0"/>
        <v>1.0359571280396451</v>
      </c>
      <c r="R39" s="18">
        <v>6</v>
      </c>
      <c r="S39" s="19" t="s">
        <v>79</v>
      </c>
      <c r="T39" s="20">
        <v>79840</v>
      </c>
      <c r="U39" s="20">
        <v>78889</v>
      </c>
      <c r="V39" s="20">
        <v>158729</v>
      </c>
      <c r="W39" s="47" t="s">
        <v>90</v>
      </c>
      <c r="X39" s="47" t="s">
        <v>85</v>
      </c>
      <c r="Y39" s="47">
        <v>15690</v>
      </c>
      <c r="Z39" s="47">
        <v>15312</v>
      </c>
      <c r="AA39" s="47">
        <v>31002</v>
      </c>
    </row>
    <row r="40" spans="2:27" ht="15.5" x14ac:dyDescent="0.35">
      <c r="B40" s="22">
        <v>7</v>
      </c>
      <c r="C40" s="22">
        <v>1004</v>
      </c>
      <c r="D40" s="23"/>
      <c r="E40" s="24" t="s">
        <v>91</v>
      </c>
      <c r="F40" s="16">
        <v>15265</v>
      </c>
      <c r="G40" s="16">
        <v>14577</v>
      </c>
      <c r="H40" s="16">
        <v>29842</v>
      </c>
      <c r="I40" s="25">
        <f t="shared" si="0"/>
        <v>1.0471976401179941</v>
      </c>
      <c r="R40" s="26">
        <v>1</v>
      </c>
      <c r="S40" s="27" t="s">
        <v>79</v>
      </c>
      <c r="T40" s="28">
        <v>14273</v>
      </c>
      <c r="U40" s="28">
        <v>13841</v>
      </c>
      <c r="V40" s="28">
        <v>28114</v>
      </c>
      <c r="W40" s="29" t="s">
        <v>92</v>
      </c>
      <c r="X40" s="29" t="s">
        <v>89</v>
      </c>
      <c r="Y40" s="29">
        <v>59754</v>
      </c>
      <c r="Z40" s="29">
        <v>57632</v>
      </c>
      <c r="AA40" s="29">
        <v>117386</v>
      </c>
    </row>
    <row r="41" spans="2:27" ht="15.5" x14ac:dyDescent="0.35">
      <c r="B41" s="22">
        <v>7</v>
      </c>
      <c r="C41" s="22">
        <v>1007</v>
      </c>
      <c r="D41" s="23"/>
      <c r="E41" s="24" t="s">
        <v>93</v>
      </c>
      <c r="F41" s="16">
        <v>13850</v>
      </c>
      <c r="G41" s="16">
        <v>13413</v>
      </c>
      <c r="H41" s="16">
        <v>27263</v>
      </c>
      <c r="I41" s="25">
        <f t="shared" si="0"/>
        <v>1.0325803325132334</v>
      </c>
      <c r="R41" s="26">
        <v>2</v>
      </c>
      <c r="S41" s="27" t="s">
        <v>81</v>
      </c>
      <c r="T41" s="28">
        <v>12381</v>
      </c>
      <c r="U41" s="28">
        <v>12027</v>
      </c>
      <c r="V41" s="28">
        <v>24408</v>
      </c>
      <c r="W41" s="30" t="s">
        <v>94</v>
      </c>
      <c r="X41" s="30" t="s">
        <v>89</v>
      </c>
      <c r="Y41" s="30">
        <v>17668</v>
      </c>
      <c r="Z41" s="30">
        <v>17003</v>
      </c>
      <c r="AA41" s="30">
        <v>34671</v>
      </c>
    </row>
    <row r="42" spans="2:27" ht="16" thickBot="1" x14ac:dyDescent="0.4">
      <c r="B42" s="31">
        <v>7</v>
      </c>
      <c r="C42" s="31">
        <v>1008</v>
      </c>
      <c r="D42" s="32"/>
      <c r="E42" s="33" t="s">
        <v>95</v>
      </c>
      <c r="F42" s="16">
        <v>14324</v>
      </c>
      <c r="G42" s="16">
        <v>14148</v>
      </c>
      <c r="H42" s="16">
        <v>28472</v>
      </c>
      <c r="I42" s="34">
        <f t="shared" si="0"/>
        <v>1.0124399208368673</v>
      </c>
      <c r="R42" s="26">
        <v>3</v>
      </c>
      <c r="S42" s="27" t="s">
        <v>83</v>
      </c>
      <c r="T42" s="28">
        <v>37677</v>
      </c>
      <c r="U42" s="28">
        <v>37833</v>
      </c>
      <c r="V42" s="28">
        <v>75510</v>
      </c>
      <c r="W42" s="30" t="s">
        <v>96</v>
      </c>
      <c r="X42" s="30" t="s">
        <v>91</v>
      </c>
      <c r="Y42" s="30">
        <v>14953</v>
      </c>
      <c r="Z42" s="30">
        <v>14191</v>
      </c>
      <c r="AA42" s="30">
        <v>29144</v>
      </c>
    </row>
    <row r="43" spans="2:27" ht="16" thickBot="1" x14ac:dyDescent="0.4">
      <c r="B43" s="35"/>
      <c r="C43" s="35"/>
      <c r="D43" s="36" t="s">
        <v>89</v>
      </c>
      <c r="E43" s="37"/>
      <c r="F43" s="58">
        <f>SUM(F39:F42)</f>
        <v>61417</v>
      </c>
      <c r="G43" s="58">
        <f>SUM(G39:G42)</f>
        <v>59492</v>
      </c>
      <c r="H43" s="56">
        <f>SUM(H39:H42)</f>
        <v>120909</v>
      </c>
      <c r="I43" s="57"/>
      <c r="R43" s="26">
        <v>4</v>
      </c>
      <c r="S43" s="27" t="s">
        <v>85</v>
      </c>
      <c r="T43" s="28">
        <v>15509</v>
      </c>
      <c r="U43" s="28">
        <v>15188</v>
      </c>
      <c r="V43" s="28">
        <v>30697</v>
      </c>
      <c r="W43" s="30" t="s">
        <v>97</v>
      </c>
      <c r="X43" s="30" t="s">
        <v>93</v>
      </c>
      <c r="Y43" s="30">
        <v>13409</v>
      </c>
      <c r="Z43" s="30">
        <v>12904</v>
      </c>
      <c r="AA43" s="30">
        <v>26313</v>
      </c>
    </row>
    <row r="44" spans="2:27" ht="16" thickBot="1" x14ac:dyDescent="0.4">
      <c r="B44" s="42">
        <v>8</v>
      </c>
      <c r="C44" s="42">
        <v>1001</v>
      </c>
      <c r="D44" s="43"/>
      <c r="E44" s="15" t="s">
        <v>98</v>
      </c>
      <c r="F44" s="16">
        <v>24010</v>
      </c>
      <c r="G44" s="16">
        <v>24276</v>
      </c>
      <c r="H44" s="16">
        <v>48286</v>
      </c>
      <c r="I44" s="45">
        <f t="shared" si="0"/>
        <v>0.98904267589388695</v>
      </c>
      <c r="R44" s="27"/>
      <c r="S44" s="46" t="s">
        <v>31</v>
      </c>
      <c r="T44" s="46">
        <v>79840</v>
      </c>
      <c r="U44" s="46">
        <v>78889</v>
      </c>
      <c r="V44" s="46">
        <v>158729</v>
      </c>
      <c r="W44" s="47" t="s">
        <v>99</v>
      </c>
      <c r="X44" s="47" t="s">
        <v>95</v>
      </c>
      <c r="Y44" s="47">
        <v>13724</v>
      </c>
      <c r="Z44" s="47">
        <v>13534</v>
      </c>
      <c r="AA44" s="47">
        <v>27258</v>
      </c>
    </row>
    <row r="45" spans="2:27" ht="15.5" x14ac:dyDescent="0.35">
      <c r="B45" s="22">
        <v>8</v>
      </c>
      <c r="C45" s="22">
        <v>1002</v>
      </c>
      <c r="D45" s="23"/>
      <c r="E45" s="24" t="s">
        <v>100</v>
      </c>
      <c r="F45" s="16">
        <v>19169</v>
      </c>
      <c r="G45" s="16">
        <v>19174</v>
      </c>
      <c r="H45" s="16">
        <v>38343</v>
      </c>
      <c r="I45" s="49">
        <f t="shared" si="0"/>
        <v>0.99973923020757272</v>
      </c>
      <c r="R45" s="18">
        <v>7</v>
      </c>
      <c r="S45" s="19" t="s">
        <v>89</v>
      </c>
      <c r="T45" s="20">
        <v>58047</v>
      </c>
      <c r="U45" s="20">
        <v>55941</v>
      </c>
      <c r="V45" s="20">
        <v>113988</v>
      </c>
      <c r="W45" s="29" t="s">
        <v>101</v>
      </c>
      <c r="X45" s="29" t="s">
        <v>102</v>
      </c>
      <c r="Y45" s="29">
        <v>116076</v>
      </c>
      <c r="Z45" s="29">
        <v>116998</v>
      </c>
      <c r="AA45" s="29">
        <v>233074</v>
      </c>
    </row>
    <row r="46" spans="2:27" ht="15.5" x14ac:dyDescent="0.35">
      <c r="B46" s="22">
        <v>8</v>
      </c>
      <c r="C46" s="22">
        <v>1003</v>
      </c>
      <c r="D46" s="23"/>
      <c r="E46" s="24" t="s">
        <v>103</v>
      </c>
      <c r="F46" s="16">
        <v>31335</v>
      </c>
      <c r="G46" s="16">
        <v>31548</v>
      </c>
      <c r="H46" s="16">
        <v>62883</v>
      </c>
      <c r="I46" s="49">
        <f t="shared" si="0"/>
        <v>0.99324838341574739</v>
      </c>
      <c r="R46" s="26">
        <v>1</v>
      </c>
      <c r="S46" s="27" t="s">
        <v>89</v>
      </c>
      <c r="T46" s="28">
        <v>17404</v>
      </c>
      <c r="U46" s="28">
        <v>16801</v>
      </c>
      <c r="V46" s="28">
        <v>34205</v>
      </c>
      <c r="W46" s="30" t="s">
        <v>104</v>
      </c>
      <c r="X46" s="30" t="s">
        <v>98</v>
      </c>
      <c r="Y46" s="30">
        <v>23840</v>
      </c>
      <c r="Z46" s="30">
        <v>24101</v>
      </c>
      <c r="AA46" s="30">
        <v>47941</v>
      </c>
    </row>
    <row r="47" spans="2:27" ht="15.5" x14ac:dyDescent="0.35">
      <c r="B47" s="22">
        <v>8</v>
      </c>
      <c r="C47" s="22">
        <v>1006</v>
      </c>
      <c r="D47" s="23"/>
      <c r="E47" s="24" t="s">
        <v>105</v>
      </c>
      <c r="F47" s="16">
        <v>19643</v>
      </c>
      <c r="G47" s="16">
        <v>20031</v>
      </c>
      <c r="H47" s="16">
        <v>39674</v>
      </c>
      <c r="I47" s="49">
        <f t="shared" si="0"/>
        <v>0.98063002346363137</v>
      </c>
      <c r="R47" s="26">
        <v>2</v>
      </c>
      <c r="S47" s="27" t="s">
        <v>91</v>
      </c>
      <c r="T47" s="28">
        <v>14651</v>
      </c>
      <c r="U47" s="28">
        <v>13887</v>
      </c>
      <c r="V47" s="28">
        <v>28538</v>
      </c>
      <c r="W47" s="30" t="s">
        <v>106</v>
      </c>
      <c r="X47" s="30" t="s">
        <v>100</v>
      </c>
      <c r="Y47" s="30">
        <v>19027</v>
      </c>
      <c r="Z47" s="30">
        <v>19027</v>
      </c>
      <c r="AA47" s="30">
        <v>38054</v>
      </c>
    </row>
    <row r="48" spans="2:27" ht="16" thickBot="1" x14ac:dyDescent="0.4">
      <c r="B48" s="31">
        <v>8</v>
      </c>
      <c r="C48" s="31">
        <v>1007</v>
      </c>
      <c r="D48" s="32"/>
      <c r="E48" s="33" t="s">
        <v>107</v>
      </c>
      <c r="F48" s="16">
        <v>22959</v>
      </c>
      <c r="G48" s="16">
        <v>23257</v>
      </c>
      <c r="H48" s="16">
        <v>46216</v>
      </c>
      <c r="I48" s="51">
        <f t="shared" si="0"/>
        <v>0.98718665348067247</v>
      </c>
      <c r="R48" s="26">
        <v>3</v>
      </c>
      <c r="S48" s="27" t="s">
        <v>93</v>
      </c>
      <c r="T48" s="28">
        <v>12964</v>
      </c>
      <c r="U48" s="28">
        <v>12429</v>
      </c>
      <c r="V48" s="28">
        <v>25393</v>
      </c>
      <c r="W48" s="30" t="s">
        <v>108</v>
      </c>
      <c r="X48" s="30" t="s">
        <v>103</v>
      </c>
      <c r="Y48" s="30">
        <v>30922</v>
      </c>
      <c r="Z48" s="30">
        <v>31084</v>
      </c>
      <c r="AA48" s="30">
        <v>62006</v>
      </c>
    </row>
    <row r="49" spans="2:27" ht="16" thickBot="1" x14ac:dyDescent="0.4">
      <c r="B49" s="35"/>
      <c r="C49" s="35"/>
      <c r="D49" s="36" t="s">
        <v>102</v>
      </c>
      <c r="E49" s="37"/>
      <c r="F49" s="58">
        <f>SUM(F44:F48)</f>
        <v>117116</v>
      </c>
      <c r="G49" s="58">
        <f>SUM(G44:G48)</f>
        <v>118286</v>
      </c>
      <c r="H49" s="56">
        <f>SUM(H44:H48)</f>
        <v>235402</v>
      </c>
      <c r="I49" s="54"/>
      <c r="R49" s="26">
        <v>4</v>
      </c>
      <c r="S49" s="27" t="s">
        <v>95</v>
      </c>
      <c r="T49" s="28">
        <v>13028</v>
      </c>
      <c r="U49" s="28">
        <v>12824</v>
      </c>
      <c r="V49" s="28">
        <v>25852</v>
      </c>
      <c r="W49" s="30" t="s">
        <v>109</v>
      </c>
      <c r="X49" s="30" t="s">
        <v>105</v>
      </c>
      <c r="Y49" s="30">
        <v>19420</v>
      </c>
      <c r="Z49" s="30">
        <v>19629</v>
      </c>
      <c r="AA49" s="30">
        <v>39049</v>
      </c>
    </row>
    <row r="50" spans="2:27" ht="16" thickBot="1" x14ac:dyDescent="0.4">
      <c r="B50" s="42">
        <v>9</v>
      </c>
      <c r="C50" s="42">
        <v>1001</v>
      </c>
      <c r="D50" s="43"/>
      <c r="E50" s="15" t="s">
        <v>110</v>
      </c>
      <c r="F50" s="16">
        <v>21053</v>
      </c>
      <c r="G50" s="16">
        <v>21123</v>
      </c>
      <c r="H50" s="16">
        <v>42176</v>
      </c>
      <c r="I50" s="17">
        <f t="shared" si="0"/>
        <v>0.99668607678833498</v>
      </c>
      <c r="R50" s="27"/>
      <c r="S50" s="46" t="s">
        <v>31</v>
      </c>
      <c r="T50" s="46">
        <v>58047</v>
      </c>
      <c r="U50" s="46">
        <v>55941</v>
      </c>
      <c r="V50" s="46">
        <v>113988</v>
      </c>
      <c r="W50" s="47" t="s">
        <v>111</v>
      </c>
      <c r="X50" s="47" t="s">
        <v>107</v>
      </c>
      <c r="Y50" s="47">
        <v>22867</v>
      </c>
      <c r="Z50" s="47">
        <v>23157</v>
      </c>
      <c r="AA50" s="47">
        <v>46024</v>
      </c>
    </row>
    <row r="51" spans="2:27" ht="15.5" x14ac:dyDescent="0.35">
      <c r="B51" s="22">
        <v>9</v>
      </c>
      <c r="C51" s="22">
        <v>1002</v>
      </c>
      <c r="D51" s="23"/>
      <c r="E51" s="24" t="s">
        <v>112</v>
      </c>
      <c r="F51" s="16">
        <v>19375</v>
      </c>
      <c r="G51" s="16">
        <v>19468</v>
      </c>
      <c r="H51" s="16">
        <v>38843</v>
      </c>
      <c r="I51" s="25">
        <f t="shared" si="0"/>
        <v>0.99522292993630568</v>
      </c>
      <c r="R51" s="18">
        <v>8</v>
      </c>
      <c r="S51" s="19" t="s">
        <v>102</v>
      </c>
      <c r="T51" s="20">
        <v>113443</v>
      </c>
      <c r="U51" s="20">
        <v>113980</v>
      </c>
      <c r="V51" s="20">
        <v>227423</v>
      </c>
      <c r="W51" s="29" t="s">
        <v>113</v>
      </c>
      <c r="X51" s="29" t="s">
        <v>112</v>
      </c>
      <c r="Y51" s="29">
        <v>123435</v>
      </c>
      <c r="Z51" s="29">
        <v>124208</v>
      </c>
      <c r="AA51" s="29">
        <v>247643</v>
      </c>
    </row>
    <row r="52" spans="2:27" ht="15.5" x14ac:dyDescent="0.35">
      <c r="B52" s="22">
        <v>9</v>
      </c>
      <c r="C52" s="22">
        <v>1003</v>
      </c>
      <c r="D52" s="23"/>
      <c r="E52" s="24" t="s">
        <v>114</v>
      </c>
      <c r="F52" s="16">
        <v>23678</v>
      </c>
      <c r="G52" s="16">
        <v>23999</v>
      </c>
      <c r="H52" s="16">
        <v>47677</v>
      </c>
      <c r="I52" s="25">
        <f t="shared" si="0"/>
        <v>0.98662444268511185</v>
      </c>
      <c r="R52" s="26">
        <v>1</v>
      </c>
      <c r="S52" s="27" t="s">
        <v>98</v>
      </c>
      <c r="T52" s="28">
        <v>23582</v>
      </c>
      <c r="U52" s="28">
        <v>23724</v>
      </c>
      <c r="V52" s="28">
        <v>47306</v>
      </c>
      <c r="W52" s="30" t="s">
        <v>115</v>
      </c>
      <c r="X52" s="30" t="s">
        <v>110</v>
      </c>
      <c r="Y52" s="30">
        <v>20674</v>
      </c>
      <c r="Z52" s="30">
        <v>20741</v>
      </c>
      <c r="AA52" s="30">
        <v>41415</v>
      </c>
    </row>
    <row r="53" spans="2:27" ht="15.5" x14ac:dyDescent="0.35">
      <c r="B53" s="22">
        <v>9</v>
      </c>
      <c r="C53" s="22">
        <v>1004</v>
      </c>
      <c r="D53" s="23"/>
      <c r="E53" s="24" t="s">
        <v>116</v>
      </c>
      <c r="F53" s="16">
        <v>21064</v>
      </c>
      <c r="G53" s="16">
        <v>21168</v>
      </c>
      <c r="H53" s="16">
        <v>42232</v>
      </c>
      <c r="I53" s="25">
        <f t="shared" si="0"/>
        <v>0.99508692365835227</v>
      </c>
      <c r="R53" s="26">
        <v>2</v>
      </c>
      <c r="S53" s="27" t="s">
        <v>100</v>
      </c>
      <c r="T53" s="28">
        <v>18653</v>
      </c>
      <c r="U53" s="28">
        <v>18656</v>
      </c>
      <c r="V53" s="28">
        <v>37309</v>
      </c>
      <c r="W53" s="30" t="s">
        <v>117</v>
      </c>
      <c r="X53" s="30" t="s">
        <v>112</v>
      </c>
      <c r="Y53" s="30">
        <v>19195</v>
      </c>
      <c r="Z53" s="30">
        <v>19208</v>
      </c>
      <c r="AA53" s="30">
        <v>38403</v>
      </c>
    </row>
    <row r="54" spans="2:27" ht="15.5" x14ac:dyDescent="0.35">
      <c r="B54" s="22">
        <v>9</v>
      </c>
      <c r="C54" s="22">
        <v>1005</v>
      </c>
      <c r="D54" s="23"/>
      <c r="E54" s="24" t="s">
        <v>118</v>
      </c>
      <c r="F54" s="16">
        <v>18673</v>
      </c>
      <c r="G54" s="16">
        <v>18982</v>
      </c>
      <c r="H54" s="16">
        <v>37655</v>
      </c>
      <c r="I54" s="25">
        <f t="shared" si="0"/>
        <v>0.9837214202929091</v>
      </c>
      <c r="R54" s="26">
        <v>3</v>
      </c>
      <c r="S54" s="27" t="s">
        <v>103</v>
      </c>
      <c r="T54" s="28">
        <v>30216</v>
      </c>
      <c r="U54" s="28">
        <v>30215</v>
      </c>
      <c r="V54" s="28">
        <v>60431</v>
      </c>
      <c r="W54" s="30" t="s">
        <v>119</v>
      </c>
      <c r="X54" s="30" t="s">
        <v>114</v>
      </c>
      <c r="Y54" s="30">
        <v>23284</v>
      </c>
      <c r="Z54" s="30">
        <v>23576</v>
      </c>
      <c r="AA54" s="30">
        <v>46860</v>
      </c>
    </row>
    <row r="55" spans="2:27" ht="16" thickBot="1" x14ac:dyDescent="0.4">
      <c r="B55" s="31">
        <v>9</v>
      </c>
      <c r="C55" s="31">
        <v>1006</v>
      </c>
      <c r="D55" s="32"/>
      <c r="E55" s="33" t="s">
        <v>120</v>
      </c>
      <c r="F55" s="16">
        <v>22107</v>
      </c>
      <c r="G55" s="16">
        <v>22300</v>
      </c>
      <c r="H55" s="16">
        <v>44407</v>
      </c>
      <c r="I55" s="34">
        <f t="shared" si="0"/>
        <v>0.99134529147982065</v>
      </c>
      <c r="R55" s="26">
        <v>4</v>
      </c>
      <c r="S55" s="27" t="s">
        <v>105</v>
      </c>
      <c r="T55" s="28">
        <v>18868</v>
      </c>
      <c r="U55" s="28">
        <v>18995</v>
      </c>
      <c r="V55" s="28">
        <v>37863</v>
      </c>
      <c r="W55" s="30" t="s">
        <v>121</v>
      </c>
      <c r="X55" s="30" t="s">
        <v>116</v>
      </c>
      <c r="Y55" s="30">
        <v>20787</v>
      </c>
      <c r="Z55" s="30">
        <v>20755</v>
      </c>
      <c r="AA55" s="30">
        <v>41542</v>
      </c>
    </row>
    <row r="56" spans="2:27" ht="16" thickBot="1" x14ac:dyDescent="0.4">
      <c r="B56" s="35"/>
      <c r="C56" s="35"/>
      <c r="D56" s="36" t="s">
        <v>112</v>
      </c>
      <c r="E56" s="37"/>
      <c r="F56" s="58">
        <f>SUM(F50:F55)</f>
        <v>125950</v>
      </c>
      <c r="G56" s="58">
        <f>SUM(G50:G55)</f>
        <v>127040</v>
      </c>
      <c r="H56" s="56">
        <f>SUM(H50:H55)</f>
        <v>252990</v>
      </c>
      <c r="I56" s="57"/>
      <c r="R56" s="26">
        <v>5</v>
      </c>
      <c r="S56" s="27" t="s">
        <v>107</v>
      </c>
      <c r="T56" s="28">
        <v>22124</v>
      </c>
      <c r="U56" s="28">
        <v>22390</v>
      </c>
      <c r="V56" s="28">
        <v>44514</v>
      </c>
      <c r="W56" s="30" t="s">
        <v>122</v>
      </c>
      <c r="X56" s="30" t="s">
        <v>118</v>
      </c>
      <c r="Y56" s="30">
        <v>18061</v>
      </c>
      <c r="Z56" s="30">
        <v>18327</v>
      </c>
      <c r="AA56" s="30">
        <v>36388</v>
      </c>
    </row>
    <row r="57" spans="2:27" ht="16" thickBot="1" x14ac:dyDescent="0.4">
      <c r="B57" s="42">
        <v>10</v>
      </c>
      <c r="C57" s="42">
        <v>1001</v>
      </c>
      <c r="D57" s="43"/>
      <c r="E57" s="15" t="s">
        <v>123</v>
      </c>
      <c r="F57" s="16">
        <v>15990</v>
      </c>
      <c r="G57" s="16">
        <v>16349</v>
      </c>
      <c r="H57" s="16">
        <v>32339</v>
      </c>
      <c r="I57" s="45">
        <f t="shared" si="0"/>
        <v>0.97804147042632572</v>
      </c>
      <c r="R57" s="27"/>
      <c r="S57" s="46" t="s">
        <v>31</v>
      </c>
      <c r="T57" s="46">
        <v>113443</v>
      </c>
      <c r="U57" s="46">
        <v>113980</v>
      </c>
      <c r="V57" s="46">
        <v>227423</v>
      </c>
      <c r="W57" s="47" t="s">
        <v>124</v>
      </c>
      <c r="X57" s="47" t="s">
        <v>120</v>
      </c>
      <c r="Y57" s="47">
        <v>21434</v>
      </c>
      <c r="Z57" s="47">
        <v>21601</v>
      </c>
      <c r="AA57" s="47">
        <v>43035</v>
      </c>
    </row>
    <row r="58" spans="2:27" ht="15.5" x14ac:dyDescent="0.35">
      <c r="B58" s="22">
        <v>10</v>
      </c>
      <c r="C58" s="22">
        <v>1002</v>
      </c>
      <c r="D58" s="23"/>
      <c r="E58" s="24" t="s">
        <v>125</v>
      </c>
      <c r="F58" s="16">
        <v>8325</v>
      </c>
      <c r="G58" s="16">
        <v>8848</v>
      </c>
      <c r="H58" s="16">
        <v>17173</v>
      </c>
      <c r="I58" s="49">
        <f t="shared" si="0"/>
        <v>0.94089059674502717</v>
      </c>
      <c r="R58" s="18">
        <v>9</v>
      </c>
      <c r="S58" s="19" t="s">
        <v>112</v>
      </c>
      <c r="T58" s="20">
        <v>119326</v>
      </c>
      <c r="U58" s="20">
        <v>119833</v>
      </c>
      <c r="V58" s="20">
        <v>239159</v>
      </c>
      <c r="W58" s="29" t="s">
        <v>126</v>
      </c>
      <c r="X58" s="29" t="s">
        <v>123</v>
      </c>
      <c r="Y58" s="29">
        <v>59725</v>
      </c>
      <c r="Z58" s="29">
        <v>60324</v>
      </c>
      <c r="AA58" s="29">
        <v>120049</v>
      </c>
    </row>
    <row r="59" spans="2:27" ht="15.5" x14ac:dyDescent="0.35">
      <c r="B59" s="22">
        <v>10</v>
      </c>
      <c r="C59" s="22">
        <v>1003</v>
      </c>
      <c r="D59" s="23"/>
      <c r="E59" s="24" t="s">
        <v>127</v>
      </c>
      <c r="F59" s="16">
        <v>15206</v>
      </c>
      <c r="G59" s="16">
        <v>15258</v>
      </c>
      <c r="H59" s="16">
        <v>30464</v>
      </c>
      <c r="I59" s="49">
        <f t="shared" si="0"/>
        <v>0.99659195176300952</v>
      </c>
      <c r="R59" s="26">
        <v>1</v>
      </c>
      <c r="S59" s="27" t="s">
        <v>110</v>
      </c>
      <c r="T59" s="28">
        <v>20089</v>
      </c>
      <c r="U59" s="28">
        <v>20179</v>
      </c>
      <c r="V59" s="28">
        <v>40268</v>
      </c>
      <c r="W59" s="30" t="s">
        <v>128</v>
      </c>
      <c r="X59" s="30" t="s">
        <v>123</v>
      </c>
      <c r="Y59" s="30">
        <v>15729</v>
      </c>
      <c r="Z59" s="30">
        <v>15953</v>
      </c>
      <c r="AA59" s="30">
        <v>31682</v>
      </c>
    </row>
    <row r="60" spans="2:27" ht="15.5" x14ac:dyDescent="0.35">
      <c r="B60" s="22">
        <v>10</v>
      </c>
      <c r="C60" s="22">
        <v>1004</v>
      </c>
      <c r="D60" s="23"/>
      <c r="E60" s="24" t="s">
        <v>129</v>
      </c>
      <c r="F60" s="16">
        <v>10234</v>
      </c>
      <c r="G60" s="16">
        <v>10208</v>
      </c>
      <c r="H60" s="16">
        <v>20442</v>
      </c>
      <c r="I60" s="49">
        <f t="shared" si="0"/>
        <v>1.0025470219435737</v>
      </c>
      <c r="R60" s="26">
        <v>2</v>
      </c>
      <c r="S60" s="27" t="s">
        <v>112</v>
      </c>
      <c r="T60" s="28">
        <v>18828</v>
      </c>
      <c r="U60" s="28">
        <v>18850</v>
      </c>
      <c r="V60" s="28">
        <v>37678</v>
      </c>
      <c r="W60" s="30" t="s">
        <v>130</v>
      </c>
      <c r="X60" s="30" t="s">
        <v>125</v>
      </c>
      <c r="Y60" s="30">
        <v>8023</v>
      </c>
      <c r="Z60" s="30">
        <v>8581</v>
      </c>
      <c r="AA60" s="30">
        <v>16604</v>
      </c>
    </row>
    <row r="61" spans="2:27" ht="16" thickBot="1" x14ac:dyDescent="0.4">
      <c r="B61" s="31">
        <v>10</v>
      </c>
      <c r="C61" s="31">
        <v>1005</v>
      </c>
      <c r="D61" s="32"/>
      <c r="E61" s="33" t="s">
        <v>131</v>
      </c>
      <c r="F61" s="16">
        <v>11855</v>
      </c>
      <c r="G61" s="16">
        <v>11792</v>
      </c>
      <c r="H61" s="16">
        <v>23647</v>
      </c>
      <c r="I61" s="51">
        <f t="shared" si="0"/>
        <v>1.0053426051560379</v>
      </c>
      <c r="R61" s="26">
        <v>3</v>
      </c>
      <c r="S61" s="27" t="s">
        <v>114</v>
      </c>
      <c r="T61" s="28">
        <v>22680</v>
      </c>
      <c r="U61" s="28">
        <v>22894</v>
      </c>
      <c r="V61" s="28">
        <v>45574</v>
      </c>
      <c r="W61" s="30" t="s">
        <v>132</v>
      </c>
      <c r="X61" s="30" t="s">
        <v>127</v>
      </c>
      <c r="Y61" s="30">
        <v>14821</v>
      </c>
      <c r="Z61" s="30">
        <v>14828</v>
      </c>
      <c r="AA61" s="30">
        <v>29649</v>
      </c>
    </row>
    <row r="62" spans="2:27" ht="16" thickBot="1" x14ac:dyDescent="0.4">
      <c r="B62" s="35"/>
      <c r="C62" s="35"/>
      <c r="D62" s="36" t="s">
        <v>123</v>
      </c>
      <c r="E62" s="37"/>
      <c r="F62" s="58">
        <f>SUM(F57:F61)</f>
        <v>61610</v>
      </c>
      <c r="G62" s="58">
        <f>SUM(G57:G61)</f>
        <v>62455</v>
      </c>
      <c r="H62" s="56">
        <f>SUM(H57:H61)</f>
        <v>124065</v>
      </c>
      <c r="I62" s="54"/>
      <c r="R62" s="26">
        <v>4</v>
      </c>
      <c r="S62" s="27" t="s">
        <v>116</v>
      </c>
      <c r="T62" s="28">
        <v>20316</v>
      </c>
      <c r="U62" s="28">
        <v>20205</v>
      </c>
      <c r="V62" s="28">
        <v>40521</v>
      </c>
      <c r="W62" s="30" t="s">
        <v>133</v>
      </c>
      <c r="X62" s="30" t="s">
        <v>129</v>
      </c>
      <c r="Y62" s="30">
        <v>9730</v>
      </c>
      <c r="Z62" s="30">
        <v>9676</v>
      </c>
      <c r="AA62" s="30">
        <v>19406</v>
      </c>
    </row>
    <row r="63" spans="2:27" ht="16" thickBot="1" x14ac:dyDescent="0.4">
      <c r="B63" s="42">
        <v>11</v>
      </c>
      <c r="C63" s="42">
        <v>1001</v>
      </c>
      <c r="D63" s="43"/>
      <c r="E63" s="15" t="s">
        <v>134</v>
      </c>
      <c r="F63" s="16">
        <v>30690</v>
      </c>
      <c r="G63" s="16">
        <v>30216</v>
      </c>
      <c r="H63" s="16">
        <v>60906</v>
      </c>
      <c r="I63" s="17">
        <f t="shared" si="0"/>
        <v>1.0156870532168387</v>
      </c>
      <c r="R63" s="26">
        <v>5</v>
      </c>
      <c r="S63" s="27" t="s">
        <v>118</v>
      </c>
      <c r="T63" s="28">
        <v>17179</v>
      </c>
      <c r="U63" s="28">
        <v>17296</v>
      </c>
      <c r="V63" s="28">
        <v>34475</v>
      </c>
      <c r="W63" s="47" t="s">
        <v>135</v>
      </c>
      <c r="X63" s="47" t="s">
        <v>131</v>
      </c>
      <c r="Y63" s="47">
        <v>11422</v>
      </c>
      <c r="Z63" s="47">
        <v>11286</v>
      </c>
      <c r="AA63" s="47">
        <v>22708</v>
      </c>
    </row>
    <row r="64" spans="2:27" ht="15.5" x14ac:dyDescent="0.35">
      <c r="B64" s="22">
        <v>11</v>
      </c>
      <c r="C64" s="22">
        <v>1002</v>
      </c>
      <c r="D64" s="23"/>
      <c r="E64" s="24" t="s">
        <v>136</v>
      </c>
      <c r="F64" s="16">
        <v>23652</v>
      </c>
      <c r="G64" s="16">
        <v>23863</v>
      </c>
      <c r="H64" s="16">
        <v>47515</v>
      </c>
      <c r="I64" s="25">
        <f t="shared" si="0"/>
        <v>0.99115785944768053</v>
      </c>
      <c r="R64" s="26">
        <v>6</v>
      </c>
      <c r="S64" s="27" t="s">
        <v>120</v>
      </c>
      <c r="T64" s="28">
        <v>20234</v>
      </c>
      <c r="U64" s="28">
        <v>20409</v>
      </c>
      <c r="V64" s="28">
        <v>40643</v>
      </c>
      <c r="W64" s="29" t="s">
        <v>137</v>
      </c>
      <c r="X64" s="29" t="s">
        <v>138</v>
      </c>
      <c r="Y64" s="29">
        <v>112547</v>
      </c>
      <c r="Z64" s="29">
        <v>111944</v>
      </c>
      <c r="AA64" s="29">
        <v>224491</v>
      </c>
    </row>
    <row r="65" spans="2:27" ht="15.5" x14ac:dyDescent="0.35">
      <c r="B65" s="22">
        <v>11</v>
      </c>
      <c r="C65" s="22">
        <v>1003</v>
      </c>
      <c r="D65" s="23"/>
      <c r="E65" s="24" t="s">
        <v>138</v>
      </c>
      <c r="F65" s="16">
        <v>40843</v>
      </c>
      <c r="G65" s="16">
        <v>41131</v>
      </c>
      <c r="H65" s="16">
        <v>81974</v>
      </c>
      <c r="I65" s="25">
        <f t="shared" si="0"/>
        <v>0.99299798205732903</v>
      </c>
      <c r="R65" s="27"/>
      <c r="S65" s="46" t="s">
        <v>31</v>
      </c>
      <c r="T65" s="46">
        <v>119326</v>
      </c>
      <c r="U65" s="46">
        <v>119833</v>
      </c>
      <c r="V65" s="46">
        <v>239159</v>
      </c>
      <c r="W65" s="30" t="s">
        <v>139</v>
      </c>
      <c r="X65" s="30" t="s">
        <v>134</v>
      </c>
      <c r="Y65" s="30">
        <v>29652</v>
      </c>
      <c r="Z65" s="30">
        <v>29132</v>
      </c>
      <c r="AA65" s="30">
        <v>58784</v>
      </c>
    </row>
    <row r="66" spans="2:27" ht="16" thickBot="1" x14ac:dyDescent="0.4">
      <c r="B66" s="31">
        <v>11</v>
      </c>
      <c r="C66" s="31">
        <v>1004</v>
      </c>
      <c r="D66" s="32"/>
      <c r="E66" s="33" t="s">
        <v>140</v>
      </c>
      <c r="F66" s="16">
        <v>20759</v>
      </c>
      <c r="G66" s="16">
        <v>20446</v>
      </c>
      <c r="H66" s="16">
        <v>41205</v>
      </c>
      <c r="I66" s="34">
        <f t="shared" si="0"/>
        <v>1.015308617822557</v>
      </c>
      <c r="R66" s="18">
        <v>10</v>
      </c>
      <c r="S66" s="19" t="s">
        <v>123</v>
      </c>
      <c r="T66" s="20">
        <v>56912</v>
      </c>
      <c r="U66" s="20">
        <v>57196</v>
      </c>
      <c r="V66" s="20">
        <v>114108</v>
      </c>
      <c r="W66" s="30" t="s">
        <v>141</v>
      </c>
      <c r="X66" s="30" t="s">
        <v>136</v>
      </c>
      <c r="Y66" s="30">
        <v>22787</v>
      </c>
      <c r="Z66" s="30">
        <v>22946</v>
      </c>
      <c r="AA66" s="30">
        <v>45733</v>
      </c>
    </row>
    <row r="67" spans="2:27" ht="16" thickBot="1" x14ac:dyDescent="0.4">
      <c r="B67" s="35"/>
      <c r="C67" s="35"/>
      <c r="D67" s="36" t="s">
        <v>142</v>
      </c>
      <c r="E67" s="37"/>
      <c r="F67" s="55">
        <f>SUM(F63:F66)</f>
        <v>115944</v>
      </c>
      <c r="G67" s="55">
        <f>SUM(G63:G66)</f>
        <v>115656</v>
      </c>
      <c r="H67" s="56">
        <f>SUM(H63:H66)</f>
        <v>231600</v>
      </c>
      <c r="I67" s="57"/>
      <c r="R67" s="26">
        <v>1</v>
      </c>
      <c r="S67" s="27" t="s">
        <v>123</v>
      </c>
      <c r="T67" s="28">
        <v>15229</v>
      </c>
      <c r="U67" s="28">
        <v>15398</v>
      </c>
      <c r="V67" s="28">
        <v>30627</v>
      </c>
      <c r="W67" s="30" t="s">
        <v>143</v>
      </c>
      <c r="X67" s="30" t="s">
        <v>138</v>
      </c>
      <c r="Y67" s="30">
        <v>39880</v>
      </c>
      <c r="Z67" s="30">
        <v>40021</v>
      </c>
      <c r="AA67" s="30">
        <v>79901</v>
      </c>
    </row>
    <row r="68" spans="2:27" ht="16" thickBot="1" x14ac:dyDescent="0.4">
      <c r="B68" s="42">
        <v>12</v>
      </c>
      <c r="C68" s="42">
        <v>1001</v>
      </c>
      <c r="D68" s="43"/>
      <c r="E68" s="15" t="s">
        <v>144</v>
      </c>
      <c r="F68" s="16">
        <v>29279</v>
      </c>
      <c r="G68" s="16">
        <v>29620</v>
      </c>
      <c r="H68" s="16">
        <v>58899</v>
      </c>
      <c r="I68" s="45">
        <f t="shared" si="0"/>
        <v>0.98848750844024313</v>
      </c>
      <c r="R68" s="26">
        <v>2</v>
      </c>
      <c r="S68" s="27" t="s">
        <v>125</v>
      </c>
      <c r="T68" s="28">
        <v>7648</v>
      </c>
      <c r="U68" s="28">
        <v>8133</v>
      </c>
      <c r="V68" s="28">
        <v>15781</v>
      </c>
      <c r="W68" s="47" t="s">
        <v>145</v>
      </c>
      <c r="X68" s="47" t="s">
        <v>140</v>
      </c>
      <c r="Y68" s="47">
        <v>20228</v>
      </c>
      <c r="Z68" s="47">
        <v>19845</v>
      </c>
      <c r="AA68" s="47">
        <v>40073</v>
      </c>
    </row>
    <row r="69" spans="2:27" ht="15.5" x14ac:dyDescent="0.35">
      <c r="B69" s="22">
        <v>12</v>
      </c>
      <c r="C69" s="22">
        <v>1002</v>
      </c>
      <c r="D69" s="23"/>
      <c r="E69" s="24" t="s">
        <v>146</v>
      </c>
      <c r="F69" s="16">
        <v>11807</v>
      </c>
      <c r="G69" s="16">
        <v>11997</v>
      </c>
      <c r="H69" s="16">
        <v>23804</v>
      </c>
      <c r="I69" s="49">
        <f t="shared" si="0"/>
        <v>0.98416270734350253</v>
      </c>
      <c r="R69" s="26">
        <v>3</v>
      </c>
      <c r="S69" s="27" t="s">
        <v>127</v>
      </c>
      <c r="T69" s="28">
        <v>14054</v>
      </c>
      <c r="U69" s="28">
        <v>13972</v>
      </c>
      <c r="V69" s="28">
        <v>28026</v>
      </c>
      <c r="W69" s="29" t="s">
        <v>147</v>
      </c>
      <c r="X69" s="29" t="s">
        <v>148</v>
      </c>
      <c r="Y69" s="29">
        <v>66241</v>
      </c>
      <c r="Z69" s="29">
        <v>66304</v>
      </c>
      <c r="AA69" s="29">
        <v>132545</v>
      </c>
    </row>
    <row r="70" spans="2:27" ht="15.5" x14ac:dyDescent="0.35">
      <c r="B70" s="22">
        <v>12</v>
      </c>
      <c r="C70" s="22">
        <v>1003</v>
      </c>
      <c r="D70" s="23"/>
      <c r="E70" s="24" t="s">
        <v>149</v>
      </c>
      <c r="F70" s="16">
        <v>11317</v>
      </c>
      <c r="G70" s="16">
        <v>11259</v>
      </c>
      <c r="H70" s="16">
        <v>22576</v>
      </c>
      <c r="I70" s="49">
        <f t="shared" si="0"/>
        <v>1.0051514344080292</v>
      </c>
      <c r="R70" s="26">
        <v>4</v>
      </c>
      <c r="S70" s="27" t="s">
        <v>129</v>
      </c>
      <c r="T70" s="28">
        <v>9208</v>
      </c>
      <c r="U70" s="28">
        <v>9108</v>
      </c>
      <c r="V70" s="28">
        <v>18316</v>
      </c>
      <c r="W70" s="30" t="s">
        <v>150</v>
      </c>
      <c r="X70" s="30" t="s">
        <v>144</v>
      </c>
      <c r="Y70" s="30">
        <v>29231</v>
      </c>
      <c r="Z70" s="30">
        <v>29418</v>
      </c>
      <c r="AA70" s="30">
        <v>58649</v>
      </c>
    </row>
    <row r="71" spans="2:27" ht="16" thickBot="1" x14ac:dyDescent="0.4">
      <c r="B71" s="31">
        <v>12</v>
      </c>
      <c r="C71" s="31">
        <v>1004</v>
      </c>
      <c r="D71" s="32"/>
      <c r="E71" s="33" t="s">
        <v>151</v>
      </c>
      <c r="F71" s="16">
        <v>14356</v>
      </c>
      <c r="G71" s="16">
        <v>14329</v>
      </c>
      <c r="H71" s="16">
        <v>28685</v>
      </c>
      <c r="I71" s="51">
        <f t="shared" si="0"/>
        <v>1.0018842905994836</v>
      </c>
      <c r="R71" s="26">
        <v>5</v>
      </c>
      <c r="S71" s="27" t="s">
        <v>131</v>
      </c>
      <c r="T71" s="28">
        <v>10773</v>
      </c>
      <c r="U71" s="28">
        <v>10585</v>
      </c>
      <c r="V71" s="28">
        <v>21358</v>
      </c>
      <c r="W71" s="30" t="s">
        <v>152</v>
      </c>
      <c r="X71" s="30" t="s">
        <v>146</v>
      </c>
      <c r="Y71" s="30">
        <v>11705</v>
      </c>
      <c r="Z71" s="30">
        <v>11831</v>
      </c>
      <c r="AA71" s="30">
        <v>23536</v>
      </c>
    </row>
    <row r="72" spans="2:27" ht="16" thickBot="1" x14ac:dyDescent="0.4">
      <c r="B72" s="59"/>
      <c r="C72" s="59"/>
      <c r="D72" s="60" t="s">
        <v>153</v>
      </c>
      <c r="E72" s="37"/>
      <c r="F72" s="61">
        <f>SUM(F68:F71)</f>
        <v>66759</v>
      </c>
      <c r="G72" s="58">
        <f>SUM(G68:G71)</f>
        <v>67205</v>
      </c>
      <c r="H72" s="58">
        <f>SUM(H68:H71)</f>
        <v>133964</v>
      </c>
      <c r="I72" s="54"/>
      <c r="R72" s="27"/>
      <c r="S72" s="46" t="s">
        <v>31</v>
      </c>
      <c r="T72" s="46">
        <v>56912</v>
      </c>
      <c r="U72" s="46">
        <v>57196</v>
      </c>
      <c r="V72" s="46">
        <v>114108</v>
      </c>
      <c r="W72" s="30" t="s">
        <v>154</v>
      </c>
      <c r="X72" s="30" t="s">
        <v>149</v>
      </c>
      <c r="Y72" s="30">
        <v>11189</v>
      </c>
      <c r="Z72" s="30">
        <v>11035</v>
      </c>
      <c r="AA72" s="30">
        <v>22224</v>
      </c>
    </row>
    <row r="73" spans="2:27" ht="18.5" thickBot="1" x14ac:dyDescent="0.4">
      <c r="B73" s="636" t="s">
        <v>7</v>
      </c>
      <c r="C73" s="636"/>
      <c r="D73" s="636"/>
      <c r="E73" s="637"/>
      <c r="F73" s="62">
        <f>SUM(F9,F15,F22,F28,F33,F38,F43,F49,F56,F62,F67,F72)</f>
        <v>1300822</v>
      </c>
      <c r="G73" s="63">
        <f>SUM(G9,G15,G22,G28,G33,G38,G43,G49,G56,G62,G67,G72)</f>
        <v>1306426</v>
      </c>
      <c r="H73" s="63">
        <f>SUM(H9,H15,H22,H28,H33,H38,H43,H49,H56,H62,H67,H72)</f>
        <v>2607248</v>
      </c>
      <c r="I73" s="64">
        <f>F73/G73</f>
        <v>0.99571043442185014</v>
      </c>
      <c r="K73" s="41"/>
      <c r="M73" s="65">
        <f>210.49</f>
        <v>210.49</v>
      </c>
      <c r="N73" s="65"/>
      <c r="O73" s="66">
        <f>H73/M73</f>
        <v>12386.564682407714</v>
      </c>
      <c r="R73" s="18">
        <v>11</v>
      </c>
      <c r="S73" s="19" t="s">
        <v>138</v>
      </c>
      <c r="T73" s="20">
        <v>108783</v>
      </c>
      <c r="U73" s="20">
        <v>107821</v>
      </c>
      <c r="V73" s="20">
        <v>216604</v>
      </c>
      <c r="W73" s="47" t="s">
        <v>155</v>
      </c>
      <c r="X73" s="47" t="s">
        <v>151</v>
      </c>
      <c r="Y73" s="47">
        <v>14116</v>
      </c>
      <c r="Z73" s="47">
        <v>14020</v>
      </c>
      <c r="AA73" s="47">
        <v>28136</v>
      </c>
    </row>
    <row r="74" spans="2:27" ht="18" x14ac:dyDescent="0.4">
      <c r="B74" s="638" t="s">
        <v>156</v>
      </c>
      <c r="C74" s="638"/>
      <c r="D74" s="638"/>
      <c r="E74" s="639"/>
      <c r="F74" s="67">
        <f>F73/H73*100</f>
        <v>49.892530361515284</v>
      </c>
      <c r="G74" s="67">
        <f>G73/H73*100</f>
        <v>50.107469638484716</v>
      </c>
      <c r="H74" s="68">
        <f>SUM(F74:G74)</f>
        <v>100</v>
      </c>
      <c r="I74" s="69"/>
      <c r="L74" s="2" t="s">
        <v>157</v>
      </c>
      <c r="M74" s="65"/>
      <c r="N74" s="65"/>
      <c r="O74" s="65"/>
      <c r="R74" s="26">
        <v>1</v>
      </c>
      <c r="S74" s="27" t="s">
        <v>134</v>
      </c>
      <c r="T74" s="28">
        <v>15229</v>
      </c>
      <c r="U74" s="28">
        <v>15398</v>
      </c>
      <c r="V74" s="28">
        <v>56565</v>
      </c>
    </row>
    <row r="75" spans="2:27" x14ac:dyDescent="0.3">
      <c r="H75" s="71"/>
      <c r="I75" s="72"/>
      <c r="K75" s="73"/>
      <c r="R75" s="26">
        <v>2</v>
      </c>
      <c r="S75" s="27" t="s">
        <v>136</v>
      </c>
      <c r="T75" s="28">
        <v>7648</v>
      </c>
      <c r="U75" s="28">
        <v>8133</v>
      </c>
      <c r="V75" s="28">
        <v>43767</v>
      </c>
    </row>
    <row r="76" spans="2:27" ht="20" hidden="1" x14ac:dyDescent="0.4">
      <c r="F76" s="74" t="s">
        <v>158</v>
      </c>
      <c r="G76" s="75"/>
      <c r="H76" s="76"/>
      <c r="I76" s="77"/>
      <c r="R76" s="26">
        <v>3</v>
      </c>
      <c r="S76" s="27" t="s">
        <v>138</v>
      </c>
      <c r="T76" s="28">
        <v>14054</v>
      </c>
      <c r="U76" s="28">
        <v>13972</v>
      </c>
      <c r="V76" s="28">
        <v>77483</v>
      </c>
    </row>
    <row r="77" spans="2:27" ht="20" hidden="1" x14ac:dyDescent="0.4">
      <c r="F77" s="78"/>
      <c r="H77" s="79"/>
      <c r="R77" s="26">
        <v>4</v>
      </c>
      <c r="S77" s="27" t="s">
        <v>140</v>
      </c>
      <c r="T77" s="28">
        <v>9208</v>
      </c>
      <c r="U77" s="28">
        <v>9108</v>
      </c>
      <c r="V77" s="28">
        <v>38789</v>
      </c>
    </row>
    <row r="78" spans="2:27" ht="20.5" hidden="1" thickBot="1" x14ac:dyDescent="0.45">
      <c r="F78" s="80"/>
      <c r="G78" s="81"/>
      <c r="H78" s="82"/>
      <c r="R78" s="26"/>
      <c r="S78" s="27"/>
      <c r="T78" s="28"/>
      <c r="U78" s="28"/>
      <c r="V78" s="28"/>
    </row>
    <row r="79" spans="2:27" hidden="1" x14ac:dyDescent="0.3">
      <c r="F79" s="65">
        <v>210.49</v>
      </c>
      <c r="R79" s="27"/>
      <c r="S79" s="46" t="s">
        <v>31</v>
      </c>
      <c r="T79" s="28">
        <v>10773</v>
      </c>
      <c r="U79" s="28">
        <v>10585</v>
      </c>
      <c r="V79" s="46">
        <v>216604</v>
      </c>
    </row>
    <row r="80" spans="2:27" ht="20" hidden="1" x14ac:dyDescent="0.4">
      <c r="F80" s="74" t="s">
        <v>159</v>
      </c>
      <c r="G80" s="75"/>
      <c r="H80" s="76"/>
      <c r="I80" s="83"/>
      <c r="R80" s="18">
        <v>12</v>
      </c>
      <c r="S80" s="19" t="s">
        <v>148</v>
      </c>
      <c r="T80" s="20">
        <v>64295</v>
      </c>
      <c r="U80" s="20">
        <v>64395</v>
      </c>
      <c r="V80" s="20">
        <v>128690</v>
      </c>
    </row>
    <row r="81" spans="4:22" ht="20" hidden="1" x14ac:dyDescent="0.4">
      <c r="F81" s="84"/>
      <c r="H81" s="79"/>
      <c r="R81" s="26">
        <v>1</v>
      </c>
      <c r="S81" s="27" t="s">
        <v>144</v>
      </c>
      <c r="T81" s="28">
        <v>28702</v>
      </c>
      <c r="U81" s="28">
        <v>28845</v>
      </c>
      <c r="V81" s="28">
        <v>57547</v>
      </c>
    </row>
    <row r="82" spans="4:22" ht="20" hidden="1" x14ac:dyDescent="0.4">
      <c r="F82" s="84"/>
      <c r="H82" s="85"/>
      <c r="R82" s="26">
        <v>2</v>
      </c>
      <c r="S82" s="27" t="s">
        <v>146</v>
      </c>
      <c r="T82" s="28">
        <v>11425</v>
      </c>
      <c r="U82" s="28">
        <v>11583</v>
      </c>
      <c r="V82" s="28">
        <v>23008</v>
      </c>
    </row>
    <row r="83" spans="4:22" ht="14.5" x14ac:dyDescent="0.35">
      <c r="D83"/>
      <c r="E83"/>
      <c r="F83"/>
      <c r="G83"/>
      <c r="H83" s="86"/>
      <c r="R83" s="26">
        <v>3</v>
      </c>
      <c r="S83" s="27" t="s">
        <v>149</v>
      </c>
      <c r="T83" s="28">
        <v>10718</v>
      </c>
      <c r="U83" s="28">
        <v>10557</v>
      </c>
      <c r="V83" s="28">
        <v>21275</v>
      </c>
    </row>
    <row r="84" spans="4:22" x14ac:dyDescent="0.3">
      <c r="H84" s="87"/>
      <c r="R84" s="26">
        <v>4</v>
      </c>
      <c r="S84" s="27" t="s">
        <v>151</v>
      </c>
      <c r="T84" s="28">
        <v>13450</v>
      </c>
      <c r="U84" s="28">
        <v>13410</v>
      </c>
      <c r="V84" s="28">
        <v>26860</v>
      </c>
    </row>
    <row r="85" spans="4:22" x14ac:dyDescent="0.3">
      <c r="H85" s="88"/>
      <c r="I85" s="89"/>
      <c r="R85" s="27"/>
      <c r="S85" s="46" t="s">
        <v>31</v>
      </c>
      <c r="T85" s="46">
        <v>64295</v>
      </c>
      <c r="U85" s="46">
        <v>64395</v>
      </c>
      <c r="V85" s="46">
        <v>128690</v>
      </c>
    </row>
    <row r="86" spans="4:22" x14ac:dyDescent="0.3">
      <c r="H86" s="89"/>
      <c r="R86" s="90"/>
      <c r="S86" s="11" t="s">
        <v>160</v>
      </c>
      <c r="T86" s="11">
        <v>1257169</v>
      </c>
      <c r="U86" s="11">
        <v>1256500</v>
      </c>
      <c r="V86" s="11">
        <v>2513669</v>
      </c>
    </row>
  </sheetData>
  <mergeCells count="2">
    <mergeCell ref="B73:E73"/>
    <mergeCell ref="B74:E74"/>
  </mergeCells>
  <pageMargins left="0.98425196850393704" right="0.39370078740157483" top="0.39370078740157483" bottom="0.39370078740157483" header="0.31496062992125984" footer="0.31496062992125984"/>
  <pageSetup paperSize="9" scale="7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973CE-0157-448E-8300-389BD56C1E8F}">
  <sheetPr>
    <tabColor rgb="FF00B050"/>
  </sheetPr>
  <dimension ref="A1:J76"/>
  <sheetViews>
    <sheetView showGridLines="0" view="pageBreakPreview" topLeftCell="C59" zoomScale="75" zoomScaleNormal="70" zoomScaleSheetLayoutView="75" workbookViewId="0">
      <selection activeCell="H74" sqref="H74"/>
    </sheetView>
  </sheetViews>
  <sheetFormatPr defaultColWidth="9.1796875" defaultRowHeight="14" x14ac:dyDescent="0.3"/>
  <cols>
    <col min="1" max="1" width="0" style="70" hidden="1" customWidth="1"/>
    <col min="2" max="2" width="10.1796875" style="70" hidden="1" customWidth="1"/>
    <col min="3" max="3" width="26.26953125" style="2" customWidth="1"/>
    <col min="4" max="4" width="21" style="2" customWidth="1"/>
    <col min="5" max="9" width="19.7265625" style="2" customWidth="1"/>
    <col min="10" max="16384" width="9.1796875" style="2"/>
  </cols>
  <sheetData>
    <row r="1" spans="1:9" ht="22.5" x14ac:dyDescent="0.3">
      <c r="A1" s="640" t="s">
        <v>0</v>
      </c>
      <c r="B1" s="640"/>
      <c r="C1" s="640"/>
      <c r="D1" s="640"/>
      <c r="E1" s="640"/>
      <c r="F1" s="640"/>
      <c r="G1" s="640"/>
      <c r="H1" s="640"/>
      <c r="I1" s="640"/>
    </row>
    <row r="2" spans="1:9" ht="14.5" thickBot="1" x14ac:dyDescent="0.35">
      <c r="A2" s="3"/>
      <c r="B2" s="3"/>
      <c r="C2" s="4"/>
      <c r="D2" s="4"/>
      <c r="E2" s="4"/>
      <c r="F2" s="4"/>
      <c r="G2" s="4"/>
      <c r="H2" s="4"/>
      <c r="I2" s="4"/>
    </row>
    <row r="3" spans="1:9" ht="18.5" thickBot="1" x14ac:dyDescent="0.35">
      <c r="A3" s="91" t="s">
        <v>161</v>
      </c>
      <c r="B3" s="92" t="s">
        <v>2</v>
      </c>
      <c r="C3" s="93" t="s">
        <v>3</v>
      </c>
      <c r="D3" s="93" t="s">
        <v>4</v>
      </c>
      <c r="E3" s="94" t="s">
        <v>5</v>
      </c>
      <c r="F3" s="94" t="s">
        <v>6</v>
      </c>
      <c r="G3" s="93" t="s">
        <v>7</v>
      </c>
      <c r="H3" s="93" t="s">
        <v>8</v>
      </c>
      <c r="I3" s="95" t="s">
        <v>156</v>
      </c>
    </row>
    <row r="4" spans="1:9" ht="15" customHeight="1" x14ac:dyDescent="0.35">
      <c r="A4" s="96">
        <v>1</v>
      </c>
      <c r="B4" s="42">
        <v>1001</v>
      </c>
      <c r="C4" s="97" t="s">
        <v>20</v>
      </c>
      <c r="D4" s="98" t="s">
        <v>162</v>
      </c>
      <c r="E4" s="99">
        <v>32963</v>
      </c>
      <c r="F4" s="99">
        <v>33420</v>
      </c>
      <c r="G4" s="100">
        <v>66383</v>
      </c>
      <c r="H4" s="101">
        <f>E4/F4</f>
        <v>0.98632555356074203</v>
      </c>
      <c r="I4" s="102">
        <f>(G4/$G$72)*100</f>
        <v>2.5460945794186052</v>
      </c>
    </row>
    <row r="5" spans="1:9" ht="15" customHeight="1" x14ac:dyDescent="0.35">
      <c r="A5" s="103">
        <v>1</v>
      </c>
      <c r="B5" s="22">
        <v>1002</v>
      </c>
      <c r="C5" s="104"/>
      <c r="D5" s="105" t="s">
        <v>23</v>
      </c>
      <c r="E5" s="106">
        <v>33420</v>
      </c>
      <c r="F5" s="106">
        <v>33339</v>
      </c>
      <c r="G5" s="107">
        <v>66759</v>
      </c>
      <c r="H5" s="108">
        <f t="shared" ref="H5:H70" si="0">E5/F5</f>
        <v>1.0024295869702151</v>
      </c>
      <c r="I5" s="109">
        <f>(G5/$G$72)*100</f>
        <v>2.5605159156321151</v>
      </c>
    </row>
    <row r="6" spans="1:9" ht="15" customHeight="1" x14ac:dyDescent="0.35">
      <c r="A6" s="103">
        <v>1</v>
      </c>
      <c r="B6" s="22">
        <v>1003</v>
      </c>
      <c r="C6" s="104"/>
      <c r="D6" s="105" t="s">
        <v>163</v>
      </c>
      <c r="E6" s="106">
        <v>37922</v>
      </c>
      <c r="F6" s="106">
        <v>38596</v>
      </c>
      <c r="G6" s="107">
        <v>76518</v>
      </c>
      <c r="H6" s="108">
        <f t="shared" si="0"/>
        <v>0.98253705047155149</v>
      </c>
      <c r="I6" s="109">
        <f>(G6/$G$72)*100</f>
        <v>2.9348186286843445</v>
      </c>
    </row>
    <row r="7" spans="1:9" ht="15" customHeight="1" thickBot="1" x14ac:dyDescent="0.4">
      <c r="A7" s="110">
        <v>1</v>
      </c>
      <c r="B7" s="31">
        <v>1004</v>
      </c>
      <c r="C7" s="111"/>
      <c r="D7" s="112" t="s">
        <v>164</v>
      </c>
      <c r="E7" s="113">
        <v>32965</v>
      </c>
      <c r="F7" s="113">
        <v>33686</v>
      </c>
      <c r="G7" s="114">
        <v>66651</v>
      </c>
      <c r="H7" s="115">
        <f t="shared" si="0"/>
        <v>0.97859644956361691</v>
      </c>
      <c r="I7" s="116">
        <f>(G7/$G$72)*100</f>
        <v>2.5563736169324898</v>
      </c>
    </row>
    <row r="8" spans="1:9" ht="15" hidden="1" customHeight="1" thickBot="1" x14ac:dyDescent="0.35">
      <c r="A8" s="117"/>
      <c r="B8" s="118"/>
      <c r="C8" s="119" t="s">
        <v>31</v>
      </c>
      <c r="D8" s="120"/>
      <c r="E8" s="121">
        <f>SUM(E4:E7)</f>
        <v>137270</v>
      </c>
      <c r="F8" s="121">
        <f>SUM(F4:F7)</f>
        <v>139041</v>
      </c>
      <c r="G8" s="122">
        <f>SUM(G4:G7)</f>
        <v>276311</v>
      </c>
      <c r="H8" s="123">
        <f>E8/F8</f>
        <v>0.98726274983637918</v>
      </c>
      <c r="I8" s="124">
        <f>G8/$G$72*100</f>
        <v>10.597802740667554</v>
      </c>
    </row>
    <row r="9" spans="1:9" ht="15" customHeight="1" x14ac:dyDescent="0.35">
      <c r="A9" s="125">
        <v>2</v>
      </c>
      <c r="B9" s="126">
        <v>1001</v>
      </c>
      <c r="C9" s="127" t="s">
        <v>34</v>
      </c>
      <c r="D9" s="128" t="s">
        <v>30</v>
      </c>
      <c r="E9" s="129">
        <v>32830</v>
      </c>
      <c r="F9" s="129">
        <v>32686</v>
      </c>
      <c r="G9" s="130">
        <v>65516</v>
      </c>
      <c r="H9" s="131">
        <f t="shared" si="0"/>
        <v>1.0044055558954905</v>
      </c>
      <c r="I9" s="132">
        <f>(G9/$G$72)*100</f>
        <v>2.5128411259688375</v>
      </c>
    </row>
    <row r="10" spans="1:9" ht="15" customHeight="1" x14ac:dyDescent="0.35">
      <c r="A10" s="133">
        <v>2</v>
      </c>
      <c r="B10" s="134">
        <v>1002</v>
      </c>
      <c r="C10" s="135"/>
      <c r="D10" s="136" t="s">
        <v>33</v>
      </c>
      <c r="E10" s="137">
        <v>24910</v>
      </c>
      <c r="F10" s="137">
        <v>25009</v>
      </c>
      <c r="G10" s="138">
        <v>49919</v>
      </c>
      <c r="H10" s="139">
        <f t="shared" si="0"/>
        <v>0.99604142508696869</v>
      </c>
      <c r="I10" s="140">
        <f>(G10/$G$72)*100</f>
        <v>1.9146241554313208</v>
      </c>
    </row>
    <row r="11" spans="1:9" ht="15" customHeight="1" x14ac:dyDescent="0.35">
      <c r="A11" s="133">
        <v>2</v>
      </c>
      <c r="B11" s="134">
        <v>1003</v>
      </c>
      <c r="C11" s="135"/>
      <c r="D11" s="136" t="s">
        <v>165</v>
      </c>
      <c r="E11" s="137">
        <v>22735</v>
      </c>
      <c r="F11" s="137">
        <v>22787</v>
      </c>
      <c r="G11" s="138">
        <v>45522</v>
      </c>
      <c r="H11" s="139">
        <f t="shared" si="0"/>
        <v>0.99771799710361175</v>
      </c>
      <c r="I11" s="140">
        <f>(G11/$G$72)*100</f>
        <v>1.7459789018919567</v>
      </c>
    </row>
    <row r="12" spans="1:9" ht="15" customHeight="1" x14ac:dyDescent="0.35">
      <c r="A12" s="133">
        <v>2</v>
      </c>
      <c r="B12" s="134">
        <v>1004</v>
      </c>
      <c r="C12" s="135"/>
      <c r="D12" s="136" t="s">
        <v>166</v>
      </c>
      <c r="E12" s="137">
        <v>17719</v>
      </c>
      <c r="F12" s="137">
        <v>17947</v>
      </c>
      <c r="G12" s="138">
        <v>35666</v>
      </c>
      <c r="H12" s="139">
        <f t="shared" si="0"/>
        <v>0.98729592689585999</v>
      </c>
      <c r="I12" s="140">
        <f>(G12/$G$72)*100</f>
        <v>1.367955790933582</v>
      </c>
    </row>
    <row r="13" spans="1:9" ht="15" customHeight="1" thickBot="1" x14ac:dyDescent="0.4">
      <c r="A13" s="141">
        <v>2</v>
      </c>
      <c r="B13" s="142">
        <v>1005</v>
      </c>
      <c r="C13" s="143"/>
      <c r="D13" s="144" t="s">
        <v>167</v>
      </c>
      <c r="E13" s="145">
        <v>37635</v>
      </c>
      <c r="F13" s="145">
        <v>37998</v>
      </c>
      <c r="G13" s="146">
        <v>75633</v>
      </c>
      <c r="H13" s="147">
        <f t="shared" si="0"/>
        <v>0.99044686562450657</v>
      </c>
      <c r="I13" s="148">
        <f>(G13/$G$72)*100</f>
        <v>2.9008747921179729</v>
      </c>
    </row>
    <row r="14" spans="1:9" ht="15" hidden="1" customHeight="1" thickBot="1" x14ac:dyDescent="0.35">
      <c r="A14" s="117"/>
      <c r="B14" s="118"/>
      <c r="C14" s="149" t="s">
        <v>31</v>
      </c>
      <c r="D14" s="150"/>
      <c r="E14" s="151">
        <f>SUM(E9:E13)</f>
        <v>135829</v>
      </c>
      <c r="F14" s="151">
        <f>SUM(F9:F13)</f>
        <v>136427</v>
      </c>
      <c r="G14" s="152">
        <f>SUM(G9:G13)</f>
        <v>272256</v>
      </c>
      <c r="H14" s="153">
        <f>E14/F14</f>
        <v>0.99561670343846898</v>
      </c>
      <c r="I14" s="154">
        <f>G14/$G$72*100</f>
        <v>10.442274766343669</v>
      </c>
    </row>
    <row r="15" spans="1:9" ht="15" customHeight="1" x14ac:dyDescent="0.35">
      <c r="A15" s="125">
        <v>3</v>
      </c>
      <c r="B15" s="126">
        <v>1001</v>
      </c>
      <c r="C15" s="155" t="s">
        <v>47</v>
      </c>
      <c r="D15" s="98" t="s">
        <v>43</v>
      </c>
      <c r="E15" s="99">
        <v>48995</v>
      </c>
      <c r="F15" s="99">
        <v>48549</v>
      </c>
      <c r="G15" s="107">
        <v>97544</v>
      </c>
      <c r="H15" s="101">
        <f t="shared" si="0"/>
        <v>1.0091865949865084</v>
      </c>
      <c r="I15" s="102">
        <f t="shared" ref="I15:I20" si="1">(G15/$G$72)*100</f>
        <v>3.7412628181131979</v>
      </c>
    </row>
    <row r="16" spans="1:9" ht="15" customHeight="1" x14ac:dyDescent="0.35">
      <c r="A16" s="133">
        <v>3</v>
      </c>
      <c r="B16" s="134">
        <v>1002</v>
      </c>
      <c r="C16" s="156"/>
      <c r="D16" s="105" t="s">
        <v>45</v>
      </c>
      <c r="E16" s="106">
        <v>20434</v>
      </c>
      <c r="F16" s="106">
        <v>20374</v>
      </c>
      <c r="G16" s="107">
        <v>40808</v>
      </c>
      <c r="H16" s="108">
        <f t="shared" si="0"/>
        <v>1.0029449298125062</v>
      </c>
      <c r="I16" s="109">
        <f t="shared" si="1"/>
        <v>1.5651752345768413</v>
      </c>
    </row>
    <row r="17" spans="1:9" ht="15" customHeight="1" x14ac:dyDescent="0.35">
      <c r="A17" s="133">
        <v>3</v>
      </c>
      <c r="B17" s="134">
        <v>1003</v>
      </c>
      <c r="C17" s="156"/>
      <c r="D17" s="105" t="s">
        <v>168</v>
      </c>
      <c r="E17" s="106">
        <v>14683</v>
      </c>
      <c r="F17" s="106">
        <v>14408</v>
      </c>
      <c r="G17" s="107">
        <v>29091</v>
      </c>
      <c r="H17" s="108">
        <f t="shared" si="0"/>
        <v>1.0190866185452527</v>
      </c>
      <c r="I17" s="109">
        <f t="shared" si="1"/>
        <v>1.1157741802851129</v>
      </c>
    </row>
    <row r="18" spans="1:9" ht="15" customHeight="1" x14ac:dyDescent="0.35">
      <c r="A18" s="133">
        <v>3</v>
      </c>
      <c r="B18" s="134">
        <v>1004</v>
      </c>
      <c r="C18" s="156"/>
      <c r="D18" s="105" t="s">
        <v>50</v>
      </c>
      <c r="E18" s="106">
        <v>36049</v>
      </c>
      <c r="F18" s="106">
        <v>35786</v>
      </c>
      <c r="G18" s="107">
        <v>71835</v>
      </c>
      <c r="H18" s="108">
        <f t="shared" si="0"/>
        <v>1.007349242720617</v>
      </c>
      <c r="I18" s="109">
        <f t="shared" si="1"/>
        <v>2.7552039545144917</v>
      </c>
    </row>
    <row r="19" spans="1:9" ht="15" customHeight="1" x14ac:dyDescent="0.35">
      <c r="A19" s="133">
        <v>3</v>
      </c>
      <c r="B19" s="134">
        <v>1005</v>
      </c>
      <c r="C19" s="156"/>
      <c r="D19" s="105" t="s">
        <v>169</v>
      </c>
      <c r="E19" s="106">
        <v>12596</v>
      </c>
      <c r="F19" s="106">
        <v>12447</v>
      </c>
      <c r="G19" s="107">
        <v>25043</v>
      </c>
      <c r="H19" s="108">
        <f t="shared" si="0"/>
        <v>1.0119707560054632</v>
      </c>
      <c r="I19" s="109">
        <f t="shared" si="1"/>
        <v>0.96051468828435194</v>
      </c>
    </row>
    <row r="20" spans="1:9" ht="15" customHeight="1" thickBot="1" x14ac:dyDescent="0.4">
      <c r="A20" s="141">
        <v>3</v>
      </c>
      <c r="B20" s="142">
        <v>1006</v>
      </c>
      <c r="C20" s="157"/>
      <c r="D20" s="112" t="s">
        <v>170</v>
      </c>
      <c r="E20" s="113">
        <v>41756</v>
      </c>
      <c r="F20" s="113">
        <v>42545</v>
      </c>
      <c r="G20" s="114">
        <v>84301</v>
      </c>
      <c r="H20" s="115">
        <f t="shared" si="0"/>
        <v>0.98145493007403928</v>
      </c>
      <c r="I20" s="116">
        <f t="shared" si="1"/>
        <v>3.2333326173804715</v>
      </c>
    </row>
    <row r="21" spans="1:9" ht="15" hidden="1" customHeight="1" thickBot="1" x14ac:dyDescent="0.35">
      <c r="A21" s="117"/>
      <c r="B21" s="118"/>
      <c r="C21" s="119" t="s">
        <v>31</v>
      </c>
      <c r="D21" s="120"/>
      <c r="E21" s="121">
        <f>SUM(E15:E20)</f>
        <v>174513</v>
      </c>
      <c r="F21" s="121">
        <f>SUM(F15:F20)</f>
        <v>174109</v>
      </c>
      <c r="G21" s="122">
        <f>SUM(G15:G20)</f>
        <v>348622</v>
      </c>
      <c r="H21" s="123">
        <f>E21/F21</f>
        <v>1.0023203855056315</v>
      </c>
      <c r="I21" s="124">
        <f>G21/$G$72*100</f>
        <v>13.371263493154467</v>
      </c>
    </row>
    <row r="22" spans="1:9" ht="15" customHeight="1" x14ac:dyDescent="0.35">
      <c r="A22" s="125">
        <v>4</v>
      </c>
      <c r="B22" s="126">
        <v>1001</v>
      </c>
      <c r="C22" s="127" t="s">
        <v>61</v>
      </c>
      <c r="D22" s="128" t="s">
        <v>171</v>
      </c>
      <c r="E22" s="158">
        <v>29952</v>
      </c>
      <c r="F22" s="158">
        <v>30980</v>
      </c>
      <c r="G22" s="130">
        <v>60932</v>
      </c>
      <c r="H22" s="131">
        <f t="shared" si="0"/>
        <v>0.96681730148482892</v>
      </c>
      <c r="I22" s="132">
        <f>(G22/$G$72)*100</f>
        <v>2.3370235589403077</v>
      </c>
    </row>
    <row r="23" spans="1:9" ht="15" customHeight="1" x14ac:dyDescent="0.35">
      <c r="A23" s="133">
        <v>4</v>
      </c>
      <c r="B23" s="134">
        <v>1002</v>
      </c>
      <c r="C23" s="135"/>
      <c r="D23" s="136" t="s">
        <v>172</v>
      </c>
      <c r="E23" s="158">
        <v>8789</v>
      </c>
      <c r="F23" s="158">
        <v>8865</v>
      </c>
      <c r="G23" s="138">
        <v>17654</v>
      </c>
      <c r="H23" s="139">
        <f t="shared" si="0"/>
        <v>0.99142695995487873</v>
      </c>
      <c r="I23" s="140">
        <f>(G23/$G$72)*100</f>
        <v>0.6771124189183384</v>
      </c>
    </row>
    <row r="24" spans="1:9" ht="15" customHeight="1" x14ac:dyDescent="0.35">
      <c r="A24" s="133">
        <v>4</v>
      </c>
      <c r="B24" s="134">
        <v>1003</v>
      </c>
      <c r="C24" s="135"/>
      <c r="D24" s="136" t="s">
        <v>173</v>
      </c>
      <c r="E24" s="158">
        <v>18851</v>
      </c>
      <c r="F24" s="158">
        <v>19069</v>
      </c>
      <c r="G24" s="138">
        <v>37920</v>
      </c>
      <c r="H24" s="139">
        <f t="shared" si="0"/>
        <v>0.9885678326078976</v>
      </c>
      <c r="I24" s="140">
        <f>(G24/$G$72)*100</f>
        <v>1.4544070989794604</v>
      </c>
    </row>
    <row r="25" spans="1:9" ht="15" customHeight="1" x14ac:dyDescent="0.35">
      <c r="A25" s="133">
        <v>4</v>
      </c>
      <c r="B25" s="134">
        <v>1004</v>
      </c>
      <c r="C25" s="135"/>
      <c r="D25" s="136" t="s">
        <v>174</v>
      </c>
      <c r="E25" s="158">
        <v>22265</v>
      </c>
      <c r="F25" s="158">
        <v>22970</v>
      </c>
      <c r="G25" s="138">
        <v>45235</v>
      </c>
      <c r="H25" s="139">
        <f t="shared" si="0"/>
        <v>0.96930779277318246</v>
      </c>
      <c r="I25" s="140">
        <f>(G25/$G$72)*100</f>
        <v>1.7349711266438788</v>
      </c>
    </row>
    <row r="26" spans="1:9" ht="15" customHeight="1" thickBot="1" x14ac:dyDescent="0.4">
      <c r="A26" s="141">
        <v>4</v>
      </c>
      <c r="B26" s="142">
        <v>1005</v>
      </c>
      <c r="C26" s="143"/>
      <c r="D26" s="144" t="s">
        <v>175</v>
      </c>
      <c r="E26" s="158">
        <v>29054</v>
      </c>
      <c r="F26" s="158">
        <v>29749</v>
      </c>
      <c r="G26" s="146">
        <v>58803</v>
      </c>
      <c r="H26" s="147">
        <f t="shared" si="0"/>
        <v>0.97663787018051029</v>
      </c>
      <c r="I26" s="148">
        <f>(G26/$G$72)*100</f>
        <v>2.2553665780930698</v>
      </c>
    </row>
    <row r="27" spans="1:9" ht="15" hidden="1" customHeight="1" thickBot="1" x14ac:dyDescent="0.35">
      <c r="A27" s="117"/>
      <c r="B27" s="118"/>
      <c r="C27" s="149" t="s">
        <v>31</v>
      </c>
      <c r="D27" s="150"/>
      <c r="E27" s="151">
        <f>SUM(E22:E26)</f>
        <v>108911</v>
      </c>
      <c r="F27" s="151">
        <f>SUM(F22:F26)</f>
        <v>111633</v>
      </c>
      <c r="G27" s="152">
        <f>SUM(G22:G26)</f>
        <v>220544</v>
      </c>
      <c r="H27" s="153">
        <f>E27/F27</f>
        <v>0.97561652916252362</v>
      </c>
      <c r="I27" s="154">
        <f>G27/$G$72*100</f>
        <v>8.458880781575056</v>
      </c>
    </row>
    <row r="28" spans="1:9" ht="15" customHeight="1" x14ac:dyDescent="0.35">
      <c r="A28" s="125">
        <v>5</v>
      </c>
      <c r="B28" s="126">
        <v>1001</v>
      </c>
      <c r="C28" s="155" t="s">
        <v>73</v>
      </c>
      <c r="D28" s="98" t="s">
        <v>69</v>
      </c>
      <c r="E28" s="99">
        <v>40544</v>
      </c>
      <c r="F28" s="99">
        <v>40398</v>
      </c>
      <c r="G28" s="100">
        <v>80942</v>
      </c>
      <c r="H28" s="101">
        <f t="shared" si="0"/>
        <v>1.0036140402990248</v>
      </c>
      <c r="I28" s="102">
        <f>(G28/$G$72)*100</f>
        <v>3.1044994568986151</v>
      </c>
    </row>
    <row r="29" spans="1:9" ht="15" customHeight="1" x14ac:dyDescent="0.35">
      <c r="A29" s="133">
        <v>5</v>
      </c>
      <c r="B29" s="134">
        <v>1002</v>
      </c>
      <c r="C29" s="156"/>
      <c r="D29" s="105" t="s">
        <v>71</v>
      </c>
      <c r="E29" s="106">
        <v>31507</v>
      </c>
      <c r="F29" s="106">
        <v>32114</v>
      </c>
      <c r="G29" s="107">
        <v>63621</v>
      </c>
      <c r="H29" s="108">
        <f t="shared" si="0"/>
        <v>0.98109858628635482</v>
      </c>
      <c r="I29" s="109">
        <f>(G29/$G$72)*100</f>
        <v>2.4401591256374537</v>
      </c>
    </row>
    <row r="30" spans="1:9" ht="15" customHeight="1" x14ac:dyDescent="0.35">
      <c r="A30" s="133">
        <v>5</v>
      </c>
      <c r="B30" s="134">
        <v>1003</v>
      </c>
      <c r="C30" s="156"/>
      <c r="D30" s="105" t="s">
        <v>176</v>
      </c>
      <c r="E30" s="106">
        <v>18823</v>
      </c>
      <c r="F30" s="106">
        <v>18928</v>
      </c>
      <c r="G30" s="107">
        <v>37751</v>
      </c>
      <c r="H30" s="108">
        <f t="shared" si="0"/>
        <v>0.99445266272189348</v>
      </c>
      <c r="I30" s="109">
        <f>(G30/$G$72)*100</f>
        <v>1.4479251686068988</v>
      </c>
    </row>
    <row r="31" spans="1:9" ht="15" customHeight="1" thickBot="1" x14ac:dyDescent="0.4">
      <c r="A31" s="141">
        <v>5</v>
      </c>
      <c r="B31" s="142">
        <v>1004</v>
      </c>
      <c r="C31" s="157"/>
      <c r="D31" s="112" t="s">
        <v>177</v>
      </c>
      <c r="E31" s="113">
        <v>22887</v>
      </c>
      <c r="F31" s="113">
        <v>22746</v>
      </c>
      <c r="G31" s="114">
        <v>45633</v>
      </c>
      <c r="H31" s="115">
        <f t="shared" si="0"/>
        <v>1.006198892112899</v>
      </c>
      <c r="I31" s="116">
        <f>(G31/$G$72)*100</f>
        <v>1.7502362644443488</v>
      </c>
    </row>
    <row r="32" spans="1:9" ht="15" hidden="1" customHeight="1" thickBot="1" x14ac:dyDescent="0.35">
      <c r="A32" s="117"/>
      <c r="B32" s="118"/>
      <c r="C32" s="119" t="s">
        <v>31</v>
      </c>
      <c r="D32" s="120"/>
      <c r="E32" s="159">
        <f>SUM(E28:E31)</f>
        <v>113761</v>
      </c>
      <c r="F32" s="159">
        <f>SUM(F28:F31)</f>
        <v>114186</v>
      </c>
      <c r="G32" s="122">
        <f>SUM(G28:G31)</f>
        <v>227947</v>
      </c>
      <c r="H32" s="123">
        <f>E32/F32</f>
        <v>0.9962780025572312</v>
      </c>
      <c r="I32" s="124">
        <f>G32/$G$72*100</f>
        <v>8.7428200155873164</v>
      </c>
    </row>
    <row r="33" spans="1:9" ht="15" customHeight="1" x14ac:dyDescent="0.35">
      <c r="A33" s="125">
        <v>6</v>
      </c>
      <c r="B33" s="126">
        <v>1001</v>
      </c>
      <c r="C33" s="127" t="s">
        <v>87</v>
      </c>
      <c r="D33" s="128" t="s">
        <v>87</v>
      </c>
      <c r="E33" s="158">
        <v>14409</v>
      </c>
      <c r="F33" s="158">
        <v>13945</v>
      </c>
      <c r="G33" s="130">
        <v>28354</v>
      </c>
      <c r="H33" s="131">
        <f t="shared" si="0"/>
        <v>1.0332735747579778</v>
      </c>
      <c r="I33" s="132">
        <f>(G33/$G$72)*100</f>
        <v>1.0875068271219308</v>
      </c>
    </row>
    <row r="34" spans="1:9" ht="15" customHeight="1" x14ac:dyDescent="0.35">
      <c r="A34" s="133">
        <v>6</v>
      </c>
      <c r="B34" s="134">
        <v>1002</v>
      </c>
      <c r="C34" s="135"/>
      <c r="D34" s="136" t="s">
        <v>178</v>
      </c>
      <c r="E34" s="158">
        <v>12844</v>
      </c>
      <c r="F34" s="158">
        <v>12534</v>
      </c>
      <c r="G34" s="138">
        <v>25378</v>
      </c>
      <c r="H34" s="139">
        <f t="shared" si="0"/>
        <v>1.0247327269826072</v>
      </c>
      <c r="I34" s="140">
        <f>(G34/$G$72)*100</f>
        <v>0.97336348517670734</v>
      </c>
    </row>
    <row r="35" spans="1:9" ht="15" customHeight="1" x14ac:dyDescent="0.35">
      <c r="A35" s="133">
        <v>6</v>
      </c>
      <c r="B35" s="134">
        <v>1003</v>
      </c>
      <c r="C35" s="135"/>
      <c r="D35" s="136" t="s">
        <v>83</v>
      </c>
      <c r="E35" s="158">
        <v>38758</v>
      </c>
      <c r="F35" s="158">
        <v>39099</v>
      </c>
      <c r="G35" s="138">
        <v>77857</v>
      </c>
      <c r="H35" s="139">
        <f t="shared" si="0"/>
        <v>0.99127854932351211</v>
      </c>
      <c r="I35" s="140">
        <f>(G35/$G$72)*100</f>
        <v>2.9861754616361771</v>
      </c>
    </row>
    <row r="36" spans="1:9" ht="15" customHeight="1" thickBot="1" x14ac:dyDescent="0.4">
      <c r="A36" s="141">
        <v>6</v>
      </c>
      <c r="B36" s="142">
        <v>1004</v>
      </c>
      <c r="C36" s="143"/>
      <c r="D36" s="144" t="s">
        <v>179</v>
      </c>
      <c r="E36" s="158">
        <v>15731</v>
      </c>
      <c r="F36" s="158">
        <v>15318</v>
      </c>
      <c r="G36" s="146">
        <v>31049</v>
      </c>
      <c r="H36" s="147">
        <f t="shared" si="0"/>
        <v>1.0269617443530488</v>
      </c>
      <c r="I36" s="148">
        <f>(G36/$G$72)*100</f>
        <v>1.1908725215246114</v>
      </c>
    </row>
    <row r="37" spans="1:9" ht="15" hidden="1" customHeight="1" thickBot="1" x14ac:dyDescent="0.35">
      <c r="A37" s="117"/>
      <c r="B37" s="118"/>
      <c r="C37" s="149" t="s">
        <v>31</v>
      </c>
      <c r="D37" s="150"/>
      <c r="E37" s="151">
        <f>SUM(E33:E36)</f>
        <v>81742</v>
      </c>
      <c r="F37" s="151">
        <f>SUM(F33:F36)</f>
        <v>80896</v>
      </c>
      <c r="G37" s="152">
        <f>SUM(G33:G36)</f>
        <v>162638</v>
      </c>
      <c r="H37" s="153">
        <f>E37/F37</f>
        <v>1.0104578718354431</v>
      </c>
      <c r="I37" s="154">
        <f>G37/G72*100</f>
        <v>6.2379182954594272</v>
      </c>
    </row>
    <row r="38" spans="1:9" ht="15" customHeight="1" x14ac:dyDescent="0.35">
      <c r="A38" s="125">
        <v>7</v>
      </c>
      <c r="B38" s="126">
        <v>1003</v>
      </c>
      <c r="C38" s="155" t="s">
        <v>89</v>
      </c>
      <c r="D38" s="98" t="s">
        <v>180</v>
      </c>
      <c r="E38" s="99">
        <v>17978</v>
      </c>
      <c r="F38" s="99">
        <v>17354</v>
      </c>
      <c r="G38" s="100">
        <v>35332</v>
      </c>
      <c r="H38" s="101">
        <f t="shared" si="0"/>
        <v>1.0359571280396451</v>
      </c>
      <c r="I38" s="102">
        <f>(G38/$G$72)*100</f>
        <v>1.3551453486588156</v>
      </c>
    </row>
    <row r="39" spans="1:9" ht="15" customHeight="1" x14ac:dyDescent="0.35">
      <c r="A39" s="133">
        <v>7</v>
      </c>
      <c r="B39" s="134">
        <v>1004</v>
      </c>
      <c r="C39" s="156"/>
      <c r="D39" s="105" t="s">
        <v>91</v>
      </c>
      <c r="E39" s="106">
        <v>15265</v>
      </c>
      <c r="F39" s="106">
        <v>14577</v>
      </c>
      <c r="G39" s="107">
        <v>29842</v>
      </c>
      <c r="H39" s="108">
        <f t="shared" si="0"/>
        <v>1.0471976401179941</v>
      </c>
      <c r="I39" s="109">
        <f>(G39/$G$72)*100</f>
        <v>1.1445784980945426</v>
      </c>
    </row>
    <row r="40" spans="1:9" ht="15" customHeight="1" x14ac:dyDescent="0.35">
      <c r="A40" s="133">
        <v>7</v>
      </c>
      <c r="B40" s="134">
        <v>1007</v>
      </c>
      <c r="C40" s="156"/>
      <c r="D40" s="105" t="s">
        <v>93</v>
      </c>
      <c r="E40" s="106">
        <v>13850</v>
      </c>
      <c r="F40" s="106">
        <v>13413</v>
      </c>
      <c r="G40" s="107">
        <v>27263</v>
      </c>
      <c r="H40" s="108">
        <f t="shared" si="0"/>
        <v>1.0325803325132334</v>
      </c>
      <c r="I40" s="109">
        <f>(G40/$G$72)*100</f>
        <v>1.0456619393322</v>
      </c>
    </row>
    <row r="41" spans="1:9" ht="15" customHeight="1" thickBot="1" x14ac:dyDescent="0.4">
      <c r="A41" s="141">
        <v>7</v>
      </c>
      <c r="B41" s="142">
        <v>1008</v>
      </c>
      <c r="C41" s="157"/>
      <c r="D41" s="112" t="s">
        <v>181</v>
      </c>
      <c r="E41" s="113">
        <v>14324</v>
      </c>
      <c r="F41" s="113">
        <v>14148</v>
      </c>
      <c r="G41" s="114">
        <v>28472</v>
      </c>
      <c r="H41" s="115">
        <f t="shared" si="0"/>
        <v>1.0124399208368673</v>
      </c>
      <c r="I41" s="116">
        <f>(G41/$G$72)*100</f>
        <v>1.0920326719974471</v>
      </c>
    </row>
    <row r="42" spans="1:9" ht="15" hidden="1" customHeight="1" thickBot="1" x14ac:dyDescent="0.35">
      <c r="A42" s="117"/>
      <c r="B42" s="118"/>
      <c r="C42" s="119" t="s">
        <v>31</v>
      </c>
      <c r="D42" s="120"/>
      <c r="E42" s="159">
        <f>SUM(E38:E41)</f>
        <v>61417</v>
      </c>
      <c r="F42" s="159">
        <f>SUM(F38:F41)</f>
        <v>59492</v>
      </c>
      <c r="G42" s="122">
        <f>SUM(G38:G41)</f>
        <v>120909</v>
      </c>
      <c r="H42" s="123">
        <f>E42/F42</f>
        <v>1.0323572917367041</v>
      </c>
      <c r="I42" s="124">
        <f>G42/$G$72*100</f>
        <v>4.6374184580830056</v>
      </c>
    </row>
    <row r="43" spans="1:9" ht="15" customHeight="1" x14ac:dyDescent="0.35">
      <c r="A43" s="125">
        <v>8</v>
      </c>
      <c r="B43" s="126">
        <v>1001</v>
      </c>
      <c r="C43" s="127" t="s">
        <v>102</v>
      </c>
      <c r="D43" s="128" t="s">
        <v>182</v>
      </c>
      <c r="E43" s="158">
        <v>24010</v>
      </c>
      <c r="F43" s="158">
        <v>24276</v>
      </c>
      <c r="G43" s="130">
        <v>48286</v>
      </c>
      <c r="H43" s="131">
        <f t="shared" si="0"/>
        <v>0.98904267589388695</v>
      </c>
      <c r="I43" s="132">
        <f>(G43/$G$72)*100</f>
        <v>1.8519910649082865</v>
      </c>
    </row>
    <row r="44" spans="1:9" ht="15" customHeight="1" x14ac:dyDescent="0.35">
      <c r="A44" s="133">
        <v>8</v>
      </c>
      <c r="B44" s="134">
        <v>1002</v>
      </c>
      <c r="C44" s="135"/>
      <c r="D44" s="136" t="s">
        <v>183</v>
      </c>
      <c r="E44" s="158">
        <v>19169</v>
      </c>
      <c r="F44" s="158">
        <v>19174</v>
      </c>
      <c r="G44" s="138">
        <v>38343</v>
      </c>
      <c r="H44" s="139">
        <f t="shared" si="0"/>
        <v>0.99973923020757272</v>
      </c>
      <c r="I44" s="140">
        <f>(G44/$G$72)*100</f>
        <v>1.4706311022196585</v>
      </c>
    </row>
    <row r="45" spans="1:9" ht="15" customHeight="1" x14ac:dyDescent="0.35">
      <c r="A45" s="133">
        <v>8</v>
      </c>
      <c r="B45" s="134">
        <v>1003</v>
      </c>
      <c r="C45" s="135"/>
      <c r="D45" s="136" t="s">
        <v>184</v>
      </c>
      <c r="E45" s="158">
        <v>31335</v>
      </c>
      <c r="F45" s="158">
        <v>31548</v>
      </c>
      <c r="G45" s="138">
        <v>62883</v>
      </c>
      <c r="H45" s="139">
        <f t="shared" si="0"/>
        <v>0.99324838341574739</v>
      </c>
      <c r="I45" s="140">
        <f>(G45/$G$72)*100</f>
        <v>2.4118534178566824</v>
      </c>
    </row>
    <row r="46" spans="1:9" ht="15" customHeight="1" thickBot="1" x14ac:dyDescent="0.4">
      <c r="A46" s="133">
        <v>8</v>
      </c>
      <c r="B46" s="134">
        <v>1006</v>
      </c>
      <c r="C46" s="135"/>
      <c r="D46" s="136" t="s">
        <v>185</v>
      </c>
      <c r="E46" s="158">
        <v>19643</v>
      </c>
      <c r="F46" s="158">
        <v>20031</v>
      </c>
      <c r="G46" s="138">
        <v>39674</v>
      </c>
      <c r="H46" s="139">
        <f t="shared" si="0"/>
        <v>0.98063002346363137</v>
      </c>
      <c r="I46" s="140">
        <f>(G46/$G$72)*100</f>
        <v>1.5216810982307782</v>
      </c>
    </row>
    <row r="47" spans="1:9" ht="15" hidden="1" customHeight="1" thickBot="1" x14ac:dyDescent="0.4">
      <c r="A47" s="141">
        <v>8</v>
      </c>
      <c r="B47" s="142">
        <v>1007</v>
      </c>
      <c r="C47" s="143"/>
      <c r="D47" s="144" t="s">
        <v>186</v>
      </c>
      <c r="E47" s="158">
        <v>22959</v>
      </c>
      <c r="F47" s="158">
        <v>23257</v>
      </c>
      <c r="G47" s="146">
        <v>46216</v>
      </c>
      <c r="H47" s="147">
        <f t="shared" si="0"/>
        <v>0.98718665348067247</v>
      </c>
      <c r="I47" s="148">
        <f>(G47/$G$72)*100</f>
        <v>1.7725970064988064</v>
      </c>
    </row>
    <row r="48" spans="1:9" ht="15" hidden="1" customHeight="1" thickBot="1" x14ac:dyDescent="0.35">
      <c r="A48" s="117"/>
      <c r="B48" s="118"/>
      <c r="C48" s="149" t="s">
        <v>31</v>
      </c>
      <c r="D48" s="150"/>
      <c r="E48" s="151">
        <f>SUM(E43:E47)</f>
        <v>117116</v>
      </c>
      <c r="F48" s="151">
        <f>SUM(F43:F47)</f>
        <v>118286</v>
      </c>
      <c r="G48" s="152">
        <f>SUM(G43:G47)</f>
        <v>235402</v>
      </c>
      <c r="H48" s="153">
        <f>E48/F48</f>
        <v>0.99010871954415569</v>
      </c>
      <c r="I48" s="154">
        <f>G48/$G$72*100</f>
        <v>9.0287536897142129</v>
      </c>
    </row>
    <row r="49" spans="1:9" ht="15" customHeight="1" x14ac:dyDescent="0.35">
      <c r="A49" s="125">
        <v>9</v>
      </c>
      <c r="B49" s="126">
        <v>1001</v>
      </c>
      <c r="C49" s="155" t="s">
        <v>112</v>
      </c>
      <c r="D49" s="98" t="s">
        <v>187</v>
      </c>
      <c r="E49" s="99">
        <v>21053</v>
      </c>
      <c r="F49" s="99">
        <v>21123</v>
      </c>
      <c r="G49" s="100">
        <v>42176</v>
      </c>
      <c r="H49" s="101">
        <f t="shared" si="0"/>
        <v>0.99668607678833498</v>
      </c>
      <c r="I49" s="102">
        <f t="shared" ref="I49:I54" si="2">(G49/$G$72)*100</f>
        <v>1.6176443514387584</v>
      </c>
    </row>
    <row r="50" spans="1:9" ht="15" customHeight="1" x14ac:dyDescent="0.35">
      <c r="A50" s="133">
        <v>9</v>
      </c>
      <c r="B50" s="134">
        <v>1002</v>
      </c>
      <c r="C50" s="156"/>
      <c r="D50" s="105" t="s">
        <v>188</v>
      </c>
      <c r="E50" s="106">
        <v>19375</v>
      </c>
      <c r="F50" s="106">
        <v>19468</v>
      </c>
      <c r="G50" s="107">
        <v>38843</v>
      </c>
      <c r="H50" s="108">
        <f t="shared" si="0"/>
        <v>0.99522292993630568</v>
      </c>
      <c r="I50" s="109">
        <f t="shared" si="2"/>
        <v>1.4898084110142187</v>
      </c>
    </row>
    <row r="51" spans="1:9" ht="15" customHeight="1" x14ac:dyDescent="0.35">
      <c r="A51" s="133">
        <v>9</v>
      </c>
      <c r="B51" s="134">
        <v>1003</v>
      </c>
      <c r="C51" s="156"/>
      <c r="D51" s="105" t="s">
        <v>189</v>
      </c>
      <c r="E51" s="106">
        <v>23678</v>
      </c>
      <c r="F51" s="106">
        <v>23999</v>
      </c>
      <c r="G51" s="107">
        <v>47677</v>
      </c>
      <c r="H51" s="108">
        <f t="shared" si="0"/>
        <v>0.98662444268511185</v>
      </c>
      <c r="I51" s="109">
        <f t="shared" si="2"/>
        <v>1.8286331027965119</v>
      </c>
    </row>
    <row r="52" spans="1:9" ht="15" customHeight="1" x14ac:dyDescent="0.35">
      <c r="A52" s="133">
        <v>9</v>
      </c>
      <c r="B52" s="134">
        <v>1004</v>
      </c>
      <c r="C52" s="156"/>
      <c r="D52" s="105" t="s">
        <v>190</v>
      </c>
      <c r="E52" s="106">
        <v>21064</v>
      </c>
      <c r="F52" s="106">
        <v>21168</v>
      </c>
      <c r="G52" s="107">
        <v>42232</v>
      </c>
      <c r="H52" s="108">
        <f t="shared" si="0"/>
        <v>0.99508692365835227</v>
      </c>
      <c r="I52" s="109">
        <f t="shared" si="2"/>
        <v>1.6197922100237492</v>
      </c>
    </row>
    <row r="53" spans="1:9" ht="15" customHeight="1" x14ac:dyDescent="0.35">
      <c r="A53" s="133">
        <v>9</v>
      </c>
      <c r="B53" s="134">
        <v>1005</v>
      </c>
      <c r="C53" s="156"/>
      <c r="D53" s="105" t="s">
        <v>191</v>
      </c>
      <c r="E53" s="106">
        <v>18673</v>
      </c>
      <c r="F53" s="106">
        <v>18982</v>
      </c>
      <c r="G53" s="107">
        <v>37655</v>
      </c>
      <c r="H53" s="108">
        <f t="shared" si="0"/>
        <v>0.9837214202929091</v>
      </c>
      <c r="I53" s="109">
        <f t="shared" si="2"/>
        <v>1.4442431253183432</v>
      </c>
    </row>
    <row r="54" spans="1:9" ht="15" customHeight="1" thickBot="1" x14ac:dyDescent="0.4">
      <c r="A54" s="141">
        <v>9</v>
      </c>
      <c r="B54" s="142">
        <v>1006</v>
      </c>
      <c r="C54" s="157"/>
      <c r="D54" s="112" t="s">
        <v>192</v>
      </c>
      <c r="E54" s="113">
        <v>22107</v>
      </c>
      <c r="F54" s="113">
        <v>22300</v>
      </c>
      <c r="G54" s="114">
        <v>44407</v>
      </c>
      <c r="H54" s="115">
        <f t="shared" si="0"/>
        <v>0.99134529147982065</v>
      </c>
      <c r="I54" s="116">
        <f t="shared" si="2"/>
        <v>1.703213503280087</v>
      </c>
    </row>
    <row r="55" spans="1:9" ht="15" hidden="1" customHeight="1" thickBot="1" x14ac:dyDescent="0.35">
      <c r="A55" s="117"/>
      <c r="B55" s="118"/>
      <c r="C55" s="119" t="s">
        <v>31</v>
      </c>
      <c r="D55" s="120"/>
      <c r="E55" s="159">
        <f>SUM(E49:E54)</f>
        <v>125950</v>
      </c>
      <c r="F55" s="159">
        <f>SUM(F49:F54)</f>
        <v>127040</v>
      </c>
      <c r="G55" s="122">
        <f>SUM(G49:G54)</f>
        <v>252990</v>
      </c>
      <c r="H55" s="123">
        <f>E55/F55</f>
        <v>0.99142002518891692</v>
      </c>
      <c r="I55" s="124">
        <f>G55/$G$72*100</f>
        <v>9.7033347038716684</v>
      </c>
    </row>
    <row r="56" spans="1:9" ht="15" customHeight="1" x14ac:dyDescent="0.35">
      <c r="A56" s="125">
        <v>10</v>
      </c>
      <c r="B56" s="126">
        <v>1001</v>
      </c>
      <c r="C56" s="127" t="s">
        <v>123</v>
      </c>
      <c r="D56" s="128" t="s">
        <v>193</v>
      </c>
      <c r="E56" s="158">
        <v>15990</v>
      </c>
      <c r="F56" s="158">
        <v>16349</v>
      </c>
      <c r="G56" s="130">
        <v>32339</v>
      </c>
      <c r="H56" s="131">
        <f t="shared" si="0"/>
        <v>0.97804147042632572</v>
      </c>
      <c r="I56" s="132">
        <f>(G56/$G$72)*100</f>
        <v>1.2403499782145773</v>
      </c>
    </row>
    <row r="57" spans="1:9" ht="15" customHeight="1" x14ac:dyDescent="0.35">
      <c r="A57" s="133">
        <v>10</v>
      </c>
      <c r="B57" s="134">
        <v>1002</v>
      </c>
      <c r="C57" s="135"/>
      <c r="D57" s="136" t="s">
        <v>194</v>
      </c>
      <c r="E57" s="158">
        <v>8325</v>
      </c>
      <c r="F57" s="158">
        <v>8848</v>
      </c>
      <c r="G57" s="138">
        <v>17173</v>
      </c>
      <c r="H57" s="139">
        <f t="shared" si="0"/>
        <v>0.94089059674502717</v>
      </c>
      <c r="I57" s="140">
        <f>(G57/$G$72)*100</f>
        <v>0.65866384785797127</v>
      </c>
    </row>
    <row r="58" spans="1:9" ht="15" customHeight="1" x14ac:dyDescent="0.35">
      <c r="A58" s="133">
        <v>10</v>
      </c>
      <c r="B58" s="134">
        <v>1003</v>
      </c>
      <c r="C58" s="135"/>
      <c r="D58" s="136" t="s">
        <v>195</v>
      </c>
      <c r="E58" s="158">
        <v>15206</v>
      </c>
      <c r="F58" s="158">
        <v>15258</v>
      </c>
      <c r="G58" s="138">
        <v>30464</v>
      </c>
      <c r="H58" s="139">
        <f t="shared" si="0"/>
        <v>0.99659195176300952</v>
      </c>
      <c r="I58" s="140">
        <f>(G58/$G$72)*100</f>
        <v>1.1684350702349757</v>
      </c>
    </row>
    <row r="59" spans="1:9" ht="15" customHeight="1" x14ac:dyDescent="0.35">
      <c r="A59" s="133">
        <v>10</v>
      </c>
      <c r="B59" s="134">
        <v>1004</v>
      </c>
      <c r="C59" s="135"/>
      <c r="D59" s="136" t="s">
        <v>196</v>
      </c>
      <c r="E59" s="158">
        <v>10234</v>
      </c>
      <c r="F59" s="158">
        <v>10208</v>
      </c>
      <c r="G59" s="138">
        <v>20442</v>
      </c>
      <c r="H59" s="139">
        <f t="shared" si="0"/>
        <v>1.0025470219435737</v>
      </c>
      <c r="I59" s="140">
        <f>(G59/$G$72)*100</f>
        <v>0.78404509275680712</v>
      </c>
    </row>
    <row r="60" spans="1:9" ht="15" customHeight="1" thickBot="1" x14ac:dyDescent="0.4">
      <c r="A60" s="141">
        <v>10</v>
      </c>
      <c r="B60" s="142">
        <v>1005</v>
      </c>
      <c r="C60" s="143"/>
      <c r="D60" s="144" t="s">
        <v>197</v>
      </c>
      <c r="E60" s="158">
        <v>11855</v>
      </c>
      <c r="F60" s="158">
        <v>11792</v>
      </c>
      <c r="G60" s="146">
        <v>23647</v>
      </c>
      <c r="H60" s="147">
        <f t="shared" si="0"/>
        <v>1.0053426051560379</v>
      </c>
      <c r="I60" s="148">
        <f>(G60/$G$72)*100</f>
        <v>0.9069716421299393</v>
      </c>
    </row>
    <row r="61" spans="1:9" ht="15" hidden="1" customHeight="1" thickBot="1" x14ac:dyDescent="0.35">
      <c r="A61" s="117"/>
      <c r="B61" s="118"/>
      <c r="C61" s="149" t="s">
        <v>31</v>
      </c>
      <c r="D61" s="150"/>
      <c r="E61" s="151">
        <f>SUM(E56:E60)</f>
        <v>61610</v>
      </c>
      <c r="F61" s="151">
        <f>SUM(F56:F60)</f>
        <v>62455</v>
      </c>
      <c r="G61" s="152">
        <f>SUM(G56:G60)</f>
        <v>124065</v>
      </c>
      <c r="H61" s="153">
        <f>E61/F61</f>
        <v>0.98647025858618209</v>
      </c>
      <c r="I61" s="154">
        <f>G61/$G$72*100</f>
        <v>4.7584656311942712</v>
      </c>
    </row>
    <row r="62" spans="1:9" ht="15" customHeight="1" x14ac:dyDescent="0.35">
      <c r="A62" s="125">
        <v>11</v>
      </c>
      <c r="B62" s="126">
        <v>1001</v>
      </c>
      <c r="C62" s="155" t="s">
        <v>142</v>
      </c>
      <c r="D62" s="98" t="s">
        <v>134</v>
      </c>
      <c r="E62" s="99">
        <v>30690</v>
      </c>
      <c r="F62" s="99">
        <v>30216</v>
      </c>
      <c r="G62" s="100">
        <v>60906</v>
      </c>
      <c r="H62" s="101">
        <f t="shared" si="0"/>
        <v>1.0156870532168387</v>
      </c>
      <c r="I62" s="102">
        <f>(G62/$G$72)*100</f>
        <v>2.3360263388829909</v>
      </c>
    </row>
    <row r="63" spans="1:9" ht="15" customHeight="1" x14ac:dyDescent="0.35">
      <c r="A63" s="133">
        <v>11</v>
      </c>
      <c r="B63" s="134">
        <v>1002</v>
      </c>
      <c r="C63" s="156"/>
      <c r="D63" s="105" t="s">
        <v>136</v>
      </c>
      <c r="E63" s="106">
        <v>23652</v>
      </c>
      <c r="F63" s="106">
        <v>23863</v>
      </c>
      <c r="G63" s="107">
        <v>47515</v>
      </c>
      <c r="H63" s="108">
        <f t="shared" si="0"/>
        <v>0.99115785944768053</v>
      </c>
      <c r="I63" s="109">
        <f>(G63/$G$72)*100</f>
        <v>1.8224196547470743</v>
      </c>
    </row>
    <row r="64" spans="1:9" ht="15" customHeight="1" x14ac:dyDescent="0.35">
      <c r="A64" s="133">
        <v>11</v>
      </c>
      <c r="B64" s="134">
        <v>1003</v>
      </c>
      <c r="C64" s="156"/>
      <c r="D64" s="105" t="s">
        <v>142</v>
      </c>
      <c r="E64" s="106">
        <v>40843</v>
      </c>
      <c r="F64" s="106">
        <v>41131</v>
      </c>
      <c r="G64" s="107">
        <v>81974</v>
      </c>
      <c r="H64" s="108">
        <f t="shared" si="0"/>
        <v>0.99299798205732903</v>
      </c>
      <c r="I64" s="109">
        <f>(G64/$G$72)*100</f>
        <v>3.1440814222505877</v>
      </c>
    </row>
    <row r="65" spans="1:10" ht="15" customHeight="1" thickBot="1" x14ac:dyDescent="0.4">
      <c r="A65" s="141">
        <v>11</v>
      </c>
      <c r="B65" s="142">
        <v>1004</v>
      </c>
      <c r="C65" s="157"/>
      <c r="D65" s="112" t="s">
        <v>198</v>
      </c>
      <c r="E65" s="113">
        <v>20759</v>
      </c>
      <c r="F65" s="113">
        <v>20446</v>
      </c>
      <c r="G65" s="114">
        <v>41205</v>
      </c>
      <c r="H65" s="115">
        <f t="shared" si="0"/>
        <v>1.015308617822557</v>
      </c>
      <c r="I65" s="116">
        <f>(G65/$G$72)*100</f>
        <v>1.580402017759722</v>
      </c>
    </row>
    <row r="66" spans="1:10" ht="15" hidden="1" customHeight="1" thickBot="1" x14ac:dyDescent="0.35">
      <c r="A66" s="117"/>
      <c r="B66" s="118"/>
      <c r="C66" s="119" t="s">
        <v>31</v>
      </c>
      <c r="D66" s="120"/>
      <c r="E66" s="121">
        <f>SUM(E62:E65)</f>
        <v>115944</v>
      </c>
      <c r="F66" s="121">
        <f>SUM(F62:F65)</f>
        <v>115656</v>
      </c>
      <c r="G66" s="122">
        <f>SUM(G62:G65)</f>
        <v>231600</v>
      </c>
      <c r="H66" s="123">
        <f>E66/F66</f>
        <v>1.0024901431832329</v>
      </c>
      <c r="I66" s="124">
        <f>G66/$G$72*100</f>
        <v>8.8829294336403759</v>
      </c>
      <c r="J66" s="160"/>
    </row>
    <row r="67" spans="1:10" ht="15" customHeight="1" x14ac:dyDescent="0.35">
      <c r="A67" s="125">
        <v>12</v>
      </c>
      <c r="B67" s="126">
        <v>1001</v>
      </c>
      <c r="C67" s="127" t="s">
        <v>153</v>
      </c>
      <c r="D67" s="128" t="s">
        <v>199</v>
      </c>
      <c r="E67" s="158">
        <v>29279</v>
      </c>
      <c r="F67" s="158">
        <v>29620</v>
      </c>
      <c r="G67" s="130">
        <v>58899</v>
      </c>
      <c r="H67" s="131">
        <f t="shared" si="0"/>
        <v>0.98848750844024313</v>
      </c>
      <c r="I67" s="132">
        <f>(G67/$G$72)*100</f>
        <v>2.2590486213816252</v>
      </c>
    </row>
    <row r="68" spans="1:10" ht="15" customHeight="1" x14ac:dyDescent="0.35">
      <c r="A68" s="133">
        <v>12</v>
      </c>
      <c r="B68" s="134">
        <v>1002</v>
      </c>
      <c r="C68" s="135"/>
      <c r="D68" s="136" t="s">
        <v>200</v>
      </c>
      <c r="E68" s="158">
        <v>11807</v>
      </c>
      <c r="F68" s="158">
        <v>11997</v>
      </c>
      <c r="G68" s="138">
        <v>23804</v>
      </c>
      <c r="H68" s="139">
        <f t="shared" si="0"/>
        <v>0.98416270734350253</v>
      </c>
      <c r="I68" s="140">
        <f>(G68/$G$72)*100</f>
        <v>0.91299331709143117</v>
      </c>
    </row>
    <row r="69" spans="1:10" ht="15" customHeight="1" x14ac:dyDescent="0.35">
      <c r="A69" s="133">
        <v>12</v>
      </c>
      <c r="B69" s="134">
        <v>1003</v>
      </c>
      <c r="C69" s="135"/>
      <c r="D69" s="136" t="s">
        <v>201</v>
      </c>
      <c r="E69" s="158">
        <v>11317</v>
      </c>
      <c r="F69" s="158">
        <v>11259</v>
      </c>
      <c r="G69" s="138">
        <v>22576</v>
      </c>
      <c r="H69" s="139">
        <f t="shared" si="0"/>
        <v>1.0051514344080292</v>
      </c>
      <c r="I69" s="140">
        <f>(G69/$G$72)*100</f>
        <v>0.86589384669199088</v>
      </c>
    </row>
    <row r="70" spans="1:10" ht="15" customHeight="1" thickBot="1" x14ac:dyDescent="0.4">
      <c r="A70" s="141">
        <v>12</v>
      </c>
      <c r="B70" s="142">
        <v>1004</v>
      </c>
      <c r="C70" s="143"/>
      <c r="D70" s="144" t="s">
        <v>202</v>
      </c>
      <c r="E70" s="161">
        <v>14356</v>
      </c>
      <c r="F70" s="161">
        <v>14329</v>
      </c>
      <c r="G70" s="146">
        <v>28685</v>
      </c>
      <c r="H70" s="147">
        <f t="shared" si="0"/>
        <v>1.0018842905994836</v>
      </c>
      <c r="I70" s="148">
        <f>(G70/$G$72)*100</f>
        <v>1.10020220554393</v>
      </c>
    </row>
    <row r="71" spans="1:10" ht="15" hidden="1" customHeight="1" thickBot="1" x14ac:dyDescent="0.35">
      <c r="A71" s="162"/>
      <c r="B71" s="163"/>
      <c r="C71" s="149" t="s">
        <v>31</v>
      </c>
      <c r="D71" s="164"/>
      <c r="E71" s="165">
        <f>SUM(E67:E70)</f>
        <v>66759</v>
      </c>
      <c r="F71" s="151">
        <f>SUM(F67:F70)</f>
        <v>67205</v>
      </c>
      <c r="G71" s="166">
        <f>SUM(G67:G70)</f>
        <v>133964</v>
      </c>
      <c r="H71" s="167">
        <f>E71/F71</f>
        <v>0.99336358901867416</v>
      </c>
      <c r="I71" s="168">
        <f>G71/G72*100</f>
        <v>5.1381379907089775</v>
      </c>
    </row>
    <row r="72" spans="1:10" ht="15" customHeight="1" thickBot="1" x14ac:dyDescent="0.35">
      <c r="A72" s="641" t="s">
        <v>7</v>
      </c>
      <c r="B72" s="642"/>
      <c r="C72" s="643"/>
      <c r="D72" s="643"/>
      <c r="E72" s="169">
        <f>SUM(E8,E14,E21,E27,E32,E37,E42,E48,E55,E61,E66,E71)</f>
        <v>1300822</v>
      </c>
      <c r="F72" s="169">
        <f>SUM(F8,F14,F21,F27,F32,F37,F42,F48,F55,F61,F66,F71)</f>
        <v>1306426</v>
      </c>
      <c r="G72" s="169">
        <f>SUM(G8,G14,G21,G27,G32,G37,G42,G48,G55,G61,G66,G71)</f>
        <v>2607248</v>
      </c>
      <c r="H72" s="170">
        <f>E72/F72</f>
        <v>0.99571043442185014</v>
      </c>
      <c r="I72" s="171">
        <f>SUM(I8,I14,I21,I27,I32,I37,I42,I48,I55,I61,I66,I71)</f>
        <v>100</v>
      </c>
    </row>
    <row r="73" spans="1:10" ht="15" customHeight="1" x14ac:dyDescent="0.3">
      <c r="C73" s="65"/>
      <c r="D73" s="65"/>
      <c r="E73" s="65">
        <f>E72/G72*100</f>
        <v>49.892530361515284</v>
      </c>
      <c r="F73" s="65">
        <f>F72/G72*100</f>
        <v>50.107469638484716</v>
      </c>
      <c r="G73" s="65">
        <f>SUM(E73:F73)</f>
        <v>100</v>
      </c>
      <c r="H73" s="65">
        <f>E73/F73*100</f>
        <v>99.571043442185015</v>
      </c>
      <c r="I73" s="172">
        <f>SUM(G73:H73)</f>
        <v>199.57104344218502</v>
      </c>
    </row>
    <row r="74" spans="1:10" ht="15" customHeight="1" x14ac:dyDescent="0.3">
      <c r="C74" s="173"/>
      <c r="D74" s="173"/>
      <c r="E74" s="173"/>
      <c r="F74" s="173"/>
      <c r="G74" s="174"/>
      <c r="H74" s="175"/>
      <c r="I74" s="174"/>
      <c r="J74" s="73"/>
    </row>
    <row r="75" spans="1:10" x14ac:dyDescent="0.3">
      <c r="C75" s="173"/>
      <c r="D75" s="173"/>
      <c r="E75" s="173"/>
      <c r="F75" s="176"/>
      <c r="G75" s="174"/>
      <c r="H75" s="173" t="s">
        <v>157</v>
      </c>
      <c r="I75" s="174"/>
    </row>
    <row r="76" spans="1:10" x14ac:dyDescent="0.3">
      <c r="I76" s="2" t="s">
        <v>157</v>
      </c>
    </row>
  </sheetData>
  <mergeCells count="2">
    <mergeCell ref="A1:I1"/>
    <mergeCell ref="A72:D72"/>
  </mergeCells>
  <pageMargins left="0.39370078740157483" right="0.19685039370078741" top="0.39370078740157483" bottom="0.39370078740157483" header="0.31496062992125984" footer="0.31496062992125984"/>
  <pageSetup paperSize="5" scale="65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907D9-4F94-46B3-A60D-6BCB7B880672}">
  <sheetPr>
    <tabColor rgb="FF00B050"/>
  </sheetPr>
  <dimension ref="A1:U74"/>
  <sheetViews>
    <sheetView showGridLines="0" topLeftCell="A62" zoomScale="55" zoomScaleNormal="55" zoomScaleSheetLayoutView="40" workbookViewId="0">
      <selection activeCell="E73" sqref="E73:G73"/>
    </sheetView>
  </sheetViews>
  <sheetFormatPr defaultColWidth="9.1796875" defaultRowHeight="14" x14ac:dyDescent="0.3"/>
  <cols>
    <col min="1" max="1" width="8" style="266" customWidth="1"/>
    <col min="2" max="2" width="10.1796875" style="266" customWidth="1"/>
    <col min="3" max="3" width="18.81640625" style="179" customWidth="1"/>
    <col min="4" max="7" width="24.54296875" style="179" customWidth="1"/>
    <col min="8" max="8" width="12.54296875" style="179" hidden="1" customWidth="1"/>
    <col min="9" max="9" width="0" style="77" hidden="1" customWidth="1"/>
    <col min="10" max="11" width="0" style="179" hidden="1" customWidth="1"/>
    <col min="12" max="12" width="14.81640625" style="179" hidden="1" customWidth="1"/>
    <col min="13" max="13" width="19.81640625" style="179" hidden="1" customWidth="1"/>
    <col min="14" max="14" width="4.81640625" style="179" hidden="1" customWidth="1"/>
    <col min="15" max="16" width="9.1796875" style="179"/>
    <col min="17" max="17" width="11.453125" style="179" hidden="1" customWidth="1"/>
    <col min="18" max="18" width="18.81640625" style="179" hidden="1" customWidth="1"/>
    <col min="19" max="21" width="8.1796875" style="179" hidden="1" customWidth="1"/>
    <col min="22" max="16384" width="9.1796875" style="179"/>
  </cols>
  <sheetData>
    <row r="1" spans="1:21" ht="18.75" customHeight="1" x14ac:dyDescent="0.45">
      <c r="A1" s="644" t="s">
        <v>203</v>
      </c>
      <c r="B1" s="644"/>
      <c r="C1" s="644"/>
      <c r="D1" s="644"/>
      <c r="E1" s="644"/>
      <c r="F1" s="644"/>
      <c r="G1" s="644"/>
      <c r="H1" s="177"/>
      <c r="I1" s="178"/>
    </row>
    <row r="2" spans="1:21" ht="18.75" customHeight="1" x14ac:dyDescent="0.3">
      <c r="A2" s="644" t="s">
        <v>204</v>
      </c>
      <c r="B2" s="644"/>
      <c r="C2" s="644"/>
      <c r="D2" s="644"/>
      <c r="E2" s="644"/>
      <c r="F2" s="644"/>
      <c r="G2" s="644"/>
      <c r="H2" s="644"/>
      <c r="I2" s="644"/>
    </row>
    <row r="3" spans="1:21" ht="14.5" thickBot="1" x14ac:dyDescent="0.35">
      <c r="A3" s="180"/>
      <c r="B3" s="180"/>
      <c r="C3" s="181"/>
      <c r="D3" s="181"/>
      <c r="E3" s="181"/>
      <c r="F3" s="181"/>
      <c r="G3" s="181"/>
      <c r="H3" s="181"/>
    </row>
    <row r="4" spans="1:21" ht="36.5" thickBot="1" x14ac:dyDescent="0.4">
      <c r="A4" s="182" t="s">
        <v>161</v>
      </c>
      <c r="B4" s="183" t="s">
        <v>2</v>
      </c>
      <c r="C4" s="183" t="s">
        <v>3</v>
      </c>
      <c r="D4" s="183" t="s">
        <v>4</v>
      </c>
      <c r="E4" s="183" t="s">
        <v>205</v>
      </c>
      <c r="F4" s="183" t="s">
        <v>6</v>
      </c>
      <c r="G4" s="184" t="s">
        <v>7</v>
      </c>
      <c r="H4" s="185" t="s">
        <v>206</v>
      </c>
      <c r="I4" s="186"/>
      <c r="J4" s="187" t="s">
        <v>161</v>
      </c>
      <c r="K4" s="187" t="s">
        <v>2</v>
      </c>
      <c r="L4" s="187" t="s">
        <v>3</v>
      </c>
      <c r="M4" s="187" t="s">
        <v>4</v>
      </c>
      <c r="N4" s="188" t="s">
        <v>7</v>
      </c>
      <c r="Q4" s="27" t="s">
        <v>14</v>
      </c>
      <c r="R4" s="27" t="s">
        <v>15</v>
      </c>
      <c r="S4" s="27" t="s">
        <v>207</v>
      </c>
      <c r="T4" s="27" t="s">
        <v>208</v>
      </c>
      <c r="U4" s="27" t="s">
        <v>18</v>
      </c>
    </row>
    <row r="5" spans="1:21" ht="19" thickTop="1" thickBot="1" x14ac:dyDescent="0.45">
      <c r="A5" s="189">
        <v>1</v>
      </c>
      <c r="B5" s="190">
        <v>1001</v>
      </c>
      <c r="C5" s="191" t="s">
        <v>20</v>
      </c>
      <c r="D5" s="192" t="s">
        <v>19</v>
      </c>
      <c r="E5" s="193">
        <v>16538</v>
      </c>
      <c r="F5" s="193">
        <v>4883</v>
      </c>
      <c r="G5" s="194">
        <v>21421</v>
      </c>
      <c r="H5" s="195">
        <v>20274</v>
      </c>
      <c r="I5" s="186"/>
      <c r="J5" s="187">
        <v>1</v>
      </c>
      <c r="K5" s="187">
        <v>1001</v>
      </c>
      <c r="L5" s="12" t="s">
        <v>20</v>
      </c>
      <c r="M5" s="12" t="s">
        <v>162</v>
      </c>
      <c r="N5" s="196">
        <v>20274</v>
      </c>
      <c r="Q5" s="197" t="s">
        <v>21</v>
      </c>
      <c r="R5" s="197" t="s">
        <v>22</v>
      </c>
      <c r="S5" s="198">
        <v>653115</v>
      </c>
      <c r="T5" s="198">
        <v>165483</v>
      </c>
      <c r="U5" s="198">
        <v>818598</v>
      </c>
    </row>
    <row r="6" spans="1:21" ht="18" x14ac:dyDescent="0.4">
      <c r="A6" s="199">
        <v>1</v>
      </c>
      <c r="B6" s="200">
        <v>1002</v>
      </c>
      <c r="C6" s="201" t="s">
        <v>20</v>
      </c>
      <c r="D6" s="136" t="s">
        <v>23</v>
      </c>
      <c r="E6" s="202">
        <v>17006</v>
      </c>
      <c r="F6" s="202">
        <v>4987</v>
      </c>
      <c r="G6" s="203">
        <v>21993</v>
      </c>
      <c r="H6" s="195">
        <v>21587</v>
      </c>
      <c r="I6" s="186"/>
      <c r="J6" s="187">
        <v>1</v>
      </c>
      <c r="K6" s="187">
        <v>1002</v>
      </c>
      <c r="L6" s="12" t="s">
        <v>20</v>
      </c>
      <c r="M6" s="12" t="s">
        <v>23</v>
      </c>
      <c r="N6" s="196">
        <v>21587</v>
      </c>
      <c r="Q6" s="204" t="s">
        <v>24</v>
      </c>
      <c r="R6" s="204" t="s">
        <v>20</v>
      </c>
      <c r="S6" s="205">
        <v>69598</v>
      </c>
      <c r="T6" s="205">
        <v>19463</v>
      </c>
      <c r="U6" s="205">
        <v>89061</v>
      </c>
    </row>
    <row r="7" spans="1:21" ht="18" x14ac:dyDescent="0.4">
      <c r="A7" s="199">
        <v>1</v>
      </c>
      <c r="B7" s="200">
        <v>1003</v>
      </c>
      <c r="C7" s="201" t="s">
        <v>20</v>
      </c>
      <c r="D7" s="136" t="s">
        <v>25</v>
      </c>
      <c r="E7" s="202">
        <v>19312</v>
      </c>
      <c r="F7" s="202">
        <v>5325</v>
      </c>
      <c r="G7" s="203">
        <v>24637</v>
      </c>
      <c r="H7" s="195">
        <v>23458</v>
      </c>
      <c r="I7" s="186"/>
      <c r="J7" s="187">
        <v>1</v>
      </c>
      <c r="K7" s="187">
        <v>1003</v>
      </c>
      <c r="L7" s="12" t="s">
        <v>20</v>
      </c>
      <c r="M7" s="12" t="s">
        <v>163</v>
      </c>
      <c r="N7" s="196">
        <v>23458</v>
      </c>
      <c r="Q7" s="206" t="s">
        <v>26</v>
      </c>
      <c r="R7" s="206" t="s">
        <v>19</v>
      </c>
      <c r="S7" s="207">
        <v>16511</v>
      </c>
      <c r="T7" s="207">
        <v>4651</v>
      </c>
      <c r="U7" s="207">
        <v>21162</v>
      </c>
    </row>
    <row r="8" spans="1:21" ht="18.5" thickBot="1" x14ac:dyDescent="0.45">
      <c r="A8" s="208">
        <v>1</v>
      </c>
      <c r="B8" s="209">
        <v>1004</v>
      </c>
      <c r="C8" s="210" t="s">
        <v>20</v>
      </c>
      <c r="D8" s="144" t="s">
        <v>27</v>
      </c>
      <c r="E8" s="211">
        <v>16740</v>
      </c>
      <c r="F8" s="211">
        <v>4991</v>
      </c>
      <c r="G8" s="212">
        <v>21731</v>
      </c>
      <c r="H8" s="195">
        <v>20819</v>
      </c>
      <c r="I8" s="186"/>
      <c r="J8" s="187">
        <v>1</v>
      </c>
      <c r="K8" s="187">
        <v>1004</v>
      </c>
      <c r="L8" s="12" t="s">
        <v>20</v>
      </c>
      <c r="M8" s="12" t="s">
        <v>164</v>
      </c>
      <c r="N8" s="196">
        <v>20819</v>
      </c>
      <c r="Q8" s="206" t="s">
        <v>28</v>
      </c>
      <c r="R8" s="206" t="s">
        <v>23</v>
      </c>
      <c r="S8" s="207">
        <v>17042</v>
      </c>
      <c r="T8" s="207">
        <v>4878</v>
      </c>
      <c r="U8" s="207">
        <v>21920</v>
      </c>
    </row>
    <row r="9" spans="1:21" ht="18.5" thickBot="1" x14ac:dyDescent="0.45">
      <c r="A9" s="213"/>
      <c r="B9" s="214"/>
      <c r="C9" s="215"/>
      <c r="D9" s="216"/>
      <c r="E9" s="217">
        <f>SUM(E3:E8)</f>
        <v>69596</v>
      </c>
      <c r="F9" s="217">
        <f>SUM(F3:F8)</f>
        <v>20186</v>
      </c>
      <c r="G9" s="218">
        <f>SUM(G3:G8)</f>
        <v>89782</v>
      </c>
      <c r="H9" s="219">
        <f>SUM(H5:H8)</f>
        <v>86138</v>
      </c>
      <c r="I9" s="220">
        <v>86138</v>
      </c>
      <c r="J9" s="187">
        <v>2</v>
      </c>
      <c r="K9" s="187">
        <v>1001</v>
      </c>
      <c r="L9" s="12" t="s">
        <v>34</v>
      </c>
      <c r="M9" s="12" t="s">
        <v>30</v>
      </c>
      <c r="N9" s="196">
        <v>20083</v>
      </c>
      <c r="Q9" s="206" t="s">
        <v>29</v>
      </c>
      <c r="R9" s="206" t="s">
        <v>25</v>
      </c>
      <c r="S9" s="207">
        <v>19305</v>
      </c>
      <c r="T9" s="207">
        <v>5151</v>
      </c>
      <c r="U9" s="207">
        <v>24456</v>
      </c>
    </row>
    <row r="10" spans="1:21" ht="18.5" thickBot="1" x14ac:dyDescent="0.45">
      <c r="A10" s="221">
        <v>2</v>
      </c>
      <c r="B10" s="222">
        <v>1001</v>
      </c>
      <c r="C10" s="223" t="s">
        <v>34</v>
      </c>
      <c r="D10" s="98" t="s">
        <v>30</v>
      </c>
      <c r="E10" s="224">
        <v>16498</v>
      </c>
      <c r="F10" s="224">
        <v>4710</v>
      </c>
      <c r="G10" s="225">
        <v>21208</v>
      </c>
      <c r="H10" s="226">
        <v>20083</v>
      </c>
      <c r="I10" s="186"/>
      <c r="J10" s="187">
        <v>2</v>
      </c>
      <c r="K10" s="187">
        <v>1002</v>
      </c>
      <c r="L10" s="12" t="s">
        <v>34</v>
      </c>
      <c r="M10" s="12" t="s">
        <v>33</v>
      </c>
      <c r="N10" s="196">
        <v>15986</v>
      </c>
      <c r="Q10" s="227" t="s">
        <v>32</v>
      </c>
      <c r="R10" s="227" t="s">
        <v>27</v>
      </c>
      <c r="S10" s="228">
        <v>16740</v>
      </c>
      <c r="T10" s="228">
        <v>4783</v>
      </c>
      <c r="U10" s="228">
        <v>21523</v>
      </c>
    </row>
    <row r="11" spans="1:21" ht="18" x14ac:dyDescent="0.4">
      <c r="A11" s="229">
        <v>2</v>
      </c>
      <c r="B11" s="230">
        <v>1002</v>
      </c>
      <c r="C11" s="231" t="s">
        <v>34</v>
      </c>
      <c r="D11" s="105" t="s">
        <v>33</v>
      </c>
      <c r="E11" s="232">
        <v>12620</v>
      </c>
      <c r="F11" s="232">
        <v>3595</v>
      </c>
      <c r="G11" s="225">
        <v>16215</v>
      </c>
      <c r="H11" s="226">
        <v>15986</v>
      </c>
      <c r="I11" s="186"/>
      <c r="J11" s="187">
        <v>2</v>
      </c>
      <c r="K11" s="187">
        <v>1003</v>
      </c>
      <c r="L11" s="12" t="s">
        <v>34</v>
      </c>
      <c r="M11" s="12" t="s">
        <v>165</v>
      </c>
      <c r="N11" s="196">
        <v>14363</v>
      </c>
      <c r="Q11" s="204" t="s">
        <v>35</v>
      </c>
      <c r="R11" s="204" t="s">
        <v>34</v>
      </c>
      <c r="S11" s="205">
        <v>68976</v>
      </c>
      <c r="T11" s="205">
        <v>19193</v>
      </c>
      <c r="U11" s="205">
        <v>88169</v>
      </c>
    </row>
    <row r="12" spans="1:21" ht="18" x14ac:dyDescent="0.4">
      <c r="A12" s="229">
        <v>2</v>
      </c>
      <c r="B12" s="230">
        <v>1003</v>
      </c>
      <c r="C12" s="231" t="s">
        <v>34</v>
      </c>
      <c r="D12" s="105" t="s">
        <v>36</v>
      </c>
      <c r="E12" s="232">
        <v>11730</v>
      </c>
      <c r="F12" s="232">
        <v>3196</v>
      </c>
      <c r="G12" s="225">
        <v>14926</v>
      </c>
      <c r="H12" s="226">
        <v>14363</v>
      </c>
      <c r="I12" s="186"/>
      <c r="J12" s="187">
        <v>2</v>
      </c>
      <c r="K12" s="187">
        <v>1004</v>
      </c>
      <c r="L12" s="12" t="s">
        <v>34</v>
      </c>
      <c r="M12" s="12" t="s">
        <v>166</v>
      </c>
      <c r="N12" s="196">
        <v>10789</v>
      </c>
      <c r="Q12" s="206" t="s">
        <v>37</v>
      </c>
      <c r="R12" s="206" t="s">
        <v>30</v>
      </c>
      <c r="S12" s="207">
        <v>16506</v>
      </c>
      <c r="T12" s="207">
        <v>4530</v>
      </c>
      <c r="U12" s="207">
        <v>21036</v>
      </c>
    </row>
    <row r="13" spans="1:21" ht="18" x14ac:dyDescent="0.4">
      <c r="A13" s="229">
        <v>2</v>
      </c>
      <c r="B13" s="230">
        <v>1004</v>
      </c>
      <c r="C13" s="231" t="s">
        <v>34</v>
      </c>
      <c r="D13" s="105" t="s">
        <v>38</v>
      </c>
      <c r="E13" s="232">
        <v>8982</v>
      </c>
      <c r="F13" s="232">
        <v>2654</v>
      </c>
      <c r="G13" s="225">
        <v>11636</v>
      </c>
      <c r="H13" s="226">
        <v>10789</v>
      </c>
      <c r="I13" s="186"/>
      <c r="J13" s="187">
        <v>2</v>
      </c>
      <c r="K13" s="187">
        <v>1005</v>
      </c>
      <c r="L13" s="12" t="s">
        <v>34</v>
      </c>
      <c r="M13" s="12" t="s">
        <v>167</v>
      </c>
      <c r="N13" s="196">
        <v>24003</v>
      </c>
      <c r="Q13" s="206" t="s">
        <v>39</v>
      </c>
      <c r="R13" s="206" t="s">
        <v>33</v>
      </c>
      <c r="S13" s="207">
        <v>12700</v>
      </c>
      <c r="T13" s="207">
        <v>3483</v>
      </c>
      <c r="U13" s="207">
        <v>16183</v>
      </c>
    </row>
    <row r="14" spans="1:21" ht="18.5" thickBot="1" x14ac:dyDescent="0.45">
      <c r="A14" s="233">
        <v>2</v>
      </c>
      <c r="B14" s="234">
        <v>1005</v>
      </c>
      <c r="C14" s="235" t="s">
        <v>34</v>
      </c>
      <c r="D14" s="112" t="s">
        <v>40</v>
      </c>
      <c r="E14" s="236">
        <v>19068</v>
      </c>
      <c r="F14" s="236">
        <v>5639</v>
      </c>
      <c r="G14" s="225">
        <v>24707</v>
      </c>
      <c r="H14" s="226">
        <v>24003</v>
      </c>
      <c r="I14" s="186"/>
      <c r="J14" s="187">
        <v>3</v>
      </c>
      <c r="K14" s="187">
        <v>1001</v>
      </c>
      <c r="L14" s="12" t="s">
        <v>47</v>
      </c>
      <c r="M14" s="12" t="s">
        <v>43</v>
      </c>
      <c r="N14" s="196">
        <v>27918</v>
      </c>
      <c r="Q14" s="206" t="s">
        <v>41</v>
      </c>
      <c r="R14" s="206" t="s">
        <v>36</v>
      </c>
      <c r="S14" s="207">
        <v>11762</v>
      </c>
      <c r="T14" s="207">
        <v>3105</v>
      </c>
      <c r="U14" s="207">
        <v>14867</v>
      </c>
    </row>
    <row r="15" spans="1:21" ht="18.5" thickBot="1" x14ac:dyDescent="0.45">
      <c r="A15" s="237"/>
      <c r="B15" s="238"/>
      <c r="C15" s="239"/>
      <c r="D15" s="240"/>
      <c r="E15" s="241">
        <f>SUM(E10:E14)</f>
        <v>68898</v>
      </c>
      <c r="F15" s="241">
        <f>SUM(F10:F14)</f>
        <v>19794</v>
      </c>
      <c r="G15" s="242">
        <f>SUM(G10:G14)</f>
        <v>88692</v>
      </c>
      <c r="H15" s="243">
        <f>SUM(H10:H14)</f>
        <v>85224</v>
      </c>
      <c r="I15" s="244">
        <v>85224</v>
      </c>
      <c r="J15" s="187">
        <v>3</v>
      </c>
      <c r="K15" s="187">
        <v>1002</v>
      </c>
      <c r="L15" s="12" t="s">
        <v>47</v>
      </c>
      <c r="M15" s="12" t="s">
        <v>45</v>
      </c>
      <c r="N15" s="196">
        <v>11202</v>
      </c>
      <c r="Q15" s="206" t="s">
        <v>42</v>
      </c>
      <c r="R15" s="206" t="s">
        <v>38</v>
      </c>
      <c r="S15" s="207">
        <v>8952</v>
      </c>
      <c r="T15" s="207">
        <v>2557</v>
      </c>
      <c r="U15" s="207">
        <v>11509</v>
      </c>
    </row>
    <row r="16" spans="1:21" ht="18.5" thickBot="1" x14ac:dyDescent="0.45">
      <c r="A16" s="245">
        <v>3</v>
      </c>
      <c r="B16" s="246">
        <v>1001</v>
      </c>
      <c r="C16" s="247" t="s">
        <v>47</v>
      </c>
      <c r="D16" s="136" t="s">
        <v>43</v>
      </c>
      <c r="E16" s="248">
        <v>24705</v>
      </c>
      <c r="F16" s="248">
        <v>5804</v>
      </c>
      <c r="G16" s="203">
        <v>30509</v>
      </c>
      <c r="H16" s="195">
        <v>27918</v>
      </c>
      <c r="I16" s="186"/>
      <c r="J16" s="187">
        <v>3</v>
      </c>
      <c r="K16" s="187">
        <v>1003</v>
      </c>
      <c r="L16" s="12" t="s">
        <v>47</v>
      </c>
      <c r="M16" s="12" t="s">
        <v>168</v>
      </c>
      <c r="N16" s="196">
        <v>7603</v>
      </c>
      <c r="Q16" s="227" t="s">
        <v>44</v>
      </c>
      <c r="R16" s="227" t="s">
        <v>40</v>
      </c>
      <c r="S16" s="228">
        <v>19056</v>
      </c>
      <c r="T16" s="228">
        <v>5518</v>
      </c>
      <c r="U16" s="228">
        <v>24574</v>
      </c>
    </row>
    <row r="17" spans="1:21" ht="18" x14ac:dyDescent="0.4">
      <c r="A17" s="199">
        <v>3</v>
      </c>
      <c r="B17" s="200">
        <v>1002</v>
      </c>
      <c r="C17" s="201" t="s">
        <v>47</v>
      </c>
      <c r="D17" s="136" t="s">
        <v>45</v>
      </c>
      <c r="E17" s="202">
        <v>10207</v>
      </c>
      <c r="F17" s="202">
        <v>2259</v>
      </c>
      <c r="G17" s="203">
        <v>12466</v>
      </c>
      <c r="H17" s="195">
        <v>11202</v>
      </c>
      <c r="I17" s="186"/>
      <c r="J17" s="187">
        <v>3</v>
      </c>
      <c r="K17" s="187">
        <v>1004</v>
      </c>
      <c r="L17" s="12" t="s">
        <v>47</v>
      </c>
      <c r="M17" s="12" t="s">
        <v>50</v>
      </c>
      <c r="N17" s="196">
        <v>20992</v>
      </c>
      <c r="Q17" s="204" t="s">
        <v>46</v>
      </c>
      <c r="R17" s="204" t="s">
        <v>47</v>
      </c>
      <c r="S17" s="205">
        <v>86727</v>
      </c>
      <c r="T17" s="205">
        <v>20412</v>
      </c>
      <c r="U17" s="205">
        <v>107139</v>
      </c>
    </row>
    <row r="18" spans="1:21" ht="18" x14ac:dyDescent="0.4">
      <c r="A18" s="199">
        <v>3</v>
      </c>
      <c r="B18" s="200">
        <v>1003</v>
      </c>
      <c r="C18" s="201" t="s">
        <v>47</v>
      </c>
      <c r="D18" s="136" t="s">
        <v>48</v>
      </c>
      <c r="E18" s="202">
        <v>7301</v>
      </c>
      <c r="F18" s="202">
        <v>1467</v>
      </c>
      <c r="G18" s="203">
        <v>8768</v>
      </c>
      <c r="H18" s="195">
        <v>7603</v>
      </c>
      <c r="I18" s="186"/>
      <c r="J18" s="187">
        <v>3</v>
      </c>
      <c r="K18" s="187">
        <v>1005</v>
      </c>
      <c r="L18" s="12" t="s">
        <v>47</v>
      </c>
      <c r="M18" s="12" t="s">
        <v>169</v>
      </c>
      <c r="N18" s="196">
        <v>7329</v>
      </c>
      <c r="Q18" s="206" t="s">
        <v>49</v>
      </c>
      <c r="R18" s="206" t="s">
        <v>43</v>
      </c>
      <c r="S18" s="207">
        <v>24432</v>
      </c>
      <c r="T18" s="207">
        <v>5505</v>
      </c>
      <c r="U18" s="207">
        <v>29937</v>
      </c>
    </row>
    <row r="19" spans="1:21" ht="18" x14ac:dyDescent="0.4">
      <c r="A19" s="199">
        <v>3</v>
      </c>
      <c r="B19" s="200">
        <v>1004</v>
      </c>
      <c r="C19" s="201" t="s">
        <v>47</v>
      </c>
      <c r="D19" s="136" t="s">
        <v>50</v>
      </c>
      <c r="E19" s="202">
        <v>18057</v>
      </c>
      <c r="F19" s="202">
        <v>4630</v>
      </c>
      <c r="G19" s="203">
        <v>22687</v>
      </c>
      <c r="H19" s="195">
        <v>20992</v>
      </c>
      <c r="I19" s="186"/>
      <c r="J19" s="187">
        <v>3</v>
      </c>
      <c r="K19" s="187">
        <v>1006</v>
      </c>
      <c r="L19" s="12" t="s">
        <v>47</v>
      </c>
      <c r="M19" s="12" t="s">
        <v>170</v>
      </c>
      <c r="N19" s="196">
        <v>24943</v>
      </c>
      <c r="Q19" s="206" t="s">
        <v>51</v>
      </c>
      <c r="R19" s="206" t="s">
        <v>45</v>
      </c>
      <c r="S19" s="207">
        <v>10099</v>
      </c>
      <c r="T19" s="207">
        <v>2121</v>
      </c>
      <c r="U19" s="207">
        <v>12220</v>
      </c>
    </row>
    <row r="20" spans="1:21" ht="18" x14ac:dyDescent="0.4">
      <c r="A20" s="199">
        <v>3</v>
      </c>
      <c r="B20" s="200">
        <v>1005</v>
      </c>
      <c r="C20" s="201" t="s">
        <v>47</v>
      </c>
      <c r="D20" s="136" t="s">
        <v>52</v>
      </c>
      <c r="E20" s="202">
        <v>6376</v>
      </c>
      <c r="F20" s="202">
        <v>1673</v>
      </c>
      <c r="G20" s="203">
        <v>8049</v>
      </c>
      <c r="H20" s="195">
        <v>7329</v>
      </c>
      <c r="I20" s="186"/>
      <c r="J20" s="187">
        <v>4</v>
      </c>
      <c r="K20" s="187">
        <v>1001</v>
      </c>
      <c r="L20" s="12" t="s">
        <v>61</v>
      </c>
      <c r="M20" s="12" t="s">
        <v>171</v>
      </c>
      <c r="N20" s="196">
        <v>17888</v>
      </c>
      <c r="Q20" s="206" t="s">
        <v>53</v>
      </c>
      <c r="R20" s="206" t="s">
        <v>48</v>
      </c>
      <c r="S20" s="207">
        <v>7039</v>
      </c>
      <c r="T20" s="207">
        <v>1395</v>
      </c>
      <c r="U20" s="207">
        <v>8434</v>
      </c>
    </row>
    <row r="21" spans="1:21" ht="18.5" thickBot="1" x14ac:dyDescent="0.45">
      <c r="A21" s="208">
        <v>3</v>
      </c>
      <c r="B21" s="209">
        <v>1006</v>
      </c>
      <c r="C21" s="210" t="s">
        <v>47</v>
      </c>
      <c r="D21" s="136" t="s">
        <v>54</v>
      </c>
      <c r="E21" s="249">
        <v>21057</v>
      </c>
      <c r="F21" s="249">
        <v>5502</v>
      </c>
      <c r="G21" s="203">
        <v>26559</v>
      </c>
      <c r="H21" s="195">
        <v>24943</v>
      </c>
      <c r="I21" s="186"/>
      <c r="J21" s="187">
        <v>4</v>
      </c>
      <c r="K21" s="187">
        <v>1002</v>
      </c>
      <c r="L21" s="12" t="s">
        <v>61</v>
      </c>
      <c r="M21" s="12" t="s">
        <v>172</v>
      </c>
      <c r="N21" s="196">
        <v>5731</v>
      </c>
      <c r="Q21" s="206" t="s">
        <v>55</v>
      </c>
      <c r="R21" s="206" t="s">
        <v>50</v>
      </c>
      <c r="S21" s="207">
        <v>17899</v>
      </c>
      <c r="T21" s="207">
        <v>4461</v>
      </c>
      <c r="U21" s="207">
        <v>22360</v>
      </c>
    </row>
    <row r="22" spans="1:21" ht="18.5" thickBot="1" x14ac:dyDescent="0.45">
      <c r="A22" s="213"/>
      <c r="B22" s="214"/>
      <c r="C22" s="215"/>
      <c r="D22" s="216"/>
      <c r="E22" s="250">
        <f>SUM(E16:E21)</f>
        <v>87703</v>
      </c>
      <c r="F22" s="250">
        <f>SUM(F16:F21)</f>
        <v>21335</v>
      </c>
      <c r="G22" s="218">
        <f>SUM(G16:G21)</f>
        <v>109038</v>
      </c>
      <c r="H22" s="219">
        <f>SUM(H16:H21)</f>
        <v>99987</v>
      </c>
      <c r="I22" s="186">
        <v>99987</v>
      </c>
      <c r="J22" s="187">
        <v>4</v>
      </c>
      <c r="K22" s="187">
        <v>1003</v>
      </c>
      <c r="L22" s="12" t="s">
        <v>61</v>
      </c>
      <c r="M22" s="12" t="s">
        <v>173</v>
      </c>
      <c r="N22" s="196">
        <v>10861</v>
      </c>
      <c r="Q22" s="206" t="s">
        <v>56</v>
      </c>
      <c r="R22" s="206" t="s">
        <v>52</v>
      </c>
      <c r="S22" s="207">
        <v>6255</v>
      </c>
      <c r="T22" s="207">
        <v>1627</v>
      </c>
      <c r="U22" s="207">
        <v>7882</v>
      </c>
    </row>
    <row r="23" spans="1:21" ht="18.5" thickBot="1" x14ac:dyDescent="0.45">
      <c r="A23" s="221">
        <v>4</v>
      </c>
      <c r="B23" s="222">
        <v>1001</v>
      </c>
      <c r="C23" s="223" t="s">
        <v>61</v>
      </c>
      <c r="D23" s="98" t="s">
        <v>57</v>
      </c>
      <c r="E23" s="251">
        <v>15334</v>
      </c>
      <c r="F23" s="251">
        <v>4238</v>
      </c>
      <c r="G23" s="225">
        <v>19572</v>
      </c>
      <c r="H23" s="226">
        <v>17888</v>
      </c>
      <c r="I23" s="186"/>
      <c r="J23" s="187">
        <v>4</v>
      </c>
      <c r="K23" s="187">
        <v>1004</v>
      </c>
      <c r="L23" s="12" t="s">
        <v>61</v>
      </c>
      <c r="M23" s="12" t="s">
        <v>174</v>
      </c>
      <c r="N23" s="196">
        <v>13180</v>
      </c>
      <c r="Q23" s="227" t="s">
        <v>58</v>
      </c>
      <c r="R23" s="227" t="s">
        <v>54</v>
      </c>
      <c r="S23" s="228">
        <v>21003</v>
      </c>
      <c r="T23" s="228">
        <v>5303</v>
      </c>
      <c r="U23" s="228">
        <v>26306</v>
      </c>
    </row>
    <row r="24" spans="1:21" ht="18" x14ac:dyDescent="0.4">
      <c r="A24" s="229">
        <v>4</v>
      </c>
      <c r="B24" s="230">
        <v>1002</v>
      </c>
      <c r="C24" s="231" t="s">
        <v>61</v>
      </c>
      <c r="D24" s="105" t="s">
        <v>59</v>
      </c>
      <c r="E24" s="252">
        <v>4462</v>
      </c>
      <c r="F24" s="252">
        <v>1363</v>
      </c>
      <c r="G24" s="225">
        <v>5825</v>
      </c>
      <c r="H24" s="226">
        <v>5731</v>
      </c>
      <c r="I24" s="186"/>
      <c r="J24" s="187">
        <v>4</v>
      </c>
      <c r="K24" s="187">
        <v>1005</v>
      </c>
      <c r="L24" s="12" t="s">
        <v>61</v>
      </c>
      <c r="M24" s="12" t="s">
        <v>175</v>
      </c>
      <c r="N24" s="196">
        <v>18559</v>
      </c>
      <c r="Q24" s="204" t="s">
        <v>60</v>
      </c>
      <c r="R24" s="204" t="s">
        <v>61</v>
      </c>
      <c r="S24" s="205">
        <v>54740</v>
      </c>
      <c r="T24" s="205">
        <v>15272</v>
      </c>
      <c r="U24" s="205">
        <v>70012</v>
      </c>
    </row>
    <row r="25" spans="1:21" ht="18" x14ac:dyDescent="0.4">
      <c r="A25" s="229">
        <v>4</v>
      </c>
      <c r="B25" s="230">
        <v>1003</v>
      </c>
      <c r="C25" s="231" t="s">
        <v>61</v>
      </c>
      <c r="D25" s="105" t="s">
        <v>62</v>
      </c>
      <c r="E25" s="252">
        <v>9572</v>
      </c>
      <c r="F25" s="252">
        <v>2461</v>
      </c>
      <c r="G25" s="225">
        <v>12033</v>
      </c>
      <c r="H25" s="226">
        <v>10861</v>
      </c>
      <c r="I25" s="186"/>
      <c r="J25" s="187">
        <v>5</v>
      </c>
      <c r="K25" s="187">
        <v>1001</v>
      </c>
      <c r="L25" s="12" t="s">
        <v>73</v>
      </c>
      <c r="M25" s="12" t="s">
        <v>69</v>
      </c>
      <c r="N25" s="196">
        <v>25139</v>
      </c>
      <c r="Q25" s="206" t="s">
        <v>63</v>
      </c>
      <c r="R25" s="206" t="s">
        <v>57</v>
      </c>
      <c r="S25" s="207">
        <v>15066</v>
      </c>
      <c r="T25" s="207">
        <v>4096</v>
      </c>
      <c r="U25" s="207">
        <v>19162</v>
      </c>
    </row>
    <row r="26" spans="1:21" ht="18" x14ac:dyDescent="0.4">
      <c r="A26" s="229">
        <v>4</v>
      </c>
      <c r="B26" s="230">
        <v>1004</v>
      </c>
      <c r="C26" s="231" t="s">
        <v>61</v>
      </c>
      <c r="D26" s="105" t="s">
        <v>64</v>
      </c>
      <c r="E26" s="252">
        <v>11454</v>
      </c>
      <c r="F26" s="252">
        <v>3056</v>
      </c>
      <c r="G26" s="225">
        <v>14510</v>
      </c>
      <c r="H26" s="226">
        <v>13180</v>
      </c>
      <c r="I26" s="186"/>
      <c r="J26" s="187">
        <v>5</v>
      </c>
      <c r="K26" s="187">
        <v>1002</v>
      </c>
      <c r="L26" s="12" t="s">
        <v>73</v>
      </c>
      <c r="M26" s="12" t="s">
        <v>71</v>
      </c>
      <c r="N26" s="196">
        <v>19004</v>
      </c>
      <c r="Q26" s="206" t="s">
        <v>65</v>
      </c>
      <c r="R26" s="206" t="s">
        <v>59</v>
      </c>
      <c r="S26" s="207">
        <v>4433</v>
      </c>
      <c r="T26" s="207">
        <v>1327</v>
      </c>
      <c r="U26" s="207">
        <v>5760</v>
      </c>
    </row>
    <row r="27" spans="1:21" ht="18.5" thickBot="1" x14ac:dyDescent="0.45">
      <c r="A27" s="233">
        <v>4</v>
      </c>
      <c r="B27" s="234">
        <v>1005</v>
      </c>
      <c r="C27" s="235" t="s">
        <v>61</v>
      </c>
      <c r="D27" s="112" t="s">
        <v>66</v>
      </c>
      <c r="E27" s="253">
        <v>14618</v>
      </c>
      <c r="F27" s="253">
        <v>4674</v>
      </c>
      <c r="G27" s="225">
        <v>19292</v>
      </c>
      <c r="H27" s="226">
        <v>18559</v>
      </c>
      <c r="I27" s="186"/>
      <c r="J27" s="187">
        <v>5</v>
      </c>
      <c r="K27" s="187">
        <v>1003</v>
      </c>
      <c r="L27" s="12" t="s">
        <v>73</v>
      </c>
      <c r="M27" s="12" t="s">
        <v>176</v>
      </c>
      <c r="N27" s="196">
        <v>11818</v>
      </c>
      <c r="Q27" s="206" t="s">
        <v>67</v>
      </c>
      <c r="R27" s="206" t="s">
        <v>62</v>
      </c>
      <c r="S27" s="207">
        <v>9414</v>
      </c>
      <c r="T27" s="207">
        <v>2374</v>
      </c>
      <c r="U27" s="207">
        <v>11788</v>
      </c>
    </row>
    <row r="28" spans="1:21" ht="18.5" thickBot="1" x14ac:dyDescent="0.45">
      <c r="A28" s="237"/>
      <c r="B28" s="238"/>
      <c r="C28" s="239"/>
      <c r="D28" s="240"/>
      <c r="E28" s="254">
        <f>SUM(E23:E27)</f>
        <v>55440</v>
      </c>
      <c r="F28" s="254">
        <f>SUM(F23:F27)</f>
        <v>15792</v>
      </c>
      <c r="G28" s="242">
        <f>SUM(G23:G27)</f>
        <v>71232</v>
      </c>
      <c r="H28" s="243">
        <f>SUM(H23:H27)</f>
        <v>66219</v>
      </c>
      <c r="I28" s="186">
        <v>66219</v>
      </c>
      <c r="J28" s="187">
        <v>5</v>
      </c>
      <c r="K28" s="187">
        <v>1004</v>
      </c>
      <c r="L28" s="12" t="s">
        <v>73</v>
      </c>
      <c r="M28" s="12" t="s">
        <v>177</v>
      </c>
      <c r="N28" s="196">
        <v>14753</v>
      </c>
      <c r="Q28" s="206" t="s">
        <v>68</v>
      </c>
      <c r="R28" s="206" t="s">
        <v>64</v>
      </c>
      <c r="S28" s="207">
        <v>11278</v>
      </c>
      <c r="T28" s="207">
        <v>2897</v>
      </c>
      <c r="U28" s="207">
        <v>14175</v>
      </c>
    </row>
    <row r="29" spans="1:21" ht="18.5" thickBot="1" x14ac:dyDescent="0.45">
      <c r="A29" s="245">
        <v>5</v>
      </c>
      <c r="B29" s="246">
        <v>1001</v>
      </c>
      <c r="C29" s="247" t="s">
        <v>73</v>
      </c>
      <c r="D29" s="136" t="s">
        <v>69</v>
      </c>
      <c r="E29" s="255">
        <v>21132</v>
      </c>
      <c r="F29" s="255">
        <v>5179</v>
      </c>
      <c r="G29" s="203">
        <v>26311</v>
      </c>
      <c r="H29" s="195">
        <v>25139</v>
      </c>
      <c r="I29" s="186"/>
      <c r="J29" s="187">
        <v>6</v>
      </c>
      <c r="K29" s="187">
        <v>1001</v>
      </c>
      <c r="L29" s="12" t="s">
        <v>87</v>
      </c>
      <c r="M29" s="12" t="s">
        <v>87</v>
      </c>
      <c r="N29" s="196">
        <v>8949</v>
      </c>
      <c r="Q29" s="227" t="s">
        <v>70</v>
      </c>
      <c r="R29" s="227" t="s">
        <v>66</v>
      </c>
      <c r="S29" s="228">
        <v>14549</v>
      </c>
      <c r="T29" s="228">
        <v>4578</v>
      </c>
      <c r="U29" s="228">
        <v>19127</v>
      </c>
    </row>
    <row r="30" spans="1:21" ht="18" x14ac:dyDescent="0.4">
      <c r="A30" s="199">
        <v>5</v>
      </c>
      <c r="B30" s="200">
        <v>1002</v>
      </c>
      <c r="C30" s="201" t="s">
        <v>73</v>
      </c>
      <c r="D30" s="136" t="s">
        <v>71</v>
      </c>
      <c r="E30" s="256">
        <v>16084</v>
      </c>
      <c r="F30" s="256">
        <v>4220</v>
      </c>
      <c r="G30" s="203">
        <v>20304</v>
      </c>
      <c r="H30" s="195">
        <v>19004</v>
      </c>
      <c r="I30" s="186"/>
      <c r="J30" s="187">
        <v>6</v>
      </c>
      <c r="K30" s="187">
        <v>1002</v>
      </c>
      <c r="L30" s="12" t="s">
        <v>87</v>
      </c>
      <c r="M30" s="12" t="s">
        <v>178</v>
      </c>
      <c r="N30" s="196">
        <v>7401</v>
      </c>
      <c r="Q30" s="204" t="s">
        <v>72</v>
      </c>
      <c r="R30" s="204" t="s">
        <v>73</v>
      </c>
      <c r="S30" s="205">
        <v>58431</v>
      </c>
      <c r="T30" s="205">
        <v>14622</v>
      </c>
      <c r="U30" s="205">
        <v>73053</v>
      </c>
    </row>
    <row r="31" spans="1:21" ht="18" x14ac:dyDescent="0.4">
      <c r="A31" s="199">
        <v>5</v>
      </c>
      <c r="B31" s="200">
        <v>1003</v>
      </c>
      <c r="C31" s="201" t="s">
        <v>73</v>
      </c>
      <c r="D31" s="136" t="s">
        <v>74</v>
      </c>
      <c r="E31" s="256">
        <v>9758</v>
      </c>
      <c r="F31" s="256">
        <v>2645</v>
      </c>
      <c r="G31" s="203">
        <v>12403</v>
      </c>
      <c r="H31" s="195">
        <v>11818</v>
      </c>
      <c r="I31" s="186"/>
      <c r="J31" s="187">
        <v>6</v>
      </c>
      <c r="K31" s="187">
        <v>1003</v>
      </c>
      <c r="L31" s="12" t="s">
        <v>87</v>
      </c>
      <c r="M31" s="12" t="s">
        <v>83</v>
      </c>
      <c r="N31" s="196">
        <v>22615</v>
      </c>
      <c r="Q31" s="206" t="s">
        <v>75</v>
      </c>
      <c r="R31" s="206" t="s">
        <v>69</v>
      </c>
      <c r="S31" s="207">
        <v>20916</v>
      </c>
      <c r="T31" s="207">
        <v>5051</v>
      </c>
      <c r="U31" s="207">
        <v>25967</v>
      </c>
    </row>
    <row r="32" spans="1:21" ht="18.5" thickBot="1" x14ac:dyDescent="0.45">
      <c r="A32" s="208">
        <v>5</v>
      </c>
      <c r="B32" s="209">
        <v>1004</v>
      </c>
      <c r="C32" s="210" t="s">
        <v>73</v>
      </c>
      <c r="D32" s="136" t="s">
        <v>76</v>
      </c>
      <c r="E32" s="257">
        <v>12044</v>
      </c>
      <c r="F32" s="257">
        <v>2902</v>
      </c>
      <c r="G32" s="203">
        <v>14946</v>
      </c>
      <c r="H32" s="195">
        <v>14753</v>
      </c>
      <c r="I32" s="186"/>
      <c r="J32" s="187">
        <v>6</v>
      </c>
      <c r="K32" s="187">
        <v>1004</v>
      </c>
      <c r="L32" s="12" t="s">
        <v>87</v>
      </c>
      <c r="M32" s="12" t="s">
        <v>179</v>
      </c>
      <c r="N32" s="196">
        <v>9864</v>
      </c>
      <c r="Q32" s="206" t="s">
        <v>77</v>
      </c>
      <c r="R32" s="206" t="s">
        <v>71</v>
      </c>
      <c r="S32" s="207">
        <v>15931</v>
      </c>
      <c r="T32" s="207">
        <v>4115</v>
      </c>
      <c r="U32" s="207">
        <v>20046</v>
      </c>
    </row>
    <row r="33" spans="1:21" ht="18.5" thickBot="1" x14ac:dyDescent="0.45">
      <c r="A33" s="213"/>
      <c r="B33" s="214"/>
      <c r="C33" s="215"/>
      <c r="D33" s="216"/>
      <c r="E33" s="258">
        <f>SUM(E29:E32)</f>
        <v>59018</v>
      </c>
      <c r="F33" s="258">
        <f>SUM(F29:F32)</f>
        <v>14946</v>
      </c>
      <c r="G33" s="218">
        <f>SUM(G29:G32)</f>
        <v>73964</v>
      </c>
      <c r="H33" s="219">
        <f>SUM(H29:H32)</f>
        <v>70714</v>
      </c>
      <c r="I33" s="186">
        <v>70714</v>
      </c>
      <c r="J33" s="187">
        <v>7</v>
      </c>
      <c r="K33" s="187">
        <v>1003</v>
      </c>
      <c r="L33" s="12" t="s">
        <v>89</v>
      </c>
      <c r="M33" s="12" t="s">
        <v>89</v>
      </c>
      <c r="N33" s="196">
        <v>10619</v>
      </c>
      <c r="Q33" s="206" t="s">
        <v>78</v>
      </c>
      <c r="R33" s="206" t="s">
        <v>74</v>
      </c>
      <c r="S33" s="207">
        <v>9634</v>
      </c>
      <c r="T33" s="207">
        <v>2583</v>
      </c>
      <c r="U33" s="207">
        <v>12217</v>
      </c>
    </row>
    <row r="34" spans="1:21" ht="18.5" thickBot="1" x14ac:dyDescent="0.45">
      <c r="A34" s="221">
        <v>6</v>
      </c>
      <c r="B34" s="222">
        <v>1001</v>
      </c>
      <c r="C34" s="223" t="s">
        <v>87</v>
      </c>
      <c r="D34" s="98" t="s">
        <v>79</v>
      </c>
      <c r="E34" s="251">
        <v>7303</v>
      </c>
      <c r="F34" s="251">
        <v>1822</v>
      </c>
      <c r="G34" s="225">
        <v>9125</v>
      </c>
      <c r="H34" s="226">
        <v>8949</v>
      </c>
      <c r="I34" s="186"/>
      <c r="J34" s="187">
        <v>7</v>
      </c>
      <c r="K34" s="187">
        <v>1004</v>
      </c>
      <c r="L34" s="12" t="s">
        <v>89</v>
      </c>
      <c r="M34" s="12" t="s">
        <v>91</v>
      </c>
      <c r="N34" s="196">
        <v>9610</v>
      </c>
      <c r="Q34" s="227" t="s">
        <v>80</v>
      </c>
      <c r="R34" s="227" t="s">
        <v>76</v>
      </c>
      <c r="S34" s="228">
        <v>11950</v>
      </c>
      <c r="T34" s="228">
        <v>2873</v>
      </c>
      <c r="U34" s="228">
        <v>14823</v>
      </c>
    </row>
    <row r="35" spans="1:21" ht="18" x14ac:dyDescent="0.4">
      <c r="A35" s="229">
        <v>6</v>
      </c>
      <c r="B35" s="230">
        <v>1002</v>
      </c>
      <c r="C35" s="231" t="s">
        <v>87</v>
      </c>
      <c r="D35" s="105" t="s">
        <v>81</v>
      </c>
      <c r="E35" s="252">
        <v>6360</v>
      </c>
      <c r="F35" s="252">
        <v>1689</v>
      </c>
      <c r="G35" s="225">
        <v>8049</v>
      </c>
      <c r="H35" s="226">
        <v>7401</v>
      </c>
      <c r="I35" s="186"/>
      <c r="J35" s="187">
        <v>7</v>
      </c>
      <c r="K35" s="187">
        <v>1007</v>
      </c>
      <c r="L35" s="12" t="s">
        <v>89</v>
      </c>
      <c r="M35" s="12" t="s">
        <v>93</v>
      </c>
      <c r="N35" s="196">
        <v>7732</v>
      </c>
      <c r="Q35" s="204" t="s">
        <v>82</v>
      </c>
      <c r="R35" s="204" t="s">
        <v>79</v>
      </c>
      <c r="S35" s="205">
        <v>40774</v>
      </c>
      <c r="T35" s="205">
        <v>10430</v>
      </c>
      <c r="U35" s="205">
        <v>51204</v>
      </c>
    </row>
    <row r="36" spans="1:21" ht="18" x14ac:dyDescent="0.4">
      <c r="A36" s="229">
        <v>6</v>
      </c>
      <c r="B36" s="230">
        <v>1003</v>
      </c>
      <c r="C36" s="231" t="s">
        <v>87</v>
      </c>
      <c r="D36" s="105" t="s">
        <v>83</v>
      </c>
      <c r="E36" s="252">
        <v>19510</v>
      </c>
      <c r="F36" s="252">
        <v>5129</v>
      </c>
      <c r="G36" s="225">
        <v>24639</v>
      </c>
      <c r="H36" s="226">
        <v>22615</v>
      </c>
      <c r="I36" s="186"/>
      <c r="J36" s="187">
        <v>7</v>
      </c>
      <c r="K36" s="187">
        <v>1008</v>
      </c>
      <c r="L36" s="12" t="s">
        <v>89</v>
      </c>
      <c r="M36" s="12" t="s">
        <v>181</v>
      </c>
      <c r="N36" s="196">
        <v>7126</v>
      </c>
      <c r="Q36" s="206" t="s">
        <v>84</v>
      </c>
      <c r="R36" s="206" t="s">
        <v>79</v>
      </c>
      <c r="S36" s="207">
        <v>7307</v>
      </c>
      <c r="T36" s="207">
        <v>1753</v>
      </c>
      <c r="U36" s="207">
        <v>9060</v>
      </c>
    </row>
    <row r="37" spans="1:21" ht="18.5" thickBot="1" x14ac:dyDescent="0.45">
      <c r="A37" s="233">
        <v>6</v>
      </c>
      <c r="B37" s="234">
        <v>1004</v>
      </c>
      <c r="C37" s="235" t="s">
        <v>87</v>
      </c>
      <c r="D37" s="112" t="s">
        <v>85</v>
      </c>
      <c r="E37" s="253">
        <v>7928</v>
      </c>
      <c r="F37" s="253">
        <v>2156</v>
      </c>
      <c r="G37" s="225">
        <v>10084</v>
      </c>
      <c r="H37" s="226">
        <v>9864</v>
      </c>
      <c r="I37" s="186"/>
      <c r="J37" s="187">
        <v>8</v>
      </c>
      <c r="K37" s="187">
        <v>1001</v>
      </c>
      <c r="L37" s="12" t="s">
        <v>102</v>
      </c>
      <c r="M37" s="12" t="s">
        <v>98</v>
      </c>
      <c r="N37" s="196">
        <v>15251</v>
      </c>
      <c r="Q37" s="206" t="s">
        <v>86</v>
      </c>
      <c r="R37" s="206" t="s">
        <v>81</v>
      </c>
      <c r="S37" s="207">
        <v>6263</v>
      </c>
      <c r="T37" s="207">
        <v>1635</v>
      </c>
      <c r="U37" s="207">
        <v>7898</v>
      </c>
    </row>
    <row r="38" spans="1:21" ht="18.5" thickBot="1" x14ac:dyDescent="0.45">
      <c r="A38" s="237"/>
      <c r="B38" s="238"/>
      <c r="C38" s="239"/>
      <c r="D38" s="240"/>
      <c r="E38" s="254">
        <f>SUM(E34:E37)</f>
        <v>41101</v>
      </c>
      <c r="F38" s="254">
        <f>SUM(F34:F37)</f>
        <v>10796</v>
      </c>
      <c r="G38" s="242">
        <f>SUM(G34:G37)</f>
        <v>51897</v>
      </c>
      <c r="H38" s="243">
        <f>SUM(H34:H37)</f>
        <v>48829</v>
      </c>
      <c r="I38" s="186">
        <v>48829</v>
      </c>
      <c r="J38" s="187">
        <v>8</v>
      </c>
      <c r="K38" s="187">
        <v>1002</v>
      </c>
      <c r="L38" s="12" t="s">
        <v>102</v>
      </c>
      <c r="M38" s="12" t="s">
        <v>100</v>
      </c>
      <c r="N38" s="196">
        <v>12205</v>
      </c>
      <c r="Q38" s="206" t="s">
        <v>88</v>
      </c>
      <c r="R38" s="206" t="s">
        <v>83</v>
      </c>
      <c r="S38" s="207">
        <v>19246</v>
      </c>
      <c r="T38" s="207">
        <v>4961</v>
      </c>
      <c r="U38" s="207">
        <v>24207</v>
      </c>
    </row>
    <row r="39" spans="1:21" ht="18.5" thickBot="1" x14ac:dyDescent="0.45">
      <c r="A39" s="245">
        <v>7</v>
      </c>
      <c r="B39" s="246">
        <v>1003</v>
      </c>
      <c r="C39" s="247" t="s">
        <v>89</v>
      </c>
      <c r="D39" s="136" t="s">
        <v>89</v>
      </c>
      <c r="E39" s="255">
        <v>9259</v>
      </c>
      <c r="F39" s="255">
        <v>1922</v>
      </c>
      <c r="G39" s="203">
        <v>11181</v>
      </c>
      <c r="H39" s="195">
        <v>10619</v>
      </c>
      <c r="I39" s="186"/>
      <c r="J39" s="187">
        <v>8</v>
      </c>
      <c r="K39" s="187">
        <v>1003</v>
      </c>
      <c r="L39" s="12" t="s">
        <v>102</v>
      </c>
      <c r="M39" s="12" t="s">
        <v>103</v>
      </c>
      <c r="N39" s="196">
        <v>18786</v>
      </c>
      <c r="Q39" s="227" t="s">
        <v>90</v>
      </c>
      <c r="R39" s="227" t="s">
        <v>85</v>
      </c>
      <c r="S39" s="228">
        <v>7958</v>
      </c>
      <c r="T39" s="228">
        <v>2081</v>
      </c>
      <c r="U39" s="228">
        <v>10039</v>
      </c>
    </row>
    <row r="40" spans="1:21" ht="18" x14ac:dyDescent="0.4">
      <c r="A40" s="199">
        <v>7</v>
      </c>
      <c r="B40" s="200">
        <v>1004</v>
      </c>
      <c r="C40" s="201" t="s">
        <v>89</v>
      </c>
      <c r="D40" s="136" t="s">
        <v>91</v>
      </c>
      <c r="E40" s="256">
        <v>8471</v>
      </c>
      <c r="F40" s="256">
        <v>1643</v>
      </c>
      <c r="G40" s="203">
        <v>10114</v>
      </c>
      <c r="H40" s="195">
        <v>9610</v>
      </c>
      <c r="I40" s="186"/>
      <c r="J40" s="187">
        <v>8</v>
      </c>
      <c r="K40" s="187">
        <v>1006</v>
      </c>
      <c r="L40" s="12" t="s">
        <v>102</v>
      </c>
      <c r="M40" s="12" t="s">
        <v>105</v>
      </c>
      <c r="N40" s="196">
        <v>12142</v>
      </c>
      <c r="Q40" s="204" t="s">
        <v>92</v>
      </c>
      <c r="R40" s="204" t="s">
        <v>89</v>
      </c>
      <c r="S40" s="205">
        <v>32135</v>
      </c>
      <c r="T40" s="205">
        <v>6401</v>
      </c>
      <c r="U40" s="205">
        <v>38536</v>
      </c>
    </row>
    <row r="41" spans="1:21" ht="18" x14ac:dyDescent="0.4">
      <c r="A41" s="199">
        <v>7</v>
      </c>
      <c r="B41" s="200">
        <v>1007</v>
      </c>
      <c r="C41" s="201" t="s">
        <v>89</v>
      </c>
      <c r="D41" s="136" t="s">
        <v>93</v>
      </c>
      <c r="E41" s="256">
        <v>7719</v>
      </c>
      <c r="F41" s="256">
        <v>1676</v>
      </c>
      <c r="G41" s="203">
        <v>9395</v>
      </c>
      <c r="H41" s="195">
        <v>7732</v>
      </c>
      <c r="I41" s="186"/>
      <c r="J41" s="187">
        <v>8</v>
      </c>
      <c r="K41" s="187">
        <v>1007</v>
      </c>
      <c r="L41" s="12" t="s">
        <v>102</v>
      </c>
      <c r="M41" s="12" t="s">
        <v>107</v>
      </c>
      <c r="N41" s="196">
        <v>14468</v>
      </c>
      <c r="Q41" s="206" t="s">
        <v>94</v>
      </c>
      <c r="R41" s="206" t="s">
        <v>89</v>
      </c>
      <c r="S41" s="207">
        <v>9176</v>
      </c>
      <c r="T41" s="207">
        <v>1832</v>
      </c>
      <c r="U41" s="207">
        <v>11008</v>
      </c>
    </row>
    <row r="42" spans="1:21" ht="18.5" thickBot="1" x14ac:dyDescent="0.45">
      <c r="A42" s="208">
        <v>7</v>
      </c>
      <c r="B42" s="209">
        <v>1008</v>
      </c>
      <c r="C42" s="210" t="s">
        <v>89</v>
      </c>
      <c r="D42" s="136" t="s">
        <v>95</v>
      </c>
      <c r="E42" s="257">
        <v>7362</v>
      </c>
      <c r="F42" s="257">
        <v>1405</v>
      </c>
      <c r="G42" s="203">
        <v>8767</v>
      </c>
      <c r="H42" s="195">
        <v>7126</v>
      </c>
      <c r="I42" s="186"/>
      <c r="J42" s="187">
        <v>9</v>
      </c>
      <c r="K42" s="187">
        <v>1001</v>
      </c>
      <c r="L42" s="12" t="s">
        <v>112</v>
      </c>
      <c r="M42" s="12" t="s">
        <v>110</v>
      </c>
      <c r="N42" s="196">
        <v>12283</v>
      </c>
      <c r="Q42" s="206" t="s">
        <v>96</v>
      </c>
      <c r="R42" s="206" t="s">
        <v>91</v>
      </c>
      <c r="S42" s="207">
        <v>8371</v>
      </c>
      <c r="T42" s="207">
        <v>1627</v>
      </c>
      <c r="U42" s="207">
        <v>9998</v>
      </c>
    </row>
    <row r="43" spans="1:21" ht="18.5" thickBot="1" x14ac:dyDescent="0.45">
      <c r="A43" s="213"/>
      <c r="B43" s="214"/>
      <c r="C43" s="215"/>
      <c r="D43" s="216"/>
      <c r="E43" s="258">
        <f>SUM(E39:E42)</f>
        <v>32811</v>
      </c>
      <c r="F43" s="258">
        <f>SUM(F39:F42)</f>
        <v>6646</v>
      </c>
      <c r="G43" s="218">
        <f>SUM(G39:G42)</f>
        <v>39457</v>
      </c>
      <c r="H43" s="219">
        <f>SUM(H39:H42)</f>
        <v>35087</v>
      </c>
      <c r="I43" s="186">
        <v>35087</v>
      </c>
      <c r="J43" s="187">
        <v>9</v>
      </c>
      <c r="K43" s="187">
        <v>1002</v>
      </c>
      <c r="L43" s="12" t="s">
        <v>112</v>
      </c>
      <c r="M43" s="12" t="s">
        <v>112</v>
      </c>
      <c r="N43" s="196">
        <v>11353</v>
      </c>
      <c r="Q43" s="206" t="s">
        <v>97</v>
      </c>
      <c r="R43" s="206" t="s">
        <v>93</v>
      </c>
      <c r="S43" s="207">
        <v>7465</v>
      </c>
      <c r="T43" s="207">
        <v>1599</v>
      </c>
      <c r="U43" s="207">
        <v>9064</v>
      </c>
    </row>
    <row r="44" spans="1:21" ht="18.5" thickBot="1" x14ac:dyDescent="0.45">
      <c r="A44" s="221">
        <v>8</v>
      </c>
      <c r="B44" s="222">
        <v>1001</v>
      </c>
      <c r="C44" s="223" t="s">
        <v>102</v>
      </c>
      <c r="D44" s="98" t="s">
        <v>98</v>
      </c>
      <c r="E44" s="251">
        <v>12345</v>
      </c>
      <c r="F44" s="251">
        <v>3496</v>
      </c>
      <c r="G44" s="225">
        <v>15841</v>
      </c>
      <c r="H44" s="226">
        <v>15251</v>
      </c>
      <c r="I44" s="186"/>
      <c r="J44" s="187">
        <v>9</v>
      </c>
      <c r="K44" s="187">
        <v>1003</v>
      </c>
      <c r="L44" s="12" t="s">
        <v>112</v>
      </c>
      <c r="M44" s="12" t="s">
        <v>114</v>
      </c>
      <c r="N44" s="196">
        <v>13817</v>
      </c>
      <c r="Q44" s="227" t="s">
        <v>99</v>
      </c>
      <c r="R44" s="227" t="s">
        <v>95</v>
      </c>
      <c r="S44" s="228">
        <v>7123</v>
      </c>
      <c r="T44" s="228">
        <v>1343</v>
      </c>
      <c r="U44" s="228">
        <v>8466</v>
      </c>
    </row>
    <row r="45" spans="1:21" ht="18" x14ac:dyDescent="0.4">
      <c r="A45" s="229">
        <v>8</v>
      </c>
      <c r="B45" s="230">
        <v>1002</v>
      </c>
      <c r="C45" s="231" t="s">
        <v>102</v>
      </c>
      <c r="D45" s="105" t="s">
        <v>100</v>
      </c>
      <c r="E45" s="252">
        <v>9924</v>
      </c>
      <c r="F45" s="252">
        <v>2765</v>
      </c>
      <c r="G45" s="225">
        <v>12689</v>
      </c>
      <c r="H45" s="226">
        <v>12205</v>
      </c>
      <c r="I45" s="186"/>
      <c r="J45" s="187">
        <v>9</v>
      </c>
      <c r="K45" s="187">
        <v>1004</v>
      </c>
      <c r="L45" s="12" t="s">
        <v>112</v>
      </c>
      <c r="M45" s="12" t="s">
        <v>116</v>
      </c>
      <c r="N45" s="196">
        <v>12299</v>
      </c>
      <c r="Q45" s="204" t="s">
        <v>101</v>
      </c>
      <c r="R45" s="204" t="s">
        <v>102</v>
      </c>
      <c r="S45" s="205">
        <v>59357</v>
      </c>
      <c r="T45" s="205">
        <v>16674</v>
      </c>
      <c r="U45" s="205">
        <v>76031</v>
      </c>
    </row>
    <row r="46" spans="1:21" ht="18" x14ac:dyDescent="0.4">
      <c r="A46" s="229">
        <v>8</v>
      </c>
      <c r="B46" s="230">
        <v>1003</v>
      </c>
      <c r="C46" s="231" t="s">
        <v>102</v>
      </c>
      <c r="D46" s="105" t="s">
        <v>103</v>
      </c>
      <c r="E46" s="252">
        <v>15742</v>
      </c>
      <c r="F46" s="252">
        <v>4259</v>
      </c>
      <c r="G46" s="225">
        <v>20001</v>
      </c>
      <c r="H46" s="226">
        <v>18786</v>
      </c>
      <c r="I46" s="186"/>
      <c r="J46" s="187">
        <v>9</v>
      </c>
      <c r="K46" s="187">
        <v>1005</v>
      </c>
      <c r="L46" s="12" t="s">
        <v>112</v>
      </c>
      <c r="M46" s="12" t="s">
        <v>118</v>
      </c>
      <c r="N46" s="196">
        <v>9478</v>
      </c>
      <c r="Q46" s="206" t="s">
        <v>104</v>
      </c>
      <c r="R46" s="206" t="s">
        <v>98</v>
      </c>
      <c r="S46" s="207">
        <v>12288</v>
      </c>
      <c r="T46" s="207">
        <v>3433</v>
      </c>
      <c r="U46" s="207">
        <v>15721</v>
      </c>
    </row>
    <row r="47" spans="1:21" ht="18" x14ac:dyDescent="0.4">
      <c r="A47" s="229">
        <v>8</v>
      </c>
      <c r="B47" s="230">
        <v>1006</v>
      </c>
      <c r="C47" s="231" t="s">
        <v>102</v>
      </c>
      <c r="D47" s="105" t="s">
        <v>105</v>
      </c>
      <c r="E47" s="252">
        <v>10051</v>
      </c>
      <c r="F47" s="252">
        <v>2960</v>
      </c>
      <c r="G47" s="225">
        <v>13011</v>
      </c>
      <c r="H47" s="226">
        <v>12142</v>
      </c>
      <c r="I47" s="186"/>
      <c r="J47" s="187">
        <v>9</v>
      </c>
      <c r="K47" s="187">
        <v>1006</v>
      </c>
      <c r="L47" s="12" t="s">
        <v>112</v>
      </c>
      <c r="M47" s="12" t="s">
        <v>120</v>
      </c>
      <c r="N47" s="196">
        <v>11365</v>
      </c>
      <c r="Q47" s="206" t="s">
        <v>106</v>
      </c>
      <c r="R47" s="206" t="s">
        <v>100</v>
      </c>
      <c r="S47" s="207">
        <v>9891</v>
      </c>
      <c r="T47" s="207">
        <v>2725</v>
      </c>
      <c r="U47" s="207">
        <v>12616</v>
      </c>
    </row>
    <row r="48" spans="1:21" ht="18.5" thickBot="1" x14ac:dyDescent="0.45">
      <c r="A48" s="233">
        <v>8</v>
      </c>
      <c r="B48" s="234">
        <v>1007</v>
      </c>
      <c r="C48" s="235" t="s">
        <v>102</v>
      </c>
      <c r="D48" s="112" t="s">
        <v>107</v>
      </c>
      <c r="E48" s="253">
        <v>11693</v>
      </c>
      <c r="F48" s="253">
        <v>3561</v>
      </c>
      <c r="G48" s="225">
        <v>15254</v>
      </c>
      <c r="H48" s="226">
        <v>14468</v>
      </c>
      <c r="I48" s="186"/>
      <c r="J48" s="187">
        <v>10</v>
      </c>
      <c r="K48" s="187">
        <v>1001</v>
      </c>
      <c r="L48" s="12" t="s">
        <v>123</v>
      </c>
      <c r="M48" s="12" t="s">
        <v>123</v>
      </c>
      <c r="N48" s="196">
        <v>9571</v>
      </c>
      <c r="Q48" s="206" t="s">
        <v>108</v>
      </c>
      <c r="R48" s="206" t="s">
        <v>103</v>
      </c>
      <c r="S48" s="207">
        <v>15555</v>
      </c>
      <c r="T48" s="207">
        <v>4195</v>
      </c>
      <c r="U48" s="207">
        <v>19750</v>
      </c>
    </row>
    <row r="49" spans="1:21" ht="18.5" thickBot="1" x14ac:dyDescent="0.45">
      <c r="A49" s="237"/>
      <c r="B49" s="238"/>
      <c r="C49" s="239"/>
      <c r="D49" s="240"/>
      <c r="E49" s="254">
        <f>SUM(E44:E48)</f>
        <v>59755</v>
      </c>
      <c r="F49" s="254">
        <f>SUM(F44:F48)</f>
        <v>17041</v>
      </c>
      <c r="G49" s="242">
        <f>SUM(G44:G48)</f>
        <v>76796</v>
      </c>
      <c r="H49" s="243">
        <f>SUM(H44:H48)</f>
        <v>72852</v>
      </c>
      <c r="I49" s="186">
        <v>72852</v>
      </c>
      <c r="J49" s="187">
        <v>10</v>
      </c>
      <c r="K49" s="187">
        <v>1002</v>
      </c>
      <c r="L49" s="12" t="s">
        <v>123</v>
      </c>
      <c r="M49" s="12" t="s">
        <v>125</v>
      </c>
      <c r="N49" s="196">
        <v>4680</v>
      </c>
      <c r="Q49" s="206" t="s">
        <v>109</v>
      </c>
      <c r="R49" s="206" t="s">
        <v>105</v>
      </c>
      <c r="S49" s="207">
        <v>9923</v>
      </c>
      <c r="T49" s="207">
        <v>2855</v>
      </c>
      <c r="U49" s="207">
        <v>12778</v>
      </c>
    </row>
    <row r="50" spans="1:21" ht="18.5" thickBot="1" x14ac:dyDescent="0.45">
      <c r="A50" s="245">
        <v>9</v>
      </c>
      <c r="B50" s="246">
        <v>1001</v>
      </c>
      <c r="C50" s="247" t="s">
        <v>112</v>
      </c>
      <c r="D50" s="136" t="s">
        <v>110</v>
      </c>
      <c r="E50" s="255">
        <v>10536</v>
      </c>
      <c r="F50" s="255">
        <v>2775</v>
      </c>
      <c r="G50" s="203">
        <v>13311</v>
      </c>
      <c r="H50" s="195">
        <v>12283</v>
      </c>
      <c r="I50" s="186"/>
      <c r="J50" s="187">
        <v>10</v>
      </c>
      <c r="K50" s="187">
        <v>1003</v>
      </c>
      <c r="L50" s="12" t="s">
        <v>123</v>
      </c>
      <c r="M50" s="12" t="s">
        <v>127</v>
      </c>
      <c r="N50" s="196">
        <v>8469</v>
      </c>
      <c r="Q50" s="227" t="s">
        <v>111</v>
      </c>
      <c r="R50" s="227" t="s">
        <v>107</v>
      </c>
      <c r="S50" s="228">
        <v>11700</v>
      </c>
      <c r="T50" s="228">
        <v>3466</v>
      </c>
      <c r="U50" s="228">
        <v>15166</v>
      </c>
    </row>
    <row r="51" spans="1:21" ht="18" x14ac:dyDescent="0.4">
      <c r="A51" s="199">
        <v>9</v>
      </c>
      <c r="B51" s="200">
        <v>1002</v>
      </c>
      <c r="C51" s="201" t="s">
        <v>112</v>
      </c>
      <c r="D51" s="136" t="s">
        <v>112</v>
      </c>
      <c r="E51" s="256">
        <v>9779</v>
      </c>
      <c r="F51" s="256">
        <v>2504</v>
      </c>
      <c r="G51" s="203">
        <v>12283</v>
      </c>
      <c r="H51" s="195">
        <v>11353</v>
      </c>
      <c r="I51" s="186"/>
      <c r="J51" s="187">
        <v>10</v>
      </c>
      <c r="K51" s="187">
        <v>1004</v>
      </c>
      <c r="L51" s="12" t="s">
        <v>123</v>
      </c>
      <c r="M51" s="12" t="s">
        <v>129</v>
      </c>
      <c r="N51" s="196">
        <v>5388</v>
      </c>
      <c r="Q51" s="204" t="s">
        <v>113</v>
      </c>
      <c r="R51" s="204" t="s">
        <v>112</v>
      </c>
      <c r="S51" s="205">
        <v>61943</v>
      </c>
      <c r="T51" s="205">
        <v>14969</v>
      </c>
      <c r="U51" s="205">
        <v>76912</v>
      </c>
    </row>
    <row r="52" spans="1:21" ht="18" x14ac:dyDescent="0.4">
      <c r="A52" s="199">
        <v>9</v>
      </c>
      <c r="B52" s="200">
        <v>1003</v>
      </c>
      <c r="C52" s="201" t="s">
        <v>112</v>
      </c>
      <c r="D52" s="136" t="s">
        <v>114</v>
      </c>
      <c r="E52" s="256">
        <v>11907</v>
      </c>
      <c r="F52" s="256">
        <v>3111</v>
      </c>
      <c r="G52" s="203">
        <v>15018</v>
      </c>
      <c r="H52" s="195">
        <v>13817</v>
      </c>
      <c r="I52" s="186"/>
      <c r="J52" s="187">
        <v>10</v>
      </c>
      <c r="K52" s="187">
        <v>1005</v>
      </c>
      <c r="L52" s="12" t="s">
        <v>123</v>
      </c>
      <c r="M52" s="12" t="s">
        <v>131</v>
      </c>
      <c r="N52" s="196">
        <v>6238</v>
      </c>
      <c r="Q52" s="206" t="s">
        <v>115</v>
      </c>
      <c r="R52" s="206" t="s">
        <v>110</v>
      </c>
      <c r="S52" s="207">
        <v>10338</v>
      </c>
      <c r="T52" s="207">
        <v>2726</v>
      </c>
      <c r="U52" s="207">
        <v>13064</v>
      </c>
    </row>
    <row r="53" spans="1:21" ht="18" x14ac:dyDescent="0.4">
      <c r="A53" s="199">
        <v>9</v>
      </c>
      <c r="B53" s="200">
        <v>1004</v>
      </c>
      <c r="C53" s="201" t="s">
        <v>112</v>
      </c>
      <c r="D53" s="136" t="s">
        <v>116</v>
      </c>
      <c r="E53" s="256">
        <v>10622</v>
      </c>
      <c r="F53" s="256">
        <v>2716</v>
      </c>
      <c r="G53" s="203">
        <v>13338</v>
      </c>
      <c r="H53" s="195">
        <v>12299</v>
      </c>
      <c r="I53" s="186"/>
      <c r="J53" s="187">
        <v>11</v>
      </c>
      <c r="K53" s="187">
        <v>1001</v>
      </c>
      <c r="L53" s="12" t="s">
        <v>142</v>
      </c>
      <c r="M53" s="12" t="s">
        <v>134</v>
      </c>
      <c r="N53" s="196">
        <v>15364</v>
      </c>
      <c r="Q53" s="206" t="s">
        <v>117</v>
      </c>
      <c r="R53" s="206" t="s">
        <v>112</v>
      </c>
      <c r="S53" s="207">
        <v>9655</v>
      </c>
      <c r="T53" s="207">
        <v>2445</v>
      </c>
      <c r="U53" s="207">
        <v>12100</v>
      </c>
    </row>
    <row r="54" spans="1:21" ht="18" x14ac:dyDescent="0.4">
      <c r="A54" s="199">
        <v>9</v>
      </c>
      <c r="B54" s="200">
        <v>1005</v>
      </c>
      <c r="C54" s="201" t="s">
        <v>112</v>
      </c>
      <c r="D54" s="136" t="s">
        <v>118</v>
      </c>
      <c r="E54" s="256">
        <v>9302</v>
      </c>
      <c r="F54" s="256">
        <v>1917</v>
      </c>
      <c r="G54" s="203">
        <v>11219</v>
      </c>
      <c r="H54" s="195">
        <v>9478</v>
      </c>
      <c r="I54" s="186"/>
      <c r="J54" s="187">
        <v>11</v>
      </c>
      <c r="K54" s="187">
        <v>1002</v>
      </c>
      <c r="L54" s="12" t="s">
        <v>142</v>
      </c>
      <c r="M54" s="12" t="s">
        <v>136</v>
      </c>
      <c r="N54" s="196">
        <v>11854</v>
      </c>
      <c r="Q54" s="206" t="s">
        <v>119</v>
      </c>
      <c r="R54" s="206" t="s">
        <v>114</v>
      </c>
      <c r="S54" s="207">
        <v>11787</v>
      </c>
      <c r="T54" s="207">
        <v>3004</v>
      </c>
      <c r="U54" s="207">
        <v>14791</v>
      </c>
    </row>
    <row r="55" spans="1:21" ht="18.5" thickBot="1" x14ac:dyDescent="0.45">
      <c r="A55" s="208">
        <v>9</v>
      </c>
      <c r="B55" s="209">
        <v>1006</v>
      </c>
      <c r="C55" s="210" t="s">
        <v>112</v>
      </c>
      <c r="D55" s="136" t="s">
        <v>120</v>
      </c>
      <c r="E55" s="257">
        <v>10965</v>
      </c>
      <c r="F55" s="257">
        <v>2428</v>
      </c>
      <c r="G55" s="203">
        <v>13393</v>
      </c>
      <c r="H55" s="195">
        <v>11365</v>
      </c>
      <c r="I55" s="186"/>
      <c r="J55" s="187">
        <v>11</v>
      </c>
      <c r="K55" s="187">
        <v>1003</v>
      </c>
      <c r="L55" s="12" t="s">
        <v>142</v>
      </c>
      <c r="M55" s="12" t="s">
        <v>138</v>
      </c>
      <c r="N55" s="196">
        <v>21695</v>
      </c>
      <c r="Q55" s="206" t="s">
        <v>121</v>
      </c>
      <c r="R55" s="206" t="s">
        <v>116</v>
      </c>
      <c r="S55" s="207">
        <v>10470</v>
      </c>
      <c r="T55" s="207">
        <v>2629</v>
      </c>
      <c r="U55" s="207">
        <v>13099</v>
      </c>
    </row>
    <row r="56" spans="1:21" ht="18.5" thickBot="1" x14ac:dyDescent="0.45">
      <c r="A56" s="213"/>
      <c r="B56" s="214"/>
      <c r="C56" s="215"/>
      <c r="D56" s="216"/>
      <c r="E56" s="258">
        <f>SUM(E50:E55)</f>
        <v>63111</v>
      </c>
      <c r="F56" s="258">
        <f>SUM(F50:F55)</f>
        <v>15451</v>
      </c>
      <c r="G56" s="218">
        <f>SUM(G50:G55)</f>
        <v>78562</v>
      </c>
      <c r="H56" s="219">
        <f>SUM(H50:H55)</f>
        <v>70595</v>
      </c>
      <c r="I56" s="186">
        <v>70595</v>
      </c>
      <c r="J56" s="187">
        <v>11</v>
      </c>
      <c r="K56" s="187">
        <v>1004</v>
      </c>
      <c r="L56" s="12" t="s">
        <v>142</v>
      </c>
      <c r="M56" s="12" t="s">
        <v>140</v>
      </c>
      <c r="N56" s="196">
        <v>10952</v>
      </c>
      <c r="Q56" s="206" t="s">
        <v>122</v>
      </c>
      <c r="R56" s="206" t="s">
        <v>118</v>
      </c>
      <c r="S56" s="207">
        <v>9060</v>
      </c>
      <c r="T56" s="207">
        <v>1820</v>
      </c>
      <c r="U56" s="207">
        <v>10880</v>
      </c>
    </row>
    <row r="57" spans="1:21" ht="18.5" thickBot="1" x14ac:dyDescent="0.45">
      <c r="A57" s="221">
        <v>10</v>
      </c>
      <c r="B57" s="222">
        <v>1001</v>
      </c>
      <c r="C57" s="223" t="s">
        <v>123</v>
      </c>
      <c r="D57" s="98" t="s">
        <v>123</v>
      </c>
      <c r="E57" s="251">
        <v>8261</v>
      </c>
      <c r="F57" s="251">
        <v>2234</v>
      </c>
      <c r="G57" s="225">
        <v>10495</v>
      </c>
      <c r="H57" s="226">
        <v>9571</v>
      </c>
      <c r="I57" s="186"/>
      <c r="J57" s="187">
        <v>12</v>
      </c>
      <c r="K57" s="187">
        <v>1001</v>
      </c>
      <c r="L57" s="12" t="s">
        <v>153</v>
      </c>
      <c r="M57" s="12" t="s">
        <v>144</v>
      </c>
      <c r="N57" s="196">
        <v>18702</v>
      </c>
      <c r="Q57" s="227" t="s">
        <v>124</v>
      </c>
      <c r="R57" s="227" t="s">
        <v>120</v>
      </c>
      <c r="S57" s="228">
        <v>10633</v>
      </c>
      <c r="T57" s="228">
        <v>2345</v>
      </c>
      <c r="U57" s="228">
        <v>12978</v>
      </c>
    </row>
    <row r="58" spans="1:21" ht="18" x14ac:dyDescent="0.4">
      <c r="A58" s="229">
        <v>10</v>
      </c>
      <c r="B58" s="230">
        <v>1002</v>
      </c>
      <c r="C58" s="231" t="s">
        <v>123</v>
      </c>
      <c r="D58" s="105" t="s">
        <v>125</v>
      </c>
      <c r="E58" s="252">
        <v>4353</v>
      </c>
      <c r="F58" s="252">
        <v>1187</v>
      </c>
      <c r="G58" s="225">
        <v>5540</v>
      </c>
      <c r="H58" s="226">
        <v>4680</v>
      </c>
      <c r="I58" s="186"/>
      <c r="J58" s="187">
        <v>12</v>
      </c>
      <c r="K58" s="187">
        <v>1002</v>
      </c>
      <c r="L58" s="12" t="s">
        <v>153</v>
      </c>
      <c r="M58" s="12" t="s">
        <v>146</v>
      </c>
      <c r="N58" s="196">
        <v>7245</v>
      </c>
      <c r="Q58" s="204" t="s">
        <v>126</v>
      </c>
      <c r="R58" s="204" t="s">
        <v>123</v>
      </c>
      <c r="S58" s="205">
        <v>30592</v>
      </c>
      <c r="T58" s="205">
        <v>7530</v>
      </c>
      <c r="U58" s="205">
        <v>38122</v>
      </c>
    </row>
    <row r="59" spans="1:21" ht="18" x14ac:dyDescent="0.4">
      <c r="A59" s="229">
        <v>10</v>
      </c>
      <c r="B59" s="230">
        <v>1003</v>
      </c>
      <c r="C59" s="231" t="s">
        <v>123</v>
      </c>
      <c r="D59" s="105" t="s">
        <v>127</v>
      </c>
      <c r="E59" s="252">
        <v>7655</v>
      </c>
      <c r="F59" s="252">
        <v>1850</v>
      </c>
      <c r="G59" s="225">
        <v>9505</v>
      </c>
      <c r="H59" s="226">
        <v>8469</v>
      </c>
      <c r="I59" s="186"/>
      <c r="J59" s="187">
        <v>12</v>
      </c>
      <c r="K59" s="187">
        <v>1003</v>
      </c>
      <c r="L59" s="12" t="s">
        <v>153</v>
      </c>
      <c r="M59" s="12" t="s">
        <v>149</v>
      </c>
      <c r="N59" s="196">
        <v>6277</v>
      </c>
      <c r="Q59" s="206" t="s">
        <v>128</v>
      </c>
      <c r="R59" s="206" t="s">
        <v>123</v>
      </c>
      <c r="S59" s="207">
        <v>8111</v>
      </c>
      <c r="T59" s="207">
        <v>2167</v>
      </c>
      <c r="U59" s="207">
        <v>10278</v>
      </c>
    </row>
    <row r="60" spans="1:21" ht="18" x14ac:dyDescent="0.4">
      <c r="A60" s="229">
        <v>10</v>
      </c>
      <c r="B60" s="230">
        <v>1004</v>
      </c>
      <c r="C60" s="231" t="s">
        <v>123</v>
      </c>
      <c r="D60" s="105" t="s">
        <v>129</v>
      </c>
      <c r="E60" s="252">
        <v>5374</v>
      </c>
      <c r="F60" s="252">
        <v>1162</v>
      </c>
      <c r="G60" s="225">
        <v>6536</v>
      </c>
      <c r="H60" s="226">
        <v>5388</v>
      </c>
      <c r="I60" s="186"/>
      <c r="J60" s="187">
        <v>12</v>
      </c>
      <c r="K60" s="187">
        <v>1004</v>
      </c>
      <c r="L60" s="12" t="s">
        <v>153</v>
      </c>
      <c r="M60" s="12" t="s">
        <v>151</v>
      </c>
      <c r="N60" s="196">
        <v>8237</v>
      </c>
      <c r="Q60" s="206" t="s">
        <v>130</v>
      </c>
      <c r="R60" s="206" t="s">
        <v>125</v>
      </c>
      <c r="S60" s="207">
        <v>4197</v>
      </c>
      <c r="T60" s="207">
        <v>1164</v>
      </c>
      <c r="U60" s="207">
        <v>5361</v>
      </c>
    </row>
    <row r="61" spans="1:21" ht="18.5" thickBot="1" x14ac:dyDescent="0.45">
      <c r="A61" s="233">
        <v>10</v>
      </c>
      <c r="B61" s="234">
        <v>1005</v>
      </c>
      <c r="C61" s="235" t="s">
        <v>123</v>
      </c>
      <c r="D61" s="112" t="s">
        <v>131</v>
      </c>
      <c r="E61" s="253">
        <v>5904</v>
      </c>
      <c r="F61" s="253">
        <v>1368</v>
      </c>
      <c r="G61" s="225">
        <v>7272</v>
      </c>
      <c r="H61" s="226">
        <v>6238</v>
      </c>
      <c r="I61" s="186"/>
      <c r="J61" s="645" t="s">
        <v>7</v>
      </c>
      <c r="K61" s="645"/>
      <c r="L61" s="645"/>
      <c r="M61" s="645"/>
      <c r="N61" s="259">
        <f>SUM(N5:N60)</f>
        <v>770317</v>
      </c>
      <c r="Q61" s="206" t="s">
        <v>132</v>
      </c>
      <c r="R61" s="206" t="s">
        <v>127</v>
      </c>
      <c r="S61" s="207">
        <v>7458</v>
      </c>
      <c r="T61" s="207">
        <v>1793</v>
      </c>
      <c r="U61" s="207">
        <v>9251</v>
      </c>
    </row>
    <row r="62" spans="1:21" ht="18.5" thickBot="1" x14ac:dyDescent="0.45">
      <c r="A62" s="237"/>
      <c r="B62" s="238"/>
      <c r="C62" s="239"/>
      <c r="D62" s="240"/>
      <c r="E62" s="254">
        <f>SUM(E57:E61)</f>
        <v>31547</v>
      </c>
      <c r="F62" s="254">
        <f>SUM(F57:F61)</f>
        <v>7801</v>
      </c>
      <c r="G62" s="242">
        <f>SUM(G57:G61)</f>
        <v>39348</v>
      </c>
      <c r="H62" s="243">
        <f>SUM(H57:H61)</f>
        <v>34346</v>
      </c>
      <c r="I62" s="186">
        <v>34346</v>
      </c>
      <c r="Q62" s="206" t="s">
        <v>133</v>
      </c>
      <c r="R62" s="206" t="s">
        <v>129</v>
      </c>
      <c r="S62" s="207">
        <v>5113</v>
      </c>
      <c r="T62" s="207">
        <v>1099</v>
      </c>
      <c r="U62" s="207">
        <v>6212</v>
      </c>
    </row>
    <row r="63" spans="1:21" ht="18.5" thickBot="1" x14ac:dyDescent="0.45">
      <c r="A63" s="245">
        <v>11</v>
      </c>
      <c r="B63" s="246">
        <v>1001</v>
      </c>
      <c r="C63" s="247" t="s">
        <v>142</v>
      </c>
      <c r="D63" s="136" t="s">
        <v>134</v>
      </c>
      <c r="E63" s="255">
        <v>15283</v>
      </c>
      <c r="F63" s="255">
        <v>3014</v>
      </c>
      <c r="G63" s="203">
        <v>18297</v>
      </c>
      <c r="H63" s="195">
        <v>15364</v>
      </c>
      <c r="I63" s="186"/>
      <c r="Q63" s="227" t="s">
        <v>135</v>
      </c>
      <c r="R63" s="227" t="s">
        <v>131</v>
      </c>
      <c r="S63" s="228">
        <v>5713</v>
      </c>
      <c r="T63" s="228">
        <v>1307</v>
      </c>
      <c r="U63" s="228">
        <v>7020</v>
      </c>
    </row>
    <row r="64" spans="1:21" ht="18" x14ac:dyDescent="0.4">
      <c r="A64" s="199">
        <v>11</v>
      </c>
      <c r="B64" s="200">
        <v>1002</v>
      </c>
      <c r="C64" s="201" t="s">
        <v>142</v>
      </c>
      <c r="D64" s="136" t="s">
        <v>136</v>
      </c>
      <c r="E64" s="256">
        <v>11834</v>
      </c>
      <c r="F64" s="256">
        <v>2201</v>
      </c>
      <c r="G64" s="203">
        <v>14035</v>
      </c>
      <c r="H64" s="195">
        <v>11854</v>
      </c>
      <c r="I64" s="186"/>
      <c r="Q64" s="204" t="s">
        <v>137</v>
      </c>
      <c r="R64" s="204" t="s">
        <v>138</v>
      </c>
      <c r="S64" s="205">
        <v>56134</v>
      </c>
      <c r="T64" s="205">
        <v>11052</v>
      </c>
      <c r="U64" s="205">
        <v>67186</v>
      </c>
    </row>
    <row r="65" spans="1:21" ht="18" x14ac:dyDescent="0.4">
      <c r="A65" s="199">
        <v>11</v>
      </c>
      <c r="B65" s="200">
        <v>1003</v>
      </c>
      <c r="C65" s="201" t="s">
        <v>142</v>
      </c>
      <c r="D65" s="136" t="s">
        <v>138</v>
      </c>
      <c r="E65" s="256">
        <v>20211</v>
      </c>
      <c r="F65" s="256">
        <v>4425</v>
      </c>
      <c r="G65" s="203">
        <v>24636</v>
      </c>
      <c r="H65" s="195">
        <v>21695</v>
      </c>
      <c r="I65" s="186"/>
      <c r="Q65" s="206" t="s">
        <v>139</v>
      </c>
      <c r="R65" s="206" t="s">
        <v>134</v>
      </c>
      <c r="S65" s="207">
        <v>14802</v>
      </c>
      <c r="T65" s="207">
        <v>2804</v>
      </c>
      <c r="U65" s="207">
        <v>17606</v>
      </c>
    </row>
    <row r="66" spans="1:21" ht="18.5" thickBot="1" x14ac:dyDescent="0.45">
      <c r="A66" s="208">
        <v>11</v>
      </c>
      <c r="B66" s="209">
        <v>1004</v>
      </c>
      <c r="C66" s="210" t="s">
        <v>142</v>
      </c>
      <c r="D66" s="136" t="s">
        <v>140</v>
      </c>
      <c r="E66" s="257">
        <v>10486</v>
      </c>
      <c r="F66" s="257">
        <v>2203</v>
      </c>
      <c r="G66" s="203">
        <v>12689</v>
      </c>
      <c r="H66" s="195">
        <v>10952</v>
      </c>
      <c r="I66" s="186"/>
      <c r="Q66" s="206" t="s">
        <v>141</v>
      </c>
      <c r="R66" s="206" t="s">
        <v>136</v>
      </c>
      <c r="S66" s="207">
        <v>11394</v>
      </c>
      <c r="T66" s="207">
        <v>2034</v>
      </c>
      <c r="U66" s="207">
        <v>13428</v>
      </c>
    </row>
    <row r="67" spans="1:21" ht="18.5" thickBot="1" x14ac:dyDescent="0.45">
      <c r="A67" s="213"/>
      <c r="B67" s="214"/>
      <c r="C67" s="215"/>
      <c r="D67" s="216"/>
      <c r="E67" s="258">
        <f>SUM(E63:E66)</f>
        <v>57814</v>
      </c>
      <c r="F67" s="258">
        <f>SUM(F63:F66)</f>
        <v>11843</v>
      </c>
      <c r="G67" s="218">
        <f>SUM(G63:G66)</f>
        <v>69657</v>
      </c>
      <c r="H67" s="219">
        <f>SUM(H63:H66)</f>
        <v>59865</v>
      </c>
      <c r="I67" s="186">
        <v>59865</v>
      </c>
      <c r="Q67" s="206" t="s">
        <v>143</v>
      </c>
      <c r="R67" s="206" t="s">
        <v>138</v>
      </c>
      <c r="S67" s="207">
        <v>19701</v>
      </c>
      <c r="T67" s="207">
        <v>4157</v>
      </c>
      <c r="U67" s="207">
        <v>23858</v>
      </c>
    </row>
    <row r="68" spans="1:21" ht="18.5" thickBot="1" x14ac:dyDescent="0.45">
      <c r="A68" s="221">
        <v>12</v>
      </c>
      <c r="B68" s="222">
        <v>1001</v>
      </c>
      <c r="C68" s="223" t="s">
        <v>153</v>
      </c>
      <c r="D68" s="98" t="s">
        <v>144</v>
      </c>
      <c r="E68" s="251">
        <v>14949</v>
      </c>
      <c r="F68" s="251">
        <v>4658</v>
      </c>
      <c r="G68" s="225">
        <v>19607</v>
      </c>
      <c r="H68" s="226">
        <v>18702</v>
      </c>
      <c r="I68" s="186"/>
      <c r="Q68" s="227" t="s">
        <v>145</v>
      </c>
      <c r="R68" s="227" t="s">
        <v>140</v>
      </c>
      <c r="S68" s="228">
        <v>10237</v>
      </c>
      <c r="T68" s="228">
        <v>2057</v>
      </c>
      <c r="U68" s="228">
        <v>12294</v>
      </c>
    </row>
    <row r="69" spans="1:21" ht="18" x14ac:dyDescent="0.4">
      <c r="A69" s="229">
        <v>12</v>
      </c>
      <c r="B69" s="230">
        <v>1002</v>
      </c>
      <c r="C69" s="231" t="s">
        <v>153</v>
      </c>
      <c r="D69" s="105" t="s">
        <v>146</v>
      </c>
      <c r="E69" s="252">
        <v>5974</v>
      </c>
      <c r="F69" s="252">
        <v>1790</v>
      </c>
      <c r="G69" s="225">
        <v>7764</v>
      </c>
      <c r="H69" s="226">
        <v>7245</v>
      </c>
      <c r="I69" s="186"/>
      <c r="Q69" s="204" t="s">
        <v>147</v>
      </c>
      <c r="R69" s="204" t="s">
        <v>148</v>
      </c>
      <c r="S69" s="205">
        <v>33708</v>
      </c>
      <c r="T69" s="205">
        <v>9465</v>
      </c>
      <c r="U69" s="205">
        <v>43173</v>
      </c>
    </row>
    <row r="70" spans="1:21" ht="18" x14ac:dyDescent="0.4">
      <c r="A70" s="229">
        <v>12</v>
      </c>
      <c r="B70" s="230">
        <v>1003</v>
      </c>
      <c r="C70" s="231" t="s">
        <v>153</v>
      </c>
      <c r="D70" s="105" t="s">
        <v>149</v>
      </c>
      <c r="E70" s="252">
        <v>5711</v>
      </c>
      <c r="F70" s="252">
        <v>1398</v>
      </c>
      <c r="G70" s="225">
        <v>7109</v>
      </c>
      <c r="H70" s="226">
        <v>6277</v>
      </c>
      <c r="I70" s="186"/>
      <c r="Q70" s="206" t="s">
        <v>150</v>
      </c>
      <c r="R70" s="206" t="s">
        <v>144</v>
      </c>
      <c r="S70" s="207">
        <v>14958</v>
      </c>
      <c r="T70" s="207">
        <v>4552</v>
      </c>
      <c r="U70" s="207">
        <v>19510</v>
      </c>
    </row>
    <row r="71" spans="1:21" ht="18.5" thickBot="1" x14ac:dyDescent="0.45">
      <c r="A71" s="233">
        <v>12</v>
      </c>
      <c r="B71" s="234">
        <v>1004</v>
      </c>
      <c r="C71" s="235" t="s">
        <v>153</v>
      </c>
      <c r="D71" s="112" t="s">
        <v>151</v>
      </c>
      <c r="E71" s="253">
        <v>7340</v>
      </c>
      <c r="F71" s="253">
        <v>1909</v>
      </c>
      <c r="G71" s="225">
        <v>9249</v>
      </c>
      <c r="H71" s="226">
        <v>8237</v>
      </c>
      <c r="I71" s="186"/>
      <c r="Q71" s="206" t="s">
        <v>152</v>
      </c>
      <c r="R71" s="206" t="s">
        <v>146</v>
      </c>
      <c r="S71" s="207">
        <v>5906</v>
      </c>
      <c r="T71" s="207">
        <v>1743</v>
      </c>
      <c r="U71" s="207">
        <v>7649</v>
      </c>
    </row>
    <row r="72" spans="1:21" ht="18.5" thickBot="1" x14ac:dyDescent="0.45">
      <c r="A72" s="260"/>
      <c r="B72" s="261"/>
      <c r="C72" s="240"/>
      <c r="D72" s="240"/>
      <c r="E72" s="254">
        <f>SUM(E68:E71)</f>
        <v>33974</v>
      </c>
      <c r="F72" s="254">
        <f>SUM(F68:F71)</f>
        <v>9755</v>
      </c>
      <c r="G72" s="242">
        <f>SUM(G68:G71)</f>
        <v>43729</v>
      </c>
      <c r="H72" s="243">
        <f>SUM(H68:H71)</f>
        <v>40461</v>
      </c>
      <c r="I72" s="186">
        <v>40461</v>
      </c>
      <c r="Q72" s="206" t="s">
        <v>154</v>
      </c>
      <c r="R72" s="206" t="s">
        <v>149</v>
      </c>
      <c r="S72" s="207">
        <v>5624</v>
      </c>
      <c r="T72" s="207">
        <v>1340</v>
      </c>
      <c r="U72" s="207">
        <v>6964</v>
      </c>
    </row>
    <row r="73" spans="1:21" ht="23" thickBot="1" x14ac:dyDescent="0.4">
      <c r="A73" s="646" t="s">
        <v>7</v>
      </c>
      <c r="B73" s="647"/>
      <c r="C73" s="647"/>
      <c r="D73" s="647"/>
      <c r="E73" s="262">
        <f>SUM(E9,E15,E22,E28,E33,E38,E43,E49,E56,E62,E67,E72)</f>
        <v>660768</v>
      </c>
      <c r="F73" s="262">
        <f>SUM(F9,F15,F22,F28,F33,F38,F43,F49,F56,F62,F67,F72)</f>
        <v>171386</v>
      </c>
      <c r="G73" s="263">
        <f>SUM(G9,G15,G22,G28,G33,G38,G43,G49,G56,G62,G67,G72)</f>
        <v>832154</v>
      </c>
      <c r="H73" s="264">
        <f>SUM(H9,H15,H22,H28,H33,H38,H43,H49,H56,H62,H67,H72)</f>
        <v>770317</v>
      </c>
      <c r="I73" s="186">
        <f>SUM(I9,I15,I22,I28,I33,I38,I43,I49,I56,I62,I67,I72)</f>
        <v>770317</v>
      </c>
      <c r="P73" s="265"/>
      <c r="Q73" s="227" t="s">
        <v>155</v>
      </c>
      <c r="R73" s="227" t="s">
        <v>151</v>
      </c>
      <c r="S73" s="228">
        <v>7220</v>
      </c>
      <c r="T73" s="228">
        <v>1830</v>
      </c>
      <c r="U73" s="228">
        <v>9050</v>
      </c>
    </row>
    <row r="74" spans="1:21" x14ac:dyDescent="0.3">
      <c r="F74" s="265"/>
      <c r="G74" s="265"/>
      <c r="H74" s="265"/>
    </row>
  </sheetData>
  <mergeCells count="4">
    <mergeCell ref="A1:G1"/>
    <mergeCell ref="A2:I2"/>
    <mergeCell ref="J61:M61"/>
    <mergeCell ref="A73:D73"/>
  </mergeCells>
  <pageMargins left="1.1811023622047245" right="0.59055118110236227" top="0.39370078740157483" bottom="0.39370078740157483" header="0.31496062992125984" footer="0.31496062992125984"/>
  <pageSetup paperSize="9" scale="55" fitToWidth="0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CBE71-B1FA-41AD-8904-B00B74126021}">
  <sheetPr>
    <tabColor rgb="FF00B050"/>
  </sheetPr>
  <dimension ref="A1:F18"/>
  <sheetViews>
    <sheetView showGridLines="0" view="pageBreakPreview" topLeftCell="D1" zoomScale="75" zoomScaleNormal="55" zoomScaleSheetLayoutView="75" workbookViewId="0">
      <selection activeCell="H74" sqref="H74"/>
    </sheetView>
  </sheetViews>
  <sheetFormatPr defaultColWidth="9.1796875" defaultRowHeight="14" x14ac:dyDescent="0.3"/>
  <cols>
    <col min="1" max="2" width="10.1796875" style="266" hidden="1" customWidth="1"/>
    <col min="3" max="3" width="29.1796875" style="179" hidden="1" customWidth="1"/>
    <col min="4" max="4" width="50" style="179" customWidth="1"/>
    <col min="5" max="6" width="41" style="179" customWidth="1"/>
    <col min="7" max="7" width="4.81640625" style="179" customWidth="1"/>
    <col min="8" max="16384" width="9.1796875" style="179"/>
  </cols>
  <sheetData>
    <row r="1" spans="1:6" ht="22.5" x14ac:dyDescent="0.3">
      <c r="A1" s="644" t="s">
        <v>203</v>
      </c>
      <c r="B1" s="644"/>
      <c r="C1" s="644"/>
      <c r="D1" s="644"/>
      <c r="E1" s="644"/>
      <c r="F1" s="644"/>
    </row>
    <row r="2" spans="1:6" ht="22.5" x14ac:dyDescent="0.3">
      <c r="A2" s="644" t="s">
        <v>209</v>
      </c>
      <c r="B2" s="644"/>
      <c r="C2" s="644"/>
      <c r="D2" s="644"/>
      <c r="E2" s="644"/>
      <c r="F2" s="644"/>
    </row>
    <row r="3" spans="1:6" ht="15" customHeight="1" thickBot="1" x14ac:dyDescent="0.35">
      <c r="A3" s="180"/>
      <c r="B3" s="180"/>
      <c r="C3" s="181"/>
      <c r="D3" s="181"/>
      <c r="E3" s="181"/>
    </row>
    <row r="4" spans="1:6" ht="23.5" customHeight="1" thickBot="1" x14ac:dyDescent="0.35">
      <c r="A4" s="267" t="s">
        <v>161</v>
      </c>
      <c r="B4" s="268" t="s">
        <v>2</v>
      </c>
      <c r="C4" s="268" t="s">
        <v>3</v>
      </c>
      <c r="D4" s="268" t="s">
        <v>210</v>
      </c>
      <c r="E4" s="268" t="s">
        <v>7</v>
      </c>
      <c r="F4" s="269" t="s">
        <v>156</v>
      </c>
    </row>
    <row r="5" spans="1:6" ht="23.5" customHeight="1" thickBot="1" x14ac:dyDescent="0.45">
      <c r="A5" s="267"/>
      <c r="B5" s="268"/>
      <c r="C5" s="270" t="s">
        <v>211</v>
      </c>
      <c r="D5" s="271" t="s">
        <v>20</v>
      </c>
      <c r="E5" s="272">
        <f>JUM_KK!G9</f>
        <v>89782</v>
      </c>
      <c r="F5" s="273">
        <f t="shared" ref="F5:F16" si="0">E5/$E$17*100</f>
        <v>10.789108746698327</v>
      </c>
    </row>
    <row r="6" spans="1:6" ht="23.5" customHeight="1" thickBot="1" x14ac:dyDescent="0.45">
      <c r="A6" s="274"/>
      <c r="B6" s="275"/>
      <c r="C6" s="276" t="s">
        <v>212</v>
      </c>
      <c r="D6" s="277" t="s">
        <v>34</v>
      </c>
      <c r="E6" s="278">
        <f>JUM_KK!G15</f>
        <v>88692</v>
      </c>
      <c r="F6" s="279">
        <f t="shared" si="0"/>
        <v>10.658123376202001</v>
      </c>
    </row>
    <row r="7" spans="1:6" ht="23.5" customHeight="1" thickBot="1" x14ac:dyDescent="0.45">
      <c r="A7" s="274"/>
      <c r="B7" s="275"/>
      <c r="C7" s="270" t="s">
        <v>213</v>
      </c>
      <c r="D7" s="280" t="s">
        <v>47</v>
      </c>
      <c r="E7" s="281">
        <f>JUM_KK!G22</f>
        <v>109038</v>
      </c>
      <c r="F7" s="282">
        <f t="shared" si="0"/>
        <v>13.103103512090311</v>
      </c>
    </row>
    <row r="8" spans="1:6" ht="23.5" customHeight="1" thickBot="1" x14ac:dyDescent="0.45">
      <c r="A8" s="274"/>
      <c r="B8" s="275"/>
      <c r="C8" s="276" t="s">
        <v>214</v>
      </c>
      <c r="D8" s="277" t="s">
        <v>61</v>
      </c>
      <c r="E8" s="278">
        <f>JUM_KK!G28</f>
        <v>71232</v>
      </c>
      <c r="F8" s="279">
        <f t="shared" si="0"/>
        <v>8.5599540469672686</v>
      </c>
    </row>
    <row r="9" spans="1:6" ht="23.5" customHeight="1" thickBot="1" x14ac:dyDescent="0.45">
      <c r="A9" s="274"/>
      <c r="B9" s="275"/>
      <c r="C9" s="270" t="s">
        <v>215</v>
      </c>
      <c r="D9" s="280" t="s">
        <v>216</v>
      </c>
      <c r="E9" s="281">
        <f>JUM_KK!G33</f>
        <v>73964</v>
      </c>
      <c r="F9" s="282">
        <f t="shared" si="0"/>
        <v>8.8882586636608121</v>
      </c>
    </row>
    <row r="10" spans="1:6" ht="23.5" customHeight="1" thickBot="1" x14ac:dyDescent="0.45">
      <c r="A10" s="274"/>
      <c r="B10" s="275"/>
      <c r="C10" s="276" t="s">
        <v>217</v>
      </c>
      <c r="D10" s="277" t="s">
        <v>87</v>
      </c>
      <c r="E10" s="278">
        <f>JUM_KK!G38</f>
        <v>51897</v>
      </c>
      <c r="F10" s="279">
        <f t="shared" si="0"/>
        <v>6.2364658464659186</v>
      </c>
    </row>
    <row r="11" spans="1:6" ht="23.5" customHeight="1" thickBot="1" x14ac:dyDescent="0.45">
      <c r="A11" s="274"/>
      <c r="B11" s="275"/>
      <c r="C11" s="270" t="s">
        <v>218</v>
      </c>
      <c r="D11" s="280" t="s">
        <v>89</v>
      </c>
      <c r="E11" s="281">
        <f>JUM_KK!G43</f>
        <v>39457</v>
      </c>
      <c r="F11" s="282">
        <f t="shared" si="0"/>
        <v>4.7415502419023401</v>
      </c>
    </row>
    <row r="12" spans="1:6" ht="23.5" customHeight="1" thickBot="1" x14ac:dyDescent="0.45">
      <c r="A12" s="274"/>
      <c r="B12" s="275"/>
      <c r="C12" s="276" t="s">
        <v>219</v>
      </c>
      <c r="D12" s="277" t="s">
        <v>220</v>
      </c>
      <c r="E12" s="278">
        <f>JUM_KK!G49</f>
        <v>76796</v>
      </c>
      <c r="F12" s="279">
        <f t="shared" si="0"/>
        <v>9.2285802868219111</v>
      </c>
    </row>
    <row r="13" spans="1:6" ht="23.5" customHeight="1" thickBot="1" x14ac:dyDescent="0.45">
      <c r="A13" s="267"/>
      <c r="B13" s="268"/>
      <c r="C13" s="270" t="s">
        <v>221</v>
      </c>
      <c r="D13" s="280" t="s">
        <v>112</v>
      </c>
      <c r="E13" s="281">
        <f>JUM_KK!G56</f>
        <v>78562</v>
      </c>
      <c r="F13" s="282">
        <f t="shared" si="0"/>
        <v>9.4408006210388944</v>
      </c>
    </row>
    <row r="14" spans="1:6" ht="23.5" customHeight="1" thickBot="1" x14ac:dyDescent="0.45">
      <c r="A14" s="267"/>
      <c r="B14" s="268"/>
      <c r="C14" s="276" t="s">
        <v>222</v>
      </c>
      <c r="D14" s="277" t="s">
        <v>123</v>
      </c>
      <c r="E14" s="278">
        <f>JUM_KK!G62</f>
        <v>39348</v>
      </c>
      <c r="F14" s="279">
        <f t="shared" si="0"/>
        <v>4.7284517048527075</v>
      </c>
    </row>
    <row r="15" spans="1:6" ht="23.5" customHeight="1" thickBot="1" x14ac:dyDescent="0.45">
      <c r="A15" s="267"/>
      <c r="B15" s="268"/>
      <c r="C15" s="270" t="s">
        <v>223</v>
      </c>
      <c r="D15" s="280" t="s">
        <v>224</v>
      </c>
      <c r="E15" s="281">
        <f>JUM_KK!G67</f>
        <v>69657</v>
      </c>
      <c r="F15" s="282">
        <f t="shared" si="0"/>
        <v>8.3706861951033105</v>
      </c>
    </row>
    <row r="16" spans="1:6" ht="23.5" customHeight="1" thickBot="1" x14ac:dyDescent="0.45">
      <c r="A16" s="267"/>
      <c r="B16" s="268"/>
      <c r="C16" s="276" t="s">
        <v>225</v>
      </c>
      <c r="D16" s="283" t="s">
        <v>148</v>
      </c>
      <c r="E16" s="284">
        <f>JUM_KK!G72</f>
        <v>43729</v>
      </c>
      <c r="F16" s="285">
        <f t="shared" si="0"/>
        <v>5.2549167581961997</v>
      </c>
    </row>
    <row r="17" spans="1:6" ht="23.5" customHeight="1" thickBot="1" x14ac:dyDescent="0.35">
      <c r="A17" s="648" t="s">
        <v>7</v>
      </c>
      <c r="B17" s="649"/>
      <c r="C17" s="649"/>
      <c r="D17" s="649"/>
      <c r="E17" s="286">
        <f>SUM(E5,E6,E7,E8,E9,E10,E11,E12,E13,E14,E15,E16)</f>
        <v>832154</v>
      </c>
      <c r="F17" s="287">
        <f>SUM(F5,F6,F7,F8,F9,F10,F11,F12,F13,F14,F15,F16)</f>
        <v>100</v>
      </c>
    </row>
    <row r="18" spans="1:6" x14ac:dyDescent="0.3">
      <c r="E18" s="265"/>
    </row>
  </sheetData>
  <mergeCells count="3">
    <mergeCell ref="A1:F1"/>
    <mergeCell ref="A2:F2"/>
    <mergeCell ref="A17:D17"/>
  </mergeCells>
  <pageMargins left="1.5748031496062993" right="0.19685039370078741" top="0.39370078740157483" bottom="0.39370078740157483" header="0.31496062992125984" footer="0.31496062992125984"/>
  <pageSetup paperSize="5" scale="85" orientation="landscape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ADC9E-19B5-41AC-B77C-444962AB7180}">
  <sheetPr>
    <tabColor rgb="FF00B050"/>
  </sheetPr>
  <dimension ref="A1:AB74"/>
  <sheetViews>
    <sheetView showGridLines="0" view="pageBreakPreview" topLeftCell="N1" zoomScale="71" zoomScaleNormal="60" zoomScaleSheetLayoutView="71" workbookViewId="0">
      <selection activeCell="H74" sqref="H74"/>
    </sheetView>
  </sheetViews>
  <sheetFormatPr defaultColWidth="8.7265625" defaultRowHeight="14.5" x14ac:dyDescent="0.35"/>
  <cols>
    <col min="1" max="1" width="11" style="294" bestFit="1" customWidth="1"/>
    <col min="2" max="2" width="27.1796875" style="294" bestFit="1" customWidth="1"/>
    <col min="3" max="3" width="14.81640625" style="294" bestFit="1" customWidth="1"/>
    <col min="4" max="4" width="12.81640625" style="294" bestFit="1" customWidth="1"/>
    <col min="5" max="5" width="15.54296875" style="294" bestFit="1" customWidth="1"/>
    <col min="6" max="6" width="12" style="294" bestFit="1" customWidth="1"/>
    <col min="7" max="7" width="10.7265625" style="294" customWidth="1"/>
    <col min="8" max="8" width="12.7265625" style="294" bestFit="1" customWidth="1"/>
    <col min="9" max="10" width="10.7265625" style="294" customWidth="1"/>
    <col min="11" max="11" width="12.81640625" style="294" bestFit="1" customWidth="1"/>
    <col min="12" max="21" width="10.7265625" style="294" customWidth="1"/>
    <col min="22" max="22" width="11.7265625" style="294" customWidth="1"/>
    <col min="23" max="23" width="12" style="294" customWidth="1"/>
    <col min="24" max="24" width="15.26953125" style="294" bestFit="1" customWidth="1"/>
    <col min="25" max="25" width="14.453125" style="294" customWidth="1"/>
    <col min="26" max="26" width="16.7265625" style="294" customWidth="1"/>
    <col min="27" max="27" width="10.54296875" style="294" bestFit="1" customWidth="1"/>
    <col min="28" max="16384" width="8.7265625" style="294"/>
  </cols>
  <sheetData>
    <row r="1" spans="1:28" s="289" customFormat="1" ht="22.5" x14ac:dyDescent="0.45">
      <c r="A1" s="288" t="s">
        <v>226</v>
      </c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288"/>
      <c r="P1" s="288"/>
      <c r="Q1" s="288"/>
      <c r="R1" s="288"/>
      <c r="S1" s="288"/>
      <c r="T1" s="288"/>
      <c r="U1" s="288"/>
      <c r="V1" s="288"/>
      <c r="W1" s="288"/>
      <c r="X1" s="288"/>
      <c r="Y1" s="288"/>
      <c r="Z1" s="288"/>
      <c r="AA1" s="288"/>
      <c r="AB1" s="288"/>
    </row>
    <row r="2" spans="1:28" s="289" customFormat="1" ht="4.5" customHeight="1" x14ac:dyDescent="0.3"/>
    <row r="3" spans="1:28" s="289" customFormat="1" ht="4.5" customHeight="1" thickBot="1" x14ac:dyDescent="0.35"/>
    <row r="4" spans="1:28" ht="42.5" thickBot="1" x14ac:dyDescent="0.4">
      <c r="A4" s="290" t="s">
        <v>14</v>
      </c>
      <c r="B4" s="291" t="s">
        <v>15</v>
      </c>
      <c r="C4" s="292" t="s">
        <v>227</v>
      </c>
      <c r="D4" s="292" t="s">
        <v>228</v>
      </c>
      <c r="E4" s="292" t="s">
        <v>229</v>
      </c>
      <c r="F4" s="292" t="s">
        <v>230</v>
      </c>
      <c r="G4" s="292" t="s">
        <v>231</v>
      </c>
      <c r="H4" s="292" t="s">
        <v>232</v>
      </c>
      <c r="I4" s="292" t="s">
        <v>233</v>
      </c>
      <c r="J4" s="292" t="s">
        <v>234</v>
      </c>
      <c r="K4" s="292" t="s">
        <v>235</v>
      </c>
      <c r="L4" s="292" t="s">
        <v>236</v>
      </c>
      <c r="M4" s="292" t="s">
        <v>237</v>
      </c>
      <c r="N4" s="292" t="s">
        <v>238</v>
      </c>
      <c r="O4" s="292" t="s">
        <v>239</v>
      </c>
      <c r="P4" s="292" t="s">
        <v>240</v>
      </c>
      <c r="Q4" s="292" t="s">
        <v>241</v>
      </c>
      <c r="R4" s="292" t="s">
        <v>242</v>
      </c>
      <c r="S4" s="292" t="s">
        <v>243</v>
      </c>
      <c r="T4" s="292" t="s">
        <v>244</v>
      </c>
      <c r="U4" s="292" t="s">
        <v>245</v>
      </c>
      <c r="V4" s="292" t="s">
        <v>246</v>
      </c>
      <c r="W4" s="292" t="s">
        <v>247</v>
      </c>
      <c r="X4" s="292" t="s">
        <v>248</v>
      </c>
      <c r="Y4" s="292" t="s">
        <v>249</v>
      </c>
      <c r="Z4" s="293" t="s">
        <v>250</v>
      </c>
    </row>
    <row r="5" spans="1:28" ht="15" thickBot="1" x14ac:dyDescent="0.4">
      <c r="A5" s="295" t="s">
        <v>251</v>
      </c>
      <c r="B5" s="296" t="s">
        <v>252</v>
      </c>
      <c r="C5" s="650">
        <f>E6/$Z$6*100</f>
        <v>88.57531005872859</v>
      </c>
      <c r="D5" s="651"/>
      <c r="E5" s="652"/>
      <c r="F5" s="650">
        <f>H6/$Z$6*100</f>
        <v>7.4404889753487202</v>
      </c>
      <c r="G5" s="651"/>
      <c r="H5" s="652"/>
      <c r="I5" s="650">
        <f>K6/$Z$6*100</f>
        <v>2.5213174964560334</v>
      </c>
      <c r="J5" s="651"/>
      <c r="K5" s="652"/>
      <c r="L5" s="650">
        <f>N6/$Z$6*100</f>
        <v>0.15940179070038599</v>
      </c>
      <c r="M5" s="651"/>
      <c r="N5" s="652"/>
      <c r="O5" s="650">
        <f>Q6/$Z$6*100</f>
        <v>0.84399336004860293</v>
      </c>
      <c r="P5" s="651"/>
      <c r="Q5" s="652"/>
      <c r="R5" s="650">
        <f>T6/$Z$6*100</f>
        <v>5.1011641393530647E-3</v>
      </c>
      <c r="S5" s="651"/>
      <c r="T5" s="652"/>
      <c r="U5" s="650">
        <f>W6/$Z$6*100</f>
        <v>2.0174528851877534E-2</v>
      </c>
      <c r="V5" s="651"/>
      <c r="W5" s="652"/>
      <c r="X5" s="650">
        <f>Z6/$Z$6*100</f>
        <v>100</v>
      </c>
      <c r="Y5" s="651"/>
      <c r="Z5" s="652"/>
    </row>
    <row r="6" spans="1:28" ht="15" thickBot="1" x14ac:dyDescent="0.4">
      <c r="A6" s="295" t="s">
        <v>251</v>
      </c>
      <c r="B6" s="297" t="s">
        <v>22</v>
      </c>
      <c r="C6" s="298">
        <v>1160578</v>
      </c>
      <c r="D6" s="299">
        <v>1160044</v>
      </c>
      <c r="E6" s="299">
        <v>2309378</v>
      </c>
      <c r="F6" s="299">
        <v>94817</v>
      </c>
      <c r="G6" s="299">
        <v>99366</v>
      </c>
      <c r="H6" s="299">
        <v>193992</v>
      </c>
      <c r="I6" s="299">
        <v>31982</v>
      </c>
      <c r="J6" s="299">
        <v>33781</v>
      </c>
      <c r="K6" s="299">
        <v>65737</v>
      </c>
      <c r="L6" s="299">
        <v>2155</v>
      </c>
      <c r="M6" s="299">
        <v>2000</v>
      </c>
      <c r="N6" s="299">
        <v>4156</v>
      </c>
      <c r="O6" s="299">
        <v>10945</v>
      </c>
      <c r="P6" s="299">
        <v>10923</v>
      </c>
      <c r="Q6" s="299">
        <v>22005</v>
      </c>
      <c r="R6" s="299">
        <v>75</v>
      </c>
      <c r="S6" s="299">
        <v>63</v>
      </c>
      <c r="T6" s="299">
        <v>133</v>
      </c>
      <c r="U6" s="299">
        <v>270</v>
      </c>
      <c r="V6" s="299">
        <v>249</v>
      </c>
      <c r="W6" s="299">
        <v>526</v>
      </c>
      <c r="X6" s="300">
        <f t="shared" ref="X6:Y21" si="0">SUM(C6,F6,I6,L6,O6,R6,U6)</f>
        <v>1300822</v>
      </c>
      <c r="Y6" s="301">
        <f t="shared" si="0"/>
        <v>1306426</v>
      </c>
      <c r="Z6" s="302">
        <f t="shared" ref="Z6:Z69" si="1">SUM(X6:Y6)</f>
        <v>2607248</v>
      </c>
    </row>
    <row r="7" spans="1:28" x14ac:dyDescent="0.35">
      <c r="A7" s="303" t="s">
        <v>253</v>
      </c>
      <c r="B7" s="304" t="s">
        <v>20</v>
      </c>
      <c r="C7" s="305">
        <v>120491</v>
      </c>
      <c r="D7" s="305">
        <v>121279</v>
      </c>
      <c r="E7" s="305">
        <v>241269</v>
      </c>
      <c r="F7" s="305">
        <v>10314</v>
      </c>
      <c r="G7" s="305">
        <v>10950</v>
      </c>
      <c r="H7" s="305">
        <v>21282</v>
      </c>
      <c r="I7" s="305">
        <v>3202</v>
      </c>
      <c r="J7" s="305">
        <v>3484</v>
      </c>
      <c r="K7" s="305">
        <v>6720</v>
      </c>
      <c r="L7" s="305">
        <v>155</v>
      </c>
      <c r="M7" s="305">
        <v>176</v>
      </c>
      <c r="N7" s="305">
        <v>335</v>
      </c>
      <c r="O7" s="305">
        <v>3096</v>
      </c>
      <c r="P7" s="305">
        <v>3143</v>
      </c>
      <c r="Q7" s="305">
        <v>6279</v>
      </c>
      <c r="R7" s="305">
        <v>9</v>
      </c>
      <c r="S7" s="305">
        <v>6</v>
      </c>
      <c r="T7" s="305">
        <v>15</v>
      </c>
      <c r="U7" s="305">
        <v>3</v>
      </c>
      <c r="V7" s="305">
        <v>3</v>
      </c>
      <c r="W7" s="305">
        <v>6</v>
      </c>
      <c r="X7" s="306">
        <f t="shared" si="0"/>
        <v>137270</v>
      </c>
      <c r="Y7" s="307">
        <f t="shared" si="0"/>
        <v>139041</v>
      </c>
      <c r="Z7" s="308">
        <f t="shared" si="1"/>
        <v>276311</v>
      </c>
      <c r="AA7" s="309"/>
    </row>
    <row r="8" spans="1:28" x14ac:dyDescent="0.35">
      <c r="A8" s="310" t="s">
        <v>254</v>
      </c>
      <c r="B8" s="311" t="s">
        <v>19</v>
      </c>
      <c r="C8" s="312">
        <v>28421</v>
      </c>
      <c r="D8" s="312">
        <v>28384</v>
      </c>
      <c r="E8" s="312">
        <v>56666</v>
      </c>
      <c r="F8" s="312">
        <v>2245</v>
      </c>
      <c r="G8" s="312">
        <v>2533</v>
      </c>
      <c r="H8" s="312">
        <v>4774</v>
      </c>
      <c r="I8" s="312">
        <v>795</v>
      </c>
      <c r="J8" s="312">
        <v>931</v>
      </c>
      <c r="K8" s="312">
        <v>1749</v>
      </c>
      <c r="L8" s="312">
        <v>44</v>
      </c>
      <c r="M8" s="312">
        <v>45</v>
      </c>
      <c r="N8" s="312">
        <v>92</v>
      </c>
      <c r="O8" s="312">
        <v>1455</v>
      </c>
      <c r="P8" s="312">
        <v>1523</v>
      </c>
      <c r="Q8" s="312">
        <v>3013</v>
      </c>
      <c r="R8" s="312">
        <v>3</v>
      </c>
      <c r="S8" s="312">
        <v>4</v>
      </c>
      <c r="T8" s="312">
        <v>7</v>
      </c>
      <c r="U8" s="312">
        <v>0</v>
      </c>
      <c r="V8" s="312">
        <v>0</v>
      </c>
      <c r="W8" s="312">
        <v>0</v>
      </c>
      <c r="X8" s="313">
        <f t="shared" si="0"/>
        <v>32963</v>
      </c>
      <c r="Y8" s="314">
        <f t="shared" si="0"/>
        <v>33420</v>
      </c>
      <c r="Z8" s="315">
        <f t="shared" si="1"/>
        <v>66383</v>
      </c>
    </row>
    <row r="9" spans="1:28" x14ac:dyDescent="0.35">
      <c r="A9" s="310" t="s">
        <v>255</v>
      </c>
      <c r="B9" s="311" t="s">
        <v>23</v>
      </c>
      <c r="C9" s="312">
        <v>29662</v>
      </c>
      <c r="D9" s="312">
        <v>29504</v>
      </c>
      <c r="E9" s="312">
        <v>59086</v>
      </c>
      <c r="F9" s="312">
        <v>2158</v>
      </c>
      <c r="G9" s="312">
        <v>2229</v>
      </c>
      <c r="H9" s="312">
        <v>4416</v>
      </c>
      <c r="I9" s="312">
        <v>727</v>
      </c>
      <c r="J9" s="312">
        <v>746</v>
      </c>
      <c r="K9" s="312">
        <v>1465</v>
      </c>
      <c r="L9" s="312">
        <v>38</v>
      </c>
      <c r="M9" s="312">
        <v>36</v>
      </c>
      <c r="N9" s="312">
        <v>75</v>
      </c>
      <c r="O9" s="312">
        <v>831</v>
      </c>
      <c r="P9" s="312">
        <v>823</v>
      </c>
      <c r="Q9" s="312">
        <v>1667</v>
      </c>
      <c r="R9" s="312">
        <v>1</v>
      </c>
      <c r="S9" s="312">
        <v>0</v>
      </c>
      <c r="T9" s="312">
        <v>1</v>
      </c>
      <c r="U9" s="312">
        <v>3</v>
      </c>
      <c r="V9" s="312">
        <v>1</v>
      </c>
      <c r="W9" s="312">
        <v>4</v>
      </c>
      <c r="X9" s="313">
        <f t="shared" si="0"/>
        <v>33420</v>
      </c>
      <c r="Y9" s="314">
        <f t="shared" si="0"/>
        <v>33339</v>
      </c>
      <c r="Z9" s="315">
        <f t="shared" si="1"/>
        <v>66759</v>
      </c>
    </row>
    <row r="10" spans="1:28" x14ac:dyDescent="0.35">
      <c r="A10" s="310" t="s">
        <v>256</v>
      </c>
      <c r="B10" s="311" t="s">
        <v>25</v>
      </c>
      <c r="C10" s="312">
        <v>33425</v>
      </c>
      <c r="D10" s="312">
        <v>33862</v>
      </c>
      <c r="E10" s="312">
        <v>67044</v>
      </c>
      <c r="F10" s="312">
        <v>2872</v>
      </c>
      <c r="G10" s="312">
        <v>3005</v>
      </c>
      <c r="H10" s="312">
        <v>5853</v>
      </c>
      <c r="I10" s="312">
        <v>996</v>
      </c>
      <c r="J10" s="312">
        <v>1091</v>
      </c>
      <c r="K10" s="312">
        <v>2101</v>
      </c>
      <c r="L10" s="312">
        <v>40</v>
      </c>
      <c r="M10" s="312">
        <v>51</v>
      </c>
      <c r="N10" s="312">
        <v>92</v>
      </c>
      <c r="O10" s="312">
        <v>588</v>
      </c>
      <c r="P10" s="312">
        <v>587</v>
      </c>
      <c r="Q10" s="312">
        <v>1167</v>
      </c>
      <c r="R10" s="312">
        <v>1</v>
      </c>
      <c r="S10" s="312">
        <v>0</v>
      </c>
      <c r="T10" s="312">
        <v>1</v>
      </c>
      <c r="U10" s="312">
        <v>0</v>
      </c>
      <c r="V10" s="312">
        <v>0</v>
      </c>
      <c r="W10" s="312">
        <v>0</v>
      </c>
      <c r="X10" s="313">
        <f t="shared" si="0"/>
        <v>37922</v>
      </c>
      <c r="Y10" s="314">
        <f t="shared" si="0"/>
        <v>38596</v>
      </c>
      <c r="Z10" s="315">
        <f t="shared" si="1"/>
        <v>76518</v>
      </c>
    </row>
    <row r="11" spans="1:28" ht="15" thickBot="1" x14ac:dyDescent="0.4">
      <c r="A11" s="316" t="s">
        <v>257</v>
      </c>
      <c r="B11" s="317" t="s">
        <v>27</v>
      </c>
      <c r="C11" s="318">
        <v>28983</v>
      </c>
      <c r="D11" s="318">
        <v>29529</v>
      </c>
      <c r="E11" s="318">
        <v>58473</v>
      </c>
      <c r="F11" s="318">
        <v>3039</v>
      </c>
      <c r="G11" s="318">
        <v>3183</v>
      </c>
      <c r="H11" s="318">
        <v>6239</v>
      </c>
      <c r="I11" s="318">
        <v>684</v>
      </c>
      <c r="J11" s="318">
        <v>716</v>
      </c>
      <c r="K11" s="318">
        <v>1405</v>
      </c>
      <c r="L11" s="318">
        <v>33</v>
      </c>
      <c r="M11" s="318">
        <v>44</v>
      </c>
      <c r="N11" s="318">
        <v>76</v>
      </c>
      <c r="O11" s="318">
        <v>222</v>
      </c>
      <c r="P11" s="318">
        <v>210</v>
      </c>
      <c r="Q11" s="318">
        <v>432</v>
      </c>
      <c r="R11" s="318">
        <v>4</v>
      </c>
      <c r="S11" s="318">
        <v>2</v>
      </c>
      <c r="T11" s="318">
        <v>6</v>
      </c>
      <c r="U11" s="318">
        <v>0</v>
      </c>
      <c r="V11" s="318">
        <v>2</v>
      </c>
      <c r="W11" s="318">
        <v>2</v>
      </c>
      <c r="X11" s="319">
        <f t="shared" si="0"/>
        <v>32965</v>
      </c>
      <c r="Y11" s="320">
        <f t="shared" si="0"/>
        <v>33686</v>
      </c>
      <c r="Z11" s="321">
        <f t="shared" si="1"/>
        <v>66651</v>
      </c>
    </row>
    <row r="12" spans="1:28" x14ac:dyDescent="0.35">
      <c r="A12" s="322" t="s">
        <v>258</v>
      </c>
      <c r="B12" s="323" t="s">
        <v>34</v>
      </c>
      <c r="C12" s="324">
        <v>123669</v>
      </c>
      <c r="D12" s="324">
        <v>123483</v>
      </c>
      <c r="E12" s="324">
        <v>246885</v>
      </c>
      <c r="F12" s="324">
        <v>8462</v>
      </c>
      <c r="G12" s="324">
        <v>8961</v>
      </c>
      <c r="H12" s="324">
        <v>17440</v>
      </c>
      <c r="I12" s="324">
        <v>2858</v>
      </c>
      <c r="J12" s="324">
        <v>3099</v>
      </c>
      <c r="K12" s="324">
        <v>5974</v>
      </c>
      <c r="L12" s="324">
        <v>198</v>
      </c>
      <c r="M12" s="324">
        <v>174</v>
      </c>
      <c r="N12" s="324">
        <v>371</v>
      </c>
      <c r="O12" s="324">
        <v>633</v>
      </c>
      <c r="P12" s="324">
        <v>700</v>
      </c>
      <c r="Q12" s="324">
        <v>1337</v>
      </c>
      <c r="R12" s="324">
        <v>4</v>
      </c>
      <c r="S12" s="324">
        <v>4</v>
      </c>
      <c r="T12" s="324">
        <v>8</v>
      </c>
      <c r="U12" s="324">
        <v>5</v>
      </c>
      <c r="V12" s="324">
        <v>6</v>
      </c>
      <c r="W12" s="324">
        <v>10</v>
      </c>
      <c r="X12" s="325">
        <f t="shared" si="0"/>
        <v>135829</v>
      </c>
      <c r="Y12" s="326">
        <f t="shared" si="0"/>
        <v>136427</v>
      </c>
      <c r="Z12" s="327">
        <f t="shared" si="1"/>
        <v>272256</v>
      </c>
    </row>
    <row r="13" spans="1:28" x14ac:dyDescent="0.35">
      <c r="A13" s="328" t="s">
        <v>259</v>
      </c>
      <c r="B13" s="329" t="s">
        <v>30</v>
      </c>
      <c r="C13" s="330">
        <v>30267</v>
      </c>
      <c r="D13" s="330">
        <v>29895</v>
      </c>
      <c r="E13" s="330">
        <v>60065</v>
      </c>
      <c r="F13" s="330">
        <v>1614</v>
      </c>
      <c r="G13" s="330">
        <v>1795</v>
      </c>
      <c r="H13" s="330">
        <v>3418</v>
      </c>
      <c r="I13" s="330">
        <v>728</v>
      </c>
      <c r="J13" s="330">
        <v>775</v>
      </c>
      <c r="K13" s="330">
        <v>1520</v>
      </c>
      <c r="L13" s="330">
        <v>39</v>
      </c>
      <c r="M13" s="330">
        <v>42</v>
      </c>
      <c r="N13" s="330">
        <v>85</v>
      </c>
      <c r="O13" s="330">
        <v>177</v>
      </c>
      <c r="P13" s="330">
        <v>175</v>
      </c>
      <c r="Q13" s="330">
        <v>358</v>
      </c>
      <c r="R13" s="330">
        <v>3</v>
      </c>
      <c r="S13" s="330">
        <v>1</v>
      </c>
      <c r="T13" s="330">
        <v>4</v>
      </c>
      <c r="U13" s="330">
        <v>2</v>
      </c>
      <c r="V13" s="330">
        <v>3</v>
      </c>
      <c r="W13" s="330">
        <v>4</v>
      </c>
      <c r="X13" s="331">
        <f t="shared" si="0"/>
        <v>32830</v>
      </c>
      <c r="Y13" s="332">
        <f t="shared" si="0"/>
        <v>32686</v>
      </c>
      <c r="Z13" s="333">
        <f t="shared" si="1"/>
        <v>65516</v>
      </c>
    </row>
    <row r="14" spans="1:28" x14ac:dyDescent="0.35">
      <c r="A14" s="328" t="s">
        <v>260</v>
      </c>
      <c r="B14" s="329" t="s">
        <v>33</v>
      </c>
      <c r="C14" s="330">
        <v>23335</v>
      </c>
      <c r="D14" s="330">
        <v>23317</v>
      </c>
      <c r="E14" s="330">
        <v>46728</v>
      </c>
      <c r="F14" s="330">
        <v>1138</v>
      </c>
      <c r="G14" s="330">
        <v>1243</v>
      </c>
      <c r="H14" s="330">
        <v>2397</v>
      </c>
      <c r="I14" s="330">
        <v>332</v>
      </c>
      <c r="J14" s="330">
        <v>325</v>
      </c>
      <c r="K14" s="330">
        <v>654</v>
      </c>
      <c r="L14" s="330">
        <v>19</v>
      </c>
      <c r="M14" s="330">
        <v>19</v>
      </c>
      <c r="N14" s="330">
        <v>38</v>
      </c>
      <c r="O14" s="330">
        <v>84</v>
      </c>
      <c r="P14" s="330">
        <v>104</v>
      </c>
      <c r="Q14" s="330">
        <v>191</v>
      </c>
      <c r="R14" s="330">
        <v>0</v>
      </c>
      <c r="S14" s="330">
        <v>0</v>
      </c>
      <c r="T14" s="330">
        <v>0</v>
      </c>
      <c r="U14" s="330">
        <v>2</v>
      </c>
      <c r="V14" s="330">
        <v>1</v>
      </c>
      <c r="W14" s="330">
        <v>3</v>
      </c>
      <c r="X14" s="331">
        <f t="shared" si="0"/>
        <v>24910</v>
      </c>
      <c r="Y14" s="332">
        <f t="shared" si="0"/>
        <v>25009</v>
      </c>
      <c r="Z14" s="334">
        <f t="shared" si="1"/>
        <v>49919</v>
      </c>
    </row>
    <row r="15" spans="1:28" x14ac:dyDescent="0.35">
      <c r="A15" s="328" t="s">
        <v>261</v>
      </c>
      <c r="B15" s="329" t="s">
        <v>36</v>
      </c>
      <c r="C15" s="330">
        <v>20394</v>
      </c>
      <c r="D15" s="330">
        <v>20310</v>
      </c>
      <c r="E15" s="330">
        <v>40640</v>
      </c>
      <c r="F15" s="330">
        <v>1516</v>
      </c>
      <c r="G15" s="330">
        <v>1623</v>
      </c>
      <c r="H15" s="330">
        <v>3141</v>
      </c>
      <c r="I15" s="330">
        <v>630</v>
      </c>
      <c r="J15" s="330">
        <v>634</v>
      </c>
      <c r="K15" s="330">
        <v>1246</v>
      </c>
      <c r="L15" s="330">
        <v>33</v>
      </c>
      <c r="M15" s="330">
        <v>26</v>
      </c>
      <c r="N15" s="330">
        <v>59</v>
      </c>
      <c r="O15" s="330">
        <v>160</v>
      </c>
      <c r="P15" s="330">
        <v>194</v>
      </c>
      <c r="Q15" s="330">
        <v>352</v>
      </c>
      <c r="R15" s="330">
        <v>1</v>
      </c>
      <c r="S15" s="330">
        <v>0</v>
      </c>
      <c r="T15" s="330">
        <v>1</v>
      </c>
      <c r="U15" s="330">
        <v>1</v>
      </c>
      <c r="V15" s="330">
        <v>0</v>
      </c>
      <c r="W15" s="330">
        <v>1</v>
      </c>
      <c r="X15" s="331">
        <f t="shared" si="0"/>
        <v>22735</v>
      </c>
      <c r="Y15" s="332">
        <f t="shared" si="0"/>
        <v>22787</v>
      </c>
      <c r="Z15" s="334">
        <f t="shared" si="1"/>
        <v>45522</v>
      </c>
    </row>
    <row r="16" spans="1:28" x14ac:dyDescent="0.35">
      <c r="A16" s="328" t="s">
        <v>262</v>
      </c>
      <c r="B16" s="329" t="s">
        <v>38</v>
      </c>
      <c r="C16" s="330">
        <v>16210</v>
      </c>
      <c r="D16" s="330">
        <v>16268</v>
      </c>
      <c r="E16" s="330">
        <v>32385</v>
      </c>
      <c r="F16" s="330">
        <v>1133</v>
      </c>
      <c r="G16" s="330">
        <v>1215</v>
      </c>
      <c r="H16" s="330">
        <v>2335</v>
      </c>
      <c r="I16" s="330">
        <v>297</v>
      </c>
      <c r="J16" s="330">
        <v>381</v>
      </c>
      <c r="K16" s="330">
        <v>688</v>
      </c>
      <c r="L16" s="330">
        <v>20</v>
      </c>
      <c r="M16" s="330">
        <v>22</v>
      </c>
      <c r="N16" s="330">
        <v>42</v>
      </c>
      <c r="O16" s="330">
        <v>59</v>
      </c>
      <c r="P16" s="330">
        <v>58</v>
      </c>
      <c r="Q16" s="330">
        <v>116</v>
      </c>
      <c r="R16" s="330">
        <v>0</v>
      </c>
      <c r="S16" s="330">
        <v>2</v>
      </c>
      <c r="T16" s="330">
        <v>2</v>
      </c>
      <c r="U16" s="330">
        <v>0</v>
      </c>
      <c r="V16" s="330">
        <v>1</v>
      </c>
      <c r="W16" s="330">
        <v>1</v>
      </c>
      <c r="X16" s="331">
        <f t="shared" si="0"/>
        <v>17719</v>
      </c>
      <c r="Y16" s="332">
        <f t="shared" si="0"/>
        <v>17947</v>
      </c>
      <c r="Z16" s="334">
        <f t="shared" si="1"/>
        <v>35666</v>
      </c>
    </row>
    <row r="17" spans="1:26" ht="15" thickBot="1" x14ac:dyDescent="0.4">
      <c r="A17" s="335" t="s">
        <v>263</v>
      </c>
      <c r="B17" s="336" t="s">
        <v>40</v>
      </c>
      <c r="C17" s="337">
        <v>33463</v>
      </c>
      <c r="D17" s="337">
        <v>33693</v>
      </c>
      <c r="E17" s="337">
        <v>67067</v>
      </c>
      <c r="F17" s="337">
        <v>3061</v>
      </c>
      <c r="G17" s="337">
        <v>3085</v>
      </c>
      <c r="H17" s="337">
        <v>6149</v>
      </c>
      <c r="I17" s="337">
        <v>871</v>
      </c>
      <c r="J17" s="337">
        <v>984</v>
      </c>
      <c r="K17" s="337">
        <v>1866</v>
      </c>
      <c r="L17" s="337">
        <v>87</v>
      </c>
      <c r="M17" s="337">
        <v>65</v>
      </c>
      <c r="N17" s="337">
        <v>147</v>
      </c>
      <c r="O17" s="337">
        <v>153</v>
      </c>
      <c r="P17" s="337">
        <v>169</v>
      </c>
      <c r="Q17" s="337">
        <v>320</v>
      </c>
      <c r="R17" s="337">
        <v>0</v>
      </c>
      <c r="S17" s="337">
        <v>1</v>
      </c>
      <c r="T17" s="337">
        <v>1</v>
      </c>
      <c r="U17" s="337">
        <v>0</v>
      </c>
      <c r="V17" s="337">
        <v>1</v>
      </c>
      <c r="W17" s="337">
        <v>1</v>
      </c>
      <c r="X17" s="338">
        <f t="shared" si="0"/>
        <v>37635</v>
      </c>
      <c r="Y17" s="339">
        <f t="shared" si="0"/>
        <v>37998</v>
      </c>
      <c r="Z17" s="340">
        <f t="shared" si="1"/>
        <v>75633</v>
      </c>
    </row>
    <row r="18" spans="1:26" x14ac:dyDescent="0.35">
      <c r="A18" s="303" t="s">
        <v>264</v>
      </c>
      <c r="B18" s="304" t="s">
        <v>47</v>
      </c>
      <c r="C18" s="305">
        <v>156316</v>
      </c>
      <c r="D18" s="305">
        <v>155351</v>
      </c>
      <c r="E18" s="305">
        <v>310740</v>
      </c>
      <c r="F18" s="305">
        <v>12392</v>
      </c>
      <c r="G18" s="305">
        <v>12830</v>
      </c>
      <c r="H18" s="305">
        <v>25173</v>
      </c>
      <c r="I18" s="305">
        <v>3771</v>
      </c>
      <c r="J18" s="305">
        <v>3946</v>
      </c>
      <c r="K18" s="305">
        <v>7706</v>
      </c>
      <c r="L18" s="305">
        <v>288</v>
      </c>
      <c r="M18" s="305">
        <v>252</v>
      </c>
      <c r="N18" s="305">
        <v>553</v>
      </c>
      <c r="O18" s="305">
        <v>1733</v>
      </c>
      <c r="P18" s="305">
        <v>1719</v>
      </c>
      <c r="Q18" s="305">
        <v>3490</v>
      </c>
      <c r="R18" s="305">
        <v>4</v>
      </c>
      <c r="S18" s="305">
        <v>4</v>
      </c>
      <c r="T18" s="305">
        <v>8</v>
      </c>
      <c r="U18" s="305">
        <v>9</v>
      </c>
      <c r="V18" s="305">
        <v>7</v>
      </c>
      <c r="W18" s="305">
        <v>17</v>
      </c>
      <c r="X18" s="306">
        <f t="shared" si="0"/>
        <v>174513</v>
      </c>
      <c r="Y18" s="307">
        <f t="shared" si="0"/>
        <v>174109</v>
      </c>
      <c r="Z18" s="308">
        <f t="shared" si="1"/>
        <v>348622</v>
      </c>
    </row>
    <row r="19" spans="1:26" x14ac:dyDescent="0.35">
      <c r="A19" s="310" t="s">
        <v>265</v>
      </c>
      <c r="B19" s="311" t="s">
        <v>43</v>
      </c>
      <c r="C19" s="312">
        <v>44765</v>
      </c>
      <c r="D19" s="312">
        <v>44278</v>
      </c>
      <c r="E19" s="312">
        <v>88830</v>
      </c>
      <c r="F19" s="312">
        <v>3037</v>
      </c>
      <c r="G19" s="312">
        <v>3100</v>
      </c>
      <c r="H19" s="312">
        <v>6161</v>
      </c>
      <c r="I19" s="312">
        <v>908</v>
      </c>
      <c r="J19" s="312">
        <v>908</v>
      </c>
      <c r="K19" s="312">
        <v>1822</v>
      </c>
      <c r="L19" s="312">
        <v>63</v>
      </c>
      <c r="M19" s="312">
        <v>50</v>
      </c>
      <c r="N19" s="312">
        <v>122</v>
      </c>
      <c r="O19" s="312">
        <v>221</v>
      </c>
      <c r="P19" s="312">
        <v>211</v>
      </c>
      <c r="Q19" s="312">
        <v>444</v>
      </c>
      <c r="R19" s="312">
        <v>0</v>
      </c>
      <c r="S19" s="312">
        <v>1</v>
      </c>
      <c r="T19" s="312">
        <v>1</v>
      </c>
      <c r="U19" s="312">
        <v>1</v>
      </c>
      <c r="V19" s="312">
        <v>1</v>
      </c>
      <c r="W19" s="312">
        <v>2</v>
      </c>
      <c r="X19" s="313">
        <f t="shared" si="0"/>
        <v>48995</v>
      </c>
      <c r="Y19" s="314">
        <f t="shared" si="0"/>
        <v>48549</v>
      </c>
      <c r="Z19" s="341">
        <f t="shared" si="1"/>
        <v>97544</v>
      </c>
    </row>
    <row r="20" spans="1:26" x14ac:dyDescent="0.35">
      <c r="A20" s="310" t="s">
        <v>266</v>
      </c>
      <c r="B20" s="311" t="s">
        <v>45</v>
      </c>
      <c r="C20" s="312">
        <v>18950</v>
      </c>
      <c r="D20" s="312">
        <v>18810</v>
      </c>
      <c r="E20" s="312">
        <v>37568</v>
      </c>
      <c r="F20" s="312">
        <v>1054</v>
      </c>
      <c r="G20" s="312">
        <v>1099</v>
      </c>
      <c r="H20" s="312">
        <v>2135</v>
      </c>
      <c r="I20" s="312">
        <v>330</v>
      </c>
      <c r="J20" s="312">
        <v>361</v>
      </c>
      <c r="K20" s="312">
        <v>693</v>
      </c>
      <c r="L20" s="312">
        <v>12</v>
      </c>
      <c r="M20" s="312">
        <v>8</v>
      </c>
      <c r="N20" s="312">
        <v>20</v>
      </c>
      <c r="O20" s="312">
        <v>84</v>
      </c>
      <c r="P20" s="312">
        <v>94</v>
      </c>
      <c r="Q20" s="312">
        <v>175</v>
      </c>
      <c r="R20" s="312">
        <v>0</v>
      </c>
      <c r="S20" s="312">
        <v>0</v>
      </c>
      <c r="T20" s="312">
        <v>0</v>
      </c>
      <c r="U20" s="312">
        <v>4</v>
      </c>
      <c r="V20" s="312">
        <v>2</v>
      </c>
      <c r="W20" s="312">
        <v>7</v>
      </c>
      <c r="X20" s="313">
        <f t="shared" si="0"/>
        <v>20434</v>
      </c>
      <c r="Y20" s="314">
        <f t="shared" si="0"/>
        <v>20374</v>
      </c>
      <c r="Z20" s="315">
        <f t="shared" si="1"/>
        <v>40808</v>
      </c>
    </row>
    <row r="21" spans="1:26" x14ac:dyDescent="0.35">
      <c r="A21" s="310" t="s">
        <v>267</v>
      </c>
      <c r="B21" s="311" t="s">
        <v>48</v>
      </c>
      <c r="C21" s="312">
        <v>12211</v>
      </c>
      <c r="D21" s="312">
        <v>11924</v>
      </c>
      <c r="E21" s="312">
        <v>23894</v>
      </c>
      <c r="F21" s="312">
        <v>1498</v>
      </c>
      <c r="G21" s="312">
        <v>1503</v>
      </c>
      <c r="H21" s="312">
        <v>2958</v>
      </c>
      <c r="I21" s="312">
        <v>509</v>
      </c>
      <c r="J21" s="312">
        <v>513</v>
      </c>
      <c r="K21" s="312">
        <v>1012</v>
      </c>
      <c r="L21" s="312">
        <v>42</v>
      </c>
      <c r="M21" s="312">
        <v>33</v>
      </c>
      <c r="N21" s="312">
        <v>74</v>
      </c>
      <c r="O21" s="312">
        <v>422</v>
      </c>
      <c r="P21" s="312">
        <v>431</v>
      </c>
      <c r="Q21" s="312">
        <v>858</v>
      </c>
      <c r="R21" s="312">
        <v>0</v>
      </c>
      <c r="S21" s="312">
        <v>1</v>
      </c>
      <c r="T21" s="312">
        <v>1</v>
      </c>
      <c r="U21" s="312">
        <v>1</v>
      </c>
      <c r="V21" s="312">
        <v>3</v>
      </c>
      <c r="W21" s="312">
        <v>4</v>
      </c>
      <c r="X21" s="313">
        <f t="shared" si="0"/>
        <v>14683</v>
      </c>
      <c r="Y21" s="314">
        <f t="shared" si="0"/>
        <v>14408</v>
      </c>
      <c r="Z21" s="315">
        <f t="shared" si="1"/>
        <v>29091</v>
      </c>
    </row>
    <row r="22" spans="1:26" x14ac:dyDescent="0.35">
      <c r="A22" s="310" t="s">
        <v>268</v>
      </c>
      <c r="B22" s="311" t="s">
        <v>50</v>
      </c>
      <c r="C22" s="312">
        <v>31933</v>
      </c>
      <c r="D22" s="312">
        <v>31523</v>
      </c>
      <c r="E22" s="312">
        <v>63322</v>
      </c>
      <c r="F22" s="312">
        <v>2897</v>
      </c>
      <c r="G22" s="312">
        <v>3026</v>
      </c>
      <c r="H22" s="312">
        <v>5919</v>
      </c>
      <c r="I22" s="312">
        <v>879</v>
      </c>
      <c r="J22" s="312">
        <v>911</v>
      </c>
      <c r="K22" s="312">
        <v>1787</v>
      </c>
      <c r="L22" s="312">
        <v>43</v>
      </c>
      <c r="M22" s="312">
        <v>46</v>
      </c>
      <c r="N22" s="312">
        <v>91</v>
      </c>
      <c r="O22" s="312">
        <v>292</v>
      </c>
      <c r="P22" s="312">
        <v>278</v>
      </c>
      <c r="Q22" s="312">
        <v>578</v>
      </c>
      <c r="R22" s="312">
        <v>2</v>
      </c>
      <c r="S22" s="312">
        <v>1</v>
      </c>
      <c r="T22" s="312">
        <v>3</v>
      </c>
      <c r="U22" s="312">
        <v>3</v>
      </c>
      <c r="V22" s="312">
        <v>1</v>
      </c>
      <c r="W22" s="312">
        <v>4</v>
      </c>
      <c r="X22" s="313">
        <f t="shared" ref="X22:Y37" si="2">SUM(C22,F22,I22,L22,O22,R22,U22)</f>
        <v>36049</v>
      </c>
      <c r="Y22" s="314">
        <f t="shared" si="2"/>
        <v>35786</v>
      </c>
      <c r="Z22" s="315">
        <f t="shared" si="1"/>
        <v>71835</v>
      </c>
    </row>
    <row r="23" spans="1:26" x14ac:dyDescent="0.35">
      <c r="A23" s="310" t="s">
        <v>269</v>
      </c>
      <c r="B23" s="311" t="s">
        <v>52</v>
      </c>
      <c r="C23" s="312">
        <v>10700</v>
      </c>
      <c r="D23" s="312">
        <v>10456</v>
      </c>
      <c r="E23" s="312">
        <v>21032</v>
      </c>
      <c r="F23" s="312">
        <v>988</v>
      </c>
      <c r="G23" s="312">
        <v>1044</v>
      </c>
      <c r="H23" s="312">
        <v>2023</v>
      </c>
      <c r="I23" s="312">
        <v>331</v>
      </c>
      <c r="J23" s="312">
        <v>363</v>
      </c>
      <c r="K23" s="312">
        <v>694</v>
      </c>
      <c r="L23" s="312">
        <v>19</v>
      </c>
      <c r="M23" s="312">
        <v>22</v>
      </c>
      <c r="N23" s="312">
        <v>40</v>
      </c>
      <c r="O23" s="312">
        <v>557</v>
      </c>
      <c r="P23" s="312">
        <v>562</v>
      </c>
      <c r="Q23" s="312">
        <v>1126</v>
      </c>
      <c r="R23" s="312">
        <v>1</v>
      </c>
      <c r="S23" s="312">
        <v>0</v>
      </c>
      <c r="T23" s="312">
        <v>1</v>
      </c>
      <c r="U23" s="312">
        <v>0</v>
      </c>
      <c r="V23" s="312">
        <v>0</v>
      </c>
      <c r="W23" s="312">
        <v>0</v>
      </c>
      <c r="X23" s="313">
        <f t="shared" si="2"/>
        <v>12596</v>
      </c>
      <c r="Y23" s="314">
        <f t="shared" si="2"/>
        <v>12447</v>
      </c>
      <c r="Z23" s="315">
        <f t="shared" si="1"/>
        <v>25043</v>
      </c>
    </row>
    <row r="24" spans="1:26" ht="15" thickBot="1" x14ac:dyDescent="0.4">
      <c r="A24" s="316" t="s">
        <v>270</v>
      </c>
      <c r="B24" s="317" t="s">
        <v>54</v>
      </c>
      <c r="C24" s="318">
        <v>37757</v>
      </c>
      <c r="D24" s="318">
        <v>38360</v>
      </c>
      <c r="E24" s="318">
        <v>76094</v>
      </c>
      <c r="F24" s="318">
        <v>2918</v>
      </c>
      <c r="G24" s="318">
        <v>3058</v>
      </c>
      <c r="H24" s="318">
        <v>5977</v>
      </c>
      <c r="I24" s="318">
        <v>814</v>
      </c>
      <c r="J24" s="318">
        <v>890</v>
      </c>
      <c r="K24" s="318">
        <v>1698</v>
      </c>
      <c r="L24" s="318">
        <v>109</v>
      </c>
      <c r="M24" s="318">
        <v>93</v>
      </c>
      <c r="N24" s="318">
        <v>206</v>
      </c>
      <c r="O24" s="318">
        <v>157</v>
      </c>
      <c r="P24" s="318">
        <v>143</v>
      </c>
      <c r="Q24" s="318">
        <v>309</v>
      </c>
      <c r="R24" s="318">
        <v>1</v>
      </c>
      <c r="S24" s="318">
        <v>1</v>
      </c>
      <c r="T24" s="318">
        <v>2</v>
      </c>
      <c r="U24" s="318">
        <v>0</v>
      </c>
      <c r="V24" s="318">
        <v>0</v>
      </c>
      <c r="W24" s="318">
        <v>0</v>
      </c>
      <c r="X24" s="319">
        <f t="shared" si="2"/>
        <v>41756</v>
      </c>
      <c r="Y24" s="320">
        <f t="shared" si="2"/>
        <v>42545</v>
      </c>
      <c r="Z24" s="321">
        <f t="shared" si="1"/>
        <v>84301</v>
      </c>
    </row>
    <row r="25" spans="1:26" x14ac:dyDescent="0.35">
      <c r="A25" s="322" t="s">
        <v>271</v>
      </c>
      <c r="B25" s="323" t="s">
        <v>61</v>
      </c>
      <c r="C25" s="324">
        <v>96179</v>
      </c>
      <c r="D25" s="324">
        <v>97850</v>
      </c>
      <c r="E25" s="324">
        <v>193376</v>
      </c>
      <c r="F25" s="324">
        <v>8870</v>
      </c>
      <c r="G25" s="324">
        <v>9660</v>
      </c>
      <c r="H25" s="324">
        <v>18581</v>
      </c>
      <c r="I25" s="324">
        <v>3031</v>
      </c>
      <c r="J25" s="324">
        <v>3336</v>
      </c>
      <c r="K25" s="324">
        <v>6396</v>
      </c>
      <c r="L25" s="324">
        <v>224</v>
      </c>
      <c r="M25" s="324">
        <v>171</v>
      </c>
      <c r="N25" s="324">
        <v>396</v>
      </c>
      <c r="O25" s="324">
        <v>596</v>
      </c>
      <c r="P25" s="324">
        <v>606</v>
      </c>
      <c r="Q25" s="324">
        <v>1201</v>
      </c>
      <c r="R25" s="324">
        <v>7</v>
      </c>
      <c r="S25" s="324">
        <v>9</v>
      </c>
      <c r="T25" s="324">
        <v>16</v>
      </c>
      <c r="U25" s="324">
        <v>4</v>
      </c>
      <c r="V25" s="324">
        <v>1</v>
      </c>
      <c r="W25" s="324">
        <v>5</v>
      </c>
      <c r="X25" s="325">
        <f t="shared" si="2"/>
        <v>108911</v>
      </c>
      <c r="Y25" s="326">
        <f t="shared" si="2"/>
        <v>111633</v>
      </c>
      <c r="Z25" s="327">
        <f t="shared" si="1"/>
        <v>220544</v>
      </c>
    </row>
    <row r="26" spans="1:26" x14ac:dyDescent="0.35">
      <c r="A26" s="328" t="s">
        <v>272</v>
      </c>
      <c r="B26" s="329" t="s">
        <v>57</v>
      </c>
      <c r="C26" s="330">
        <v>26334</v>
      </c>
      <c r="D26" s="330">
        <v>27061</v>
      </c>
      <c r="E26" s="330">
        <v>53033</v>
      </c>
      <c r="F26" s="330">
        <v>2370</v>
      </c>
      <c r="G26" s="330">
        <v>2621</v>
      </c>
      <c r="H26" s="330">
        <v>5009</v>
      </c>
      <c r="I26" s="330">
        <v>1012</v>
      </c>
      <c r="J26" s="330">
        <v>1077</v>
      </c>
      <c r="K26" s="330">
        <v>2114</v>
      </c>
      <c r="L26" s="330">
        <v>69</v>
      </c>
      <c r="M26" s="330">
        <v>48</v>
      </c>
      <c r="N26" s="330">
        <v>118</v>
      </c>
      <c r="O26" s="330">
        <v>167</v>
      </c>
      <c r="P26" s="330">
        <v>172</v>
      </c>
      <c r="Q26" s="330">
        <v>339</v>
      </c>
      <c r="R26" s="330">
        <v>0</v>
      </c>
      <c r="S26" s="330">
        <v>1</v>
      </c>
      <c r="T26" s="330">
        <v>1</v>
      </c>
      <c r="U26" s="330">
        <v>0</v>
      </c>
      <c r="V26" s="330">
        <v>0</v>
      </c>
      <c r="W26" s="330">
        <v>0</v>
      </c>
      <c r="X26" s="331">
        <f t="shared" si="2"/>
        <v>29952</v>
      </c>
      <c r="Y26" s="332">
        <f t="shared" si="2"/>
        <v>30980</v>
      </c>
      <c r="Z26" s="333">
        <f t="shared" si="1"/>
        <v>60932</v>
      </c>
    </row>
    <row r="27" spans="1:26" x14ac:dyDescent="0.35">
      <c r="A27" s="328" t="s">
        <v>273</v>
      </c>
      <c r="B27" s="329" t="s">
        <v>59</v>
      </c>
      <c r="C27" s="330">
        <v>8236</v>
      </c>
      <c r="D27" s="330">
        <v>8252</v>
      </c>
      <c r="E27" s="330">
        <v>16521</v>
      </c>
      <c r="F27" s="330">
        <v>390</v>
      </c>
      <c r="G27" s="330">
        <v>423</v>
      </c>
      <c r="H27" s="330">
        <v>838</v>
      </c>
      <c r="I27" s="330">
        <v>60</v>
      </c>
      <c r="J27" s="330">
        <v>77</v>
      </c>
      <c r="K27" s="330">
        <v>131</v>
      </c>
      <c r="L27" s="330">
        <v>2</v>
      </c>
      <c r="M27" s="330">
        <v>2</v>
      </c>
      <c r="N27" s="330">
        <v>4</v>
      </c>
      <c r="O27" s="330">
        <v>101</v>
      </c>
      <c r="P27" s="330">
        <v>111</v>
      </c>
      <c r="Q27" s="330">
        <v>216</v>
      </c>
      <c r="R27" s="330">
        <v>0</v>
      </c>
      <c r="S27" s="330">
        <v>0</v>
      </c>
      <c r="T27" s="330">
        <v>0</v>
      </c>
      <c r="U27" s="330">
        <v>0</v>
      </c>
      <c r="V27" s="330">
        <v>0</v>
      </c>
      <c r="W27" s="330">
        <v>0</v>
      </c>
      <c r="X27" s="331">
        <f t="shared" si="2"/>
        <v>8789</v>
      </c>
      <c r="Y27" s="332">
        <f t="shared" si="2"/>
        <v>8865</v>
      </c>
      <c r="Z27" s="334">
        <f t="shared" si="1"/>
        <v>17654</v>
      </c>
    </row>
    <row r="28" spans="1:26" x14ac:dyDescent="0.35">
      <c r="A28" s="328" t="s">
        <v>274</v>
      </c>
      <c r="B28" s="329" t="s">
        <v>62</v>
      </c>
      <c r="C28" s="330">
        <v>17053</v>
      </c>
      <c r="D28" s="330">
        <v>17121</v>
      </c>
      <c r="E28" s="330">
        <v>33968</v>
      </c>
      <c r="F28" s="330">
        <v>1214</v>
      </c>
      <c r="G28" s="330">
        <v>1319</v>
      </c>
      <c r="H28" s="330">
        <v>2549</v>
      </c>
      <c r="I28" s="330">
        <v>519</v>
      </c>
      <c r="J28" s="330">
        <v>564</v>
      </c>
      <c r="K28" s="330">
        <v>1085</v>
      </c>
      <c r="L28" s="330">
        <v>25</v>
      </c>
      <c r="M28" s="330">
        <v>24</v>
      </c>
      <c r="N28" s="330">
        <v>54</v>
      </c>
      <c r="O28" s="330">
        <v>39</v>
      </c>
      <c r="P28" s="330">
        <v>41</v>
      </c>
      <c r="Q28" s="330">
        <v>79</v>
      </c>
      <c r="R28" s="330">
        <v>0</v>
      </c>
      <c r="S28" s="330">
        <v>0</v>
      </c>
      <c r="T28" s="330">
        <v>0</v>
      </c>
      <c r="U28" s="330">
        <v>1</v>
      </c>
      <c r="V28" s="330">
        <v>0</v>
      </c>
      <c r="W28" s="330">
        <v>1</v>
      </c>
      <c r="X28" s="331">
        <f t="shared" si="2"/>
        <v>18851</v>
      </c>
      <c r="Y28" s="332">
        <f t="shared" si="2"/>
        <v>19069</v>
      </c>
      <c r="Z28" s="334">
        <f t="shared" si="1"/>
        <v>37920</v>
      </c>
    </row>
    <row r="29" spans="1:26" x14ac:dyDescent="0.35">
      <c r="A29" s="328" t="s">
        <v>275</v>
      </c>
      <c r="B29" s="329" t="s">
        <v>64</v>
      </c>
      <c r="C29" s="330">
        <v>18696</v>
      </c>
      <c r="D29" s="330">
        <v>19063</v>
      </c>
      <c r="E29" s="330">
        <v>37593</v>
      </c>
      <c r="F29" s="330">
        <v>2248</v>
      </c>
      <c r="G29" s="330">
        <v>2477</v>
      </c>
      <c r="H29" s="330">
        <v>4698</v>
      </c>
      <c r="I29" s="330">
        <v>1035</v>
      </c>
      <c r="J29" s="330">
        <v>1166</v>
      </c>
      <c r="K29" s="330">
        <v>2205</v>
      </c>
      <c r="L29" s="330">
        <v>84</v>
      </c>
      <c r="M29" s="330">
        <v>63</v>
      </c>
      <c r="N29" s="330">
        <v>144</v>
      </c>
      <c r="O29" s="330">
        <v>192</v>
      </c>
      <c r="P29" s="330">
        <v>192</v>
      </c>
      <c r="Q29" s="330">
        <v>382</v>
      </c>
      <c r="R29" s="330">
        <v>7</v>
      </c>
      <c r="S29" s="330">
        <v>8</v>
      </c>
      <c r="T29" s="330">
        <v>15</v>
      </c>
      <c r="U29" s="330">
        <v>3</v>
      </c>
      <c r="V29" s="330">
        <v>1</v>
      </c>
      <c r="W29" s="330">
        <v>4</v>
      </c>
      <c r="X29" s="331">
        <f t="shared" si="2"/>
        <v>22265</v>
      </c>
      <c r="Y29" s="332">
        <f t="shared" si="2"/>
        <v>22970</v>
      </c>
      <c r="Z29" s="334">
        <f t="shared" si="1"/>
        <v>45235</v>
      </c>
    </row>
    <row r="30" spans="1:26" ht="15" thickBot="1" x14ac:dyDescent="0.4">
      <c r="A30" s="335" t="s">
        <v>276</v>
      </c>
      <c r="B30" s="336" t="s">
        <v>66</v>
      </c>
      <c r="C30" s="337">
        <v>25860</v>
      </c>
      <c r="D30" s="337">
        <v>26353</v>
      </c>
      <c r="E30" s="337">
        <v>52261</v>
      </c>
      <c r="F30" s="337">
        <v>2648</v>
      </c>
      <c r="G30" s="337">
        <v>2820</v>
      </c>
      <c r="H30" s="337">
        <v>5487</v>
      </c>
      <c r="I30" s="337">
        <v>405</v>
      </c>
      <c r="J30" s="337">
        <v>452</v>
      </c>
      <c r="K30" s="337">
        <v>861</v>
      </c>
      <c r="L30" s="337">
        <v>44</v>
      </c>
      <c r="M30" s="337">
        <v>34</v>
      </c>
      <c r="N30" s="337">
        <v>76</v>
      </c>
      <c r="O30" s="337">
        <v>97</v>
      </c>
      <c r="P30" s="337">
        <v>90</v>
      </c>
      <c r="Q30" s="337">
        <v>185</v>
      </c>
      <c r="R30" s="337">
        <v>0</v>
      </c>
      <c r="S30" s="337">
        <v>0</v>
      </c>
      <c r="T30" s="337">
        <v>0</v>
      </c>
      <c r="U30" s="337">
        <v>0</v>
      </c>
      <c r="V30" s="337">
        <v>0</v>
      </c>
      <c r="W30" s="337">
        <v>0</v>
      </c>
      <c r="X30" s="338">
        <f t="shared" si="2"/>
        <v>29054</v>
      </c>
      <c r="Y30" s="339">
        <f t="shared" si="2"/>
        <v>29749</v>
      </c>
      <c r="Z30" s="340">
        <f t="shared" si="1"/>
        <v>58803</v>
      </c>
    </row>
    <row r="31" spans="1:26" x14ac:dyDescent="0.35">
      <c r="A31" s="303" t="s">
        <v>277</v>
      </c>
      <c r="B31" s="304" t="s">
        <v>73</v>
      </c>
      <c r="C31" s="305">
        <v>97290</v>
      </c>
      <c r="D31" s="305">
        <v>97155</v>
      </c>
      <c r="E31" s="305">
        <v>193661</v>
      </c>
      <c r="F31" s="305">
        <v>11971</v>
      </c>
      <c r="G31" s="305">
        <v>12448</v>
      </c>
      <c r="H31" s="305">
        <v>24396</v>
      </c>
      <c r="I31" s="305">
        <v>3110</v>
      </c>
      <c r="J31" s="305">
        <v>3227</v>
      </c>
      <c r="K31" s="305">
        <v>6311</v>
      </c>
      <c r="L31" s="305">
        <v>190</v>
      </c>
      <c r="M31" s="305">
        <v>183</v>
      </c>
      <c r="N31" s="305">
        <v>370</v>
      </c>
      <c r="O31" s="305">
        <v>1179</v>
      </c>
      <c r="P31" s="305">
        <v>1163</v>
      </c>
      <c r="Q31" s="305">
        <v>2354</v>
      </c>
      <c r="R31" s="305">
        <v>9</v>
      </c>
      <c r="S31" s="305">
        <v>5</v>
      </c>
      <c r="T31" s="305">
        <v>12</v>
      </c>
      <c r="U31" s="305">
        <v>12</v>
      </c>
      <c r="V31" s="305">
        <v>5</v>
      </c>
      <c r="W31" s="305">
        <v>18</v>
      </c>
      <c r="X31" s="306">
        <f t="shared" si="2"/>
        <v>113761</v>
      </c>
      <c r="Y31" s="307">
        <f t="shared" si="2"/>
        <v>114186</v>
      </c>
      <c r="Z31" s="308">
        <f t="shared" si="1"/>
        <v>227947</v>
      </c>
    </row>
    <row r="32" spans="1:26" x14ac:dyDescent="0.35">
      <c r="A32" s="310" t="s">
        <v>278</v>
      </c>
      <c r="B32" s="311" t="s">
        <v>69</v>
      </c>
      <c r="C32" s="312">
        <v>34305</v>
      </c>
      <c r="D32" s="312">
        <v>33939</v>
      </c>
      <c r="E32" s="312">
        <v>67879</v>
      </c>
      <c r="F32" s="312">
        <v>4410</v>
      </c>
      <c r="G32" s="312">
        <v>4575</v>
      </c>
      <c r="H32" s="312">
        <v>8954</v>
      </c>
      <c r="I32" s="312">
        <v>1342</v>
      </c>
      <c r="J32" s="312">
        <v>1403</v>
      </c>
      <c r="K32" s="312">
        <v>2710</v>
      </c>
      <c r="L32" s="312">
        <v>78</v>
      </c>
      <c r="M32" s="312">
        <v>77</v>
      </c>
      <c r="N32" s="312">
        <v>150</v>
      </c>
      <c r="O32" s="312">
        <v>403</v>
      </c>
      <c r="P32" s="312">
        <v>402</v>
      </c>
      <c r="Q32" s="312">
        <v>805</v>
      </c>
      <c r="R32" s="312">
        <v>4</v>
      </c>
      <c r="S32" s="312">
        <v>2</v>
      </c>
      <c r="T32" s="312">
        <v>5</v>
      </c>
      <c r="U32" s="312">
        <v>2</v>
      </c>
      <c r="V32" s="312">
        <v>0</v>
      </c>
      <c r="W32" s="312">
        <v>2</v>
      </c>
      <c r="X32" s="313">
        <f t="shared" si="2"/>
        <v>40544</v>
      </c>
      <c r="Y32" s="314">
        <f t="shared" si="2"/>
        <v>40398</v>
      </c>
      <c r="Z32" s="341">
        <f t="shared" si="1"/>
        <v>80942</v>
      </c>
    </row>
    <row r="33" spans="1:26" x14ac:dyDescent="0.35">
      <c r="A33" s="310" t="s">
        <v>279</v>
      </c>
      <c r="B33" s="311" t="s">
        <v>71</v>
      </c>
      <c r="C33" s="312">
        <v>28116</v>
      </c>
      <c r="D33" s="312">
        <v>28595</v>
      </c>
      <c r="E33" s="312">
        <v>56483</v>
      </c>
      <c r="F33" s="312">
        <v>2383</v>
      </c>
      <c r="G33" s="312">
        <v>2531</v>
      </c>
      <c r="H33" s="312">
        <v>4931</v>
      </c>
      <c r="I33" s="312">
        <v>735</v>
      </c>
      <c r="J33" s="312">
        <v>733</v>
      </c>
      <c r="K33" s="312">
        <v>1480</v>
      </c>
      <c r="L33" s="312">
        <v>58</v>
      </c>
      <c r="M33" s="312">
        <v>61</v>
      </c>
      <c r="N33" s="312">
        <v>118</v>
      </c>
      <c r="O33" s="312">
        <v>213</v>
      </c>
      <c r="P33" s="312">
        <v>192</v>
      </c>
      <c r="Q33" s="312">
        <v>410</v>
      </c>
      <c r="R33" s="312">
        <v>2</v>
      </c>
      <c r="S33" s="312">
        <v>2</v>
      </c>
      <c r="T33" s="312">
        <v>3</v>
      </c>
      <c r="U33" s="312">
        <v>0</v>
      </c>
      <c r="V33" s="312">
        <v>0</v>
      </c>
      <c r="W33" s="312">
        <v>0</v>
      </c>
      <c r="X33" s="313">
        <f t="shared" si="2"/>
        <v>31507</v>
      </c>
      <c r="Y33" s="314">
        <f t="shared" si="2"/>
        <v>32114</v>
      </c>
      <c r="Z33" s="315">
        <f t="shared" si="1"/>
        <v>63621</v>
      </c>
    </row>
    <row r="34" spans="1:26" x14ac:dyDescent="0.35">
      <c r="A34" s="310" t="s">
        <v>280</v>
      </c>
      <c r="B34" s="311" t="s">
        <v>74</v>
      </c>
      <c r="C34" s="312">
        <v>16205</v>
      </c>
      <c r="D34" s="312">
        <v>16164</v>
      </c>
      <c r="E34" s="312">
        <v>32249</v>
      </c>
      <c r="F34" s="312">
        <v>1934</v>
      </c>
      <c r="G34" s="312">
        <v>2049</v>
      </c>
      <c r="H34" s="312">
        <v>4003</v>
      </c>
      <c r="I34" s="312">
        <v>517</v>
      </c>
      <c r="J34" s="312">
        <v>561</v>
      </c>
      <c r="K34" s="312">
        <v>1073</v>
      </c>
      <c r="L34" s="312">
        <v>34</v>
      </c>
      <c r="M34" s="312">
        <v>34</v>
      </c>
      <c r="N34" s="312">
        <v>68</v>
      </c>
      <c r="O34" s="312">
        <v>130</v>
      </c>
      <c r="P34" s="312">
        <v>119</v>
      </c>
      <c r="Q34" s="312">
        <v>253</v>
      </c>
      <c r="R34" s="312">
        <v>0</v>
      </c>
      <c r="S34" s="312">
        <v>0</v>
      </c>
      <c r="T34" s="312">
        <v>0</v>
      </c>
      <c r="U34" s="312">
        <v>3</v>
      </c>
      <c r="V34" s="312">
        <v>1</v>
      </c>
      <c r="W34" s="312">
        <v>4</v>
      </c>
      <c r="X34" s="313">
        <f t="shared" si="2"/>
        <v>18823</v>
      </c>
      <c r="Y34" s="314">
        <f t="shared" si="2"/>
        <v>18928</v>
      </c>
      <c r="Z34" s="315">
        <f t="shared" si="1"/>
        <v>37751</v>
      </c>
    </row>
    <row r="35" spans="1:26" ht="15" thickBot="1" x14ac:dyDescent="0.4">
      <c r="A35" s="316" t="s">
        <v>281</v>
      </c>
      <c r="B35" s="317" t="s">
        <v>76</v>
      </c>
      <c r="C35" s="318">
        <v>18664</v>
      </c>
      <c r="D35" s="318">
        <v>18457</v>
      </c>
      <c r="E35" s="318">
        <v>37050</v>
      </c>
      <c r="F35" s="318">
        <v>3244</v>
      </c>
      <c r="G35" s="318">
        <v>3293</v>
      </c>
      <c r="H35" s="318">
        <v>6508</v>
      </c>
      <c r="I35" s="318">
        <v>516</v>
      </c>
      <c r="J35" s="318">
        <v>530</v>
      </c>
      <c r="K35" s="318">
        <v>1048</v>
      </c>
      <c r="L35" s="318">
        <v>20</v>
      </c>
      <c r="M35" s="318">
        <v>11</v>
      </c>
      <c r="N35" s="318">
        <v>34</v>
      </c>
      <c r="O35" s="318">
        <v>433</v>
      </c>
      <c r="P35" s="318">
        <v>450</v>
      </c>
      <c r="Q35" s="318">
        <v>886</v>
      </c>
      <c r="R35" s="318">
        <v>3</v>
      </c>
      <c r="S35" s="318">
        <v>1</v>
      </c>
      <c r="T35" s="318">
        <v>4</v>
      </c>
      <c r="U35" s="318">
        <v>7</v>
      </c>
      <c r="V35" s="318">
        <v>4</v>
      </c>
      <c r="W35" s="318">
        <v>12</v>
      </c>
      <c r="X35" s="319">
        <f t="shared" si="2"/>
        <v>22887</v>
      </c>
      <c r="Y35" s="320">
        <f t="shared" si="2"/>
        <v>22746</v>
      </c>
      <c r="Z35" s="321">
        <f t="shared" si="1"/>
        <v>45633</v>
      </c>
    </row>
    <row r="36" spans="1:26" x14ac:dyDescent="0.35">
      <c r="A36" s="322" t="s">
        <v>282</v>
      </c>
      <c r="B36" s="323" t="s">
        <v>79</v>
      </c>
      <c r="C36" s="324">
        <v>69164</v>
      </c>
      <c r="D36" s="324">
        <v>67828</v>
      </c>
      <c r="E36" s="324">
        <v>136565</v>
      </c>
      <c r="F36" s="324">
        <v>7614</v>
      </c>
      <c r="G36" s="324">
        <v>7926</v>
      </c>
      <c r="H36" s="324">
        <v>15568</v>
      </c>
      <c r="I36" s="324">
        <v>3171</v>
      </c>
      <c r="J36" s="324">
        <v>3417</v>
      </c>
      <c r="K36" s="324">
        <v>6583</v>
      </c>
      <c r="L36" s="324">
        <v>151</v>
      </c>
      <c r="M36" s="324">
        <v>136</v>
      </c>
      <c r="N36" s="324">
        <v>294</v>
      </c>
      <c r="O36" s="324">
        <v>1624</v>
      </c>
      <c r="P36" s="324">
        <v>1572</v>
      </c>
      <c r="Q36" s="324">
        <v>3238</v>
      </c>
      <c r="R36" s="324">
        <v>15</v>
      </c>
      <c r="S36" s="324">
        <v>15</v>
      </c>
      <c r="T36" s="324">
        <v>26</v>
      </c>
      <c r="U36" s="324">
        <v>3</v>
      </c>
      <c r="V36" s="324">
        <v>2</v>
      </c>
      <c r="W36" s="324">
        <v>5</v>
      </c>
      <c r="X36" s="325">
        <f t="shared" si="2"/>
        <v>81742</v>
      </c>
      <c r="Y36" s="326">
        <f t="shared" si="2"/>
        <v>80896</v>
      </c>
      <c r="Z36" s="327">
        <f t="shared" si="1"/>
        <v>162638</v>
      </c>
    </row>
    <row r="37" spans="1:26" x14ac:dyDescent="0.35">
      <c r="A37" s="328" t="s">
        <v>283</v>
      </c>
      <c r="B37" s="329" t="s">
        <v>79</v>
      </c>
      <c r="C37" s="330">
        <v>14118</v>
      </c>
      <c r="D37" s="330">
        <v>13668</v>
      </c>
      <c r="E37" s="330">
        <v>27784</v>
      </c>
      <c r="F37" s="330">
        <v>212</v>
      </c>
      <c r="G37" s="330">
        <v>206</v>
      </c>
      <c r="H37" s="330">
        <v>421</v>
      </c>
      <c r="I37" s="330">
        <v>52</v>
      </c>
      <c r="J37" s="330">
        <v>41</v>
      </c>
      <c r="K37" s="330">
        <v>90</v>
      </c>
      <c r="L37" s="330">
        <v>6</v>
      </c>
      <c r="M37" s="330">
        <v>5</v>
      </c>
      <c r="N37" s="330">
        <v>11</v>
      </c>
      <c r="O37" s="330">
        <v>21</v>
      </c>
      <c r="P37" s="330">
        <v>24</v>
      </c>
      <c r="Q37" s="330">
        <v>45</v>
      </c>
      <c r="R37" s="330">
        <v>0</v>
      </c>
      <c r="S37" s="330">
        <v>1</v>
      </c>
      <c r="T37" s="330">
        <v>1</v>
      </c>
      <c r="U37" s="330">
        <v>0</v>
      </c>
      <c r="V37" s="330">
        <v>0</v>
      </c>
      <c r="W37" s="330">
        <v>0</v>
      </c>
      <c r="X37" s="331">
        <f t="shared" si="2"/>
        <v>14409</v>
      </c>
      <c r="Y37" s="332">
        <f t="shared" si="2"/>
        <v>13945</v>
      </c>
      <c r="Z37" s="333">
        <f t="shared" si="1"/>
        <v>28354</v>
      </c>
    </row>
    <row r="38" spans="1:26" x14ac:dyDescent="0.35">
      <c r="A38" s="328" t="s">
        <v>284</v>
      </c>
      <c r="B38" s="329" t="s">
        <v>81</v>
      </c>
      <c r="C38" s="330">
        <v>11846</v>
      </c>
      <c r="D38" s="330">
        <v>11508</v>
      </c>
      <c r="E38" s="330">
        <v>23266</v>
      </c>
      <c r="F38" s="330">
        <v>619</v>
      </c>
      <c r="G38" s="330">
        <v>649</v>
      </c>
      <c r="H38" s="330">
        <v>1281</v>
      </c>
      <c r="I38" s="330">
        <v>212</v>
      </c>
      <c r="J38" s="330">
        <v>224</v>
      </c>
      <c r="K38" s="330">
        <v>432</v>
      </c>
      <c r="L38" s="330">
        <v>14</v>
      </c>
      <c r="M38" s="330">
        <v>12</v>
      </c>
      <c r="N38" s="330">
        <v>29</v>
      </c>
      <c r="O38" s="330">
        <v>152</v>
      </c>
      <c r="P38" s="330">
        <v>140</v>
      </c>
      <c r="Q38" s="330">
        <v>288</v>
      </c>
      <c r="R38" s="330">
        <v>0</v>
      </c>
      <c r="S38" s="330">
        <v>0</v>
      </c>
      <c r="T38" s="330">
        <v>0</v>
      </c>
      <c r="U38" s="330">
        <v>1</v>
      </c>
      <c r="V38" s="330">
        <v>1</v>
      </c>
      <c r="W38" s="330">
        <v>2</v>
      </c>
      <c r="X38" s="331">
        <f t="shared" ref="X38:Y65" si="3">SUM(C38,F38,I38,L38,O38,R38,U38)</f>
        <v>12844</v>
      </c>
      <c r="Y38" s="332">
        <f t="shared" si="3"/>
        <v>12534</v>
      </c>
      <c r="Z38" s="334">
        <f t="shared" si="1"/>
        <v>25378</v>
      </c>
    </row>
    <row r="39" spans="1:26" x14ac:dyDescent="0.35">
      <c r="A39" s="328" t="s">
        <v>285</v>
      </c>
      <c r="B39" s="329" t="s">
        <v>83</v>
      </c>
      <c r="C39" s="330">
        <v>29024</v>
      </c>
      <c r="D39" s="330">
        <v>28915</v>
      </c>
      <c r="E39" s="330">
        <v>57681</v>
      </c>
      <c r="F39" s="330">
        <v>5706</v>
      </c>
      <c r="G39" s="330">
        <v>5965</v>
      </c>
      <c r="H39" s="330">
        <v>11671</v>
      </c>
      <c r="I39" s="330">
        <v>2548</v>
      </c>
      <c r="J39" s="330">
        <v>2801</v>
      </c>
      <c r="K39" s="330">
        <v>5356</v>
      </c>
      <c r="L39" s="330">
        <v>129</v>
      </c>
      <c r="M39" s="330">
        <v>116</v>
      </c>
      <c r="N39" s="330">
        <v>249</v>
      </c>
      <c r="O39" s="330">
        <v>1334</v>
      </c>
      <c r="P39" s="330">
        <v>1287</v>
      </c>
      <c r="Q39" s="330">
        <v>2664</v>
      </c>
      <c r="R39" s="330">
        <v>15</v>
      </c>
      <c r="S39" s="330">
        <v>14</v>
      </c>
      <c r="T39" s="330">
        <v>25</v>
      </c>
      <c r="U39" s="330">
        <v>2</v>
      </c>
      <c r="V39" s="330">
        <v>1</v>
      </c>
      <c r="W39" s="330">
        <v>3</v>
      </c>
      <c r="X39" s="331">
        <f t="shared" si="3"/>
        <v>38758</v>
      </c>
      <c r="Y39" s="332">
        <f t="shared" si="3"/>
        <v>39099</v>
      </c>
      <c r="Z39" s="334">
        <f t="shared" si="1"/>
        <v>77857</v>
      </c>
    </row>
    <row r="40" spans="1:26" ht="15" thickBot="1" x14ac:dyDescent="0.4">
      <c r="A40" s="335" t="s">
        <v>286</v>
      </c>
      <c r="B40" s="336" t="s">
        <v>85</v>
      </c>
      <c r="C40" s="337">
        <v>14176</v>
      </c>
      <c r="D40" s="337">
        <v>13737</v>
      </c>
      <c r="E40" s="337">
        <v>27834</v>
      </c>
      <c r="F40" s="337">
        <v>1077</v>
      </c>
      <c r="G40" s="337">
        <v>1106</v>
      </c>
      <c r="H40" s="337">
        <v>2195</v>
      </c>
      <c r="I40" s="337">
        <v>359</v>
      </c>
      <c r="J40" s="337">
        <v>351</v>
      </c>
      <c r="K40" s="337">
        <v>705</v>
      </c>
      <c r="L40" s="337">
        <v>2</v>
      </c>
      <c r="M40" s="337">
        <v>3</v>
      </c>
      <c r="N40" s="337">
        <v>5</v>
      </c>
      <c r="O40" s="337">
        <v>117</v>
      </c>
      <c r="P40" s="337">
        <v>121</v>
      </c>
      <c r="Q40" s="337">
        <v>241</v>
      </c>
      <c r="R40" s="337">
        <v>0</v>
      </c>
      <c r="S40" s="337">
        <v>0</v>
      </c>
      <c r="T40" s="337">
        <v>0</v>
      </c>
      <c r="U40" s="337">
        <v>0</v>
      </c>
      <c r="V40" s="337">
        <v>0</v>
      </c>
      <c r="W40" s="337">
        <v>0</v>
      </c>
      <c r="X40" s="338">
        <f t="shared" si="3"/>
        <v>15731</v>
      </c>
      <c r="Y40" s="339">
        <f t="shared" si="3"/>
        <v>15318</v>
      </c>
      <c r="Z40" s="340">
        <f t="shared" si="1"/>
        <v>31049</v>
      </c>
    </row>
    <row r="41" spans="1:26" x14ac:dyDescent="0.35">
      <c r="A41" s="303" t="s">
        <v>287</v>
      </c>
      <c r="B41" s="304" t="s">
        <v>89</v>
      </c>
      <c r="C41" s="305">
        <v>58812</v>
      </c>
      <c r="D41" s="305">
        <v>57056</v>
      </c>
      <c r="E41" s="305">
        <v>114871</v>
      </c>
      <c r="F41" s="305">
        <v>1851</v>
      </c>
      <c r="G41" s="305">
        <v>1747</v>
      </c>
      <c r="H41" s="305">
        <v>3613</v>
      </c>
      <c r="I41" s="305">
        <v>545</v>
      </c>
      <c r="J41" s="305">
        <v>503</v>
      </c>
      <c r="K41" s="305">
        <v>1047</v>
      </c>
      <c r="L41" s="305">
        <v>22</v>
      </c>
      <c r="M41" s="305">
        <v>20</v>
      </c>
      <c r="N41" s="305">
        <v>38</v>
      </c>
      <c r="O41" s="305">
        <v>179</v>
      </c>
      <c r="P41" s="305">
        <v>161</v>
      </c>
      <c r="Q41" s="305">
        <v>349</v>
      </c>
      <c r="R41" s="305">
        <v>3</v>
      </c>
      <c r="S41" s="305">
        <v>2</v>
      </c>
      <c r="T41" s="305">
        <v>5</v>
      </c>
      <c r="U41" s="305">
        <v>5</v>
      </c>
      <c r="V41" s="305">
        <v>3</v>
      </c>
      <c r="W41" s="305">
        <v>9</v>
      </c>
      <c r="X41" s="306">
        <f t="shared" si="3"/>
        <v>61417</v>
      </c>
      <c r="Y41" s="307">
        <f t="shared" si="3"/>
        <v>59492</v>
      </c>
      <c r="Z41" s="308">
        <f t="shared" si="1"/>
        <v>120909</v>
      </c>
    </row>
    <row r="42" spans="1:26" x14ac:dyDescent="0.35">
      <c r="A42" s="310" t="s">
        <v>288</v>
      </c>
      <c r="B42" s="311" t="s">
        <v>89</v>
      </c>
      <c r="C42" s="312">
        <v>17427</v>
      </c>
      <c r="D42" s="312">
        <v>16801</v>
      </c>
      <c r="E42" s="312">
        <v>34018</v>
      </c>
      <c r="F42" s="312">
        <v>319</v>
      </c>
      <c r="G42" s="312">
        <v>328</v>
      </c>
      <c r="H42" s="312">
        <v>658</v>
      </c>
      <c r="I42" s="312">
        <v>103</v>
      </c>
      <c r="J42" s="312">
        <v>107</v>
      </c>
      <c r="K42" s="312">
        <v>214</v>
      </c>
      <c r="L42" s="312">
        <v>4</v>
      </c>
      <c r="M42" s="312">
        <v>5</v>
      </c>
      <c r="N42" s="312">
        <v>8</v>
      </c>
      <c r="O42" s="312">
        <v>124</v>
      </c>
      <c r="P42" s="312">
        <v>112</v>
      </c>
      <c r="Q42" s="312">
        <v>245</v>
      </c>
      <c r="R42" s="312">
        <v>0</v>
      </c>
      <c r="S42" s="312">
        <v>1</v>
      </c>
      <c r="T42" s="312">
        <v>1</v>
      </c>
      <c r="U42" s="312">
        <v>1</v>
      </c>
      <c r="V42" s="312">
        <v>0</v>
      </c>
      <c r="W42" s="312">
        <v>1</v>
      </c>
      <c r="X42" s="313">
        <f t="shared" si="3"/>
        <v>17978</v>
      </c>
      <c r="Y42" s="314">
        <f t="shared" si="3"/>
        <v>17354</v>
      </c>
      <c r="Z42" s="341">
        <f t="shared" si="1"/>
        <v>35332</v>
      </c>
    </row>
    <row r="43" spans="1:26" x14ac:dyDescent="0.35">
      <c r="A43" s="310" t="s">
        <v>289</v>
      </c>
      <c r="B43" s="311" t="s">
        <v>91</v>
      </c>
      <c r="C43" s="312">
        <v>14809</v>
      </c>
      <c r="D43" s="312">
        <v>14185</v>
      </c>
      <c r="E43" s="312">
        <v>28866</v>
      </c>
      <c r="F43" s="312">
        <v>336</v>
      </c>
      <c r="G43" s="312">
        <v>292</v>
      </c>
      <c r="H43" s="312">
        <v>636</v>
      </c>
      <c r="I43" s="312">
        <v>94</v>
      </c>
      <c r="J43" s="312">
        <v>77</v>
      </c>
      <c r="K43" s="312">
        <v>175</v>
      </c>
      <c r="L43" s="312">
        <v>9</v>
      </c>
      <c r="M43" s="312">
        <v>7</v>
      </c>
      <c r="N43" s="312">
        <v>16</v>
      </c>
      <c r="O43" s="312">
        <v>16</v>
      </c>
      <c r="P43" s="312">
        <v>16</v>
      </c>
      <c r="Q43" s="312">
        <v>32</v>
      </c>
      <c r="R43" s="312">
        <v>1</v>
      </c>
      <c r="S43" s="312">
        <v>0</v>
      </c>
      <c r="T43" s="312">
        <v>1</v>
      </c>
      <c r="U43" s="312">
        <v>0</v>
      </c>
      <c r="V43" s="312">
        <v>0</v>
      </c>
      <c r="W43" s="312">
        <v>0</v>
      </c>
      <c r="X43" s="313">
        <f t="shared" si="3"/>
        <v>15265</v>
      </c>
      <c r="Y43" s="314">
        <f t="shared" si="3"/>
        <v>14577</v>
      </c>
      <c r="Z43" s="315">
        <f t="shared" si="1"/>
        <v>29842</v>
      </c>
    </row>
    <row r="44" spans="1:26" x14ac:dyDescent="0.35">
      <c r="A44" s="310" t="s">
        <v>290</v>
      </c>
      <c r="B44" s="311" t="s">
        <v>93</v>
      </c>
      <c r="C44" s="312">
        <v>12876</v>
      </c>
      <c r="D44" s="312">
        <v>12521</v>
      </c>
      <c r="E44" s="312">
        <v>25073</v>
      </c>
      <c r="F44" s="312">
        <v>725</v>
      </c>
      <c r="G44" s="312">
        <v>664</v>
      </c>
      <c r="H44" s="312">
        <v>1389</v>
      </c>
      <c r="I44" s="312">
        <v>221</v>
      </c>
      <c r="J44" s="312">
        <v>201</v>
      </c>
      <c r="K44" s="312">
        <v>417</v>
      </c>
      <c r="L44" s="312">
        <v>9</v>
      </c>
      <c r="M44" s="312">
        <v>8</v>
      </c>
      <c r="N44" s="312">
        <v>14</v>
      </c>
      <c r="O44" s="312">
        <v>15</v>
      </c>
      <c r="P44" s="312">
        <v>16</v>
      </c>
      <c r="Q44" s="312">
        <v>32</v>
      </c>
      <c r="R44" s="312">
        <v>0</v>
      </c>
      <c r="S44" s="312">
        <v>0</v>
      </c>
      <c r="T44" s="312">
        <v>0</v>
      </c>
      <c r="U44" s="312">
        <v>4</v>
      </c>
      <c r="V44" s="312">
        <v>3</v>
      </c>
      <c r="W44" s="312">
        <v>8</v>
      </c>
      <c r="X44" s="313">
        <f t="shared" si="3"/>
        <v>13850</v>
      </c>
      <c r="Y44" s="314">
        <f t="shared" si="3"/>
        <v>13413</v>
      </c>
      <c r="Z44" s="315">
        <f t="shared" si="1"/>
        <v>27263</v>
      </c>
    </row>
    <row r="45" spans="1:26" ht="15" thickBot="1" x14ac:dyDescent="0.4">
      <c r="A45" s="316" t="s">
        <v>291</v>
      </c>
      <c r="B45" s="317" t="s">
        <v>95</v>
      </c>
      <c r="C45" s="318">
        <v>13700</v>
      </c>
      <c r="D45" s="318">
        <v>13549</v>
      </c>
      <c r="E45" s="318">
        <v>26914</v>
      </c>
      <c r="F45" s="318">
        <v>471</v>
      </c>
      <c r="G45" s="318">
        <v>463</v>
      </c>
      <c r="H45" s="318">
        <v>930</v>
      </c>
      <c r="I45" s="318">
        <v>127</v>
      </c>
      <c r="J45" s="318">
        <v>118</v>
      </c>
      <c r="K45" s="318">
        <v>241</v>
      </c>
      <c r="L45" s="318">
        <v>0</v>
      </c>
      <c r="M45" s="318">
        <v>0</v>
      </c>
      <c r="N45" s="318">
        <v>0</v>
      </c>
      <c r="O45" s="318">
        <v>24</v>
      </c>
      <c r="P45" s="318">
        <v>17</v>
      </c>
      <c r="Q45" s="318">
        <v>40</v>
      </c>
      <c r="R45" s="318">
        <v>2</v>
      </c>
      <c r="S45" s="318">
        <v>1</v>
      </c>
      <c r="T45" s="318">
        <v>3</v>
      </c>
      <c r="U45" s="318">
        <v>0</v>
      </c>
      <c r="V45" s="318">
        <v>0</v>
      </c>
      <c r="W45" s="318">
        <v>0</v>
      </c>
      <c r="X45" s="319">
        <f t="shared" si="3"/>
        <v>14324</v>
      </c>
      <c r="Y45" s="320">
        <f t="shared" si="3"/>
        <v>14148</v>
      </c>
      <c r="Z45" s="321">
        <f t="shared" si="1"/>
        <v>28472</v>
      </c>
    </row>
    <row r="46" spans="1:26" x14ac:dyDescent="0.35">
      <c r="A46" s="322" t="s">
        <v>292</v>
      </c>
      <c r="B46" s="323" t="s">
        <v>102</v>
      </c>
      <c r="C46" s="324">
        <v>106757</v>
      </c>
      <c r="D46" s="324">
        <v>107254</v>
      </c>
      <c r="E46" s="324">
        <v>213147</v>
      </c>
      <c r="F46" s="324">
        <v>7278</v>
      </c>
      <c r="G46" s="324">
        <v>7797</v>
      </c>
      <c r="H46" s="324">
        <v>15084</v>
      </c>
      <c r="I46" s="324">
        <v>2498</v>
      </c>
      <c r="J46" s="324">
        <v>2680</v>
      </c>
      <c r="K46" s="324">
        <v>5159</v>
      </c>
      <c r="L46" s="324">
        <v>232</v>
      </c>
      <c r="M46" s="324">
        <v>206</v>
      </c>
      <c r="N46" s="324">
        <v>433</v>
      </c>
      <c r="O46" s="324">
        <v>343</v>
      </c>
      <c r="P46" s="324">
        <v>344</v>
      </c>
      <c r="Q46" s="324">
        <v>684</v>
      </c>
      <c r="R46" s="324">
        <v>5</v>
      </c>
      <c r="S46" s="324">
        <v>2</v>
      </c>
      <c r="T46" s="324">
        <v>7</v>
      </c>
      <c r="U46" s="324">
        <v>3</v>
      </c>
      <c r="V46" s="324">
        <v>3</v>
      </c>
      <c r="W46" s="324">
        <v>8</v>
      </c>
      <c r="X46" s="325">
        <f t="shared" si="3"/>
        <v>117116</v>
      </c>
      <c r="Y46" s="326">
        <f t="shared" si="3"/>
        <v>118286</v>
      </c>
      <c r="Z46" s="327">
        <f t="shared" si="1"/>
        <v>235402</v>
      </c>
    </row>
    <row r="47" spans="1:26" x14ac:dyDescent="0.35">
      <c r="A47" s="328" t="s">
        <v>293</v>
      </c>
      <c r="B47" s="329" t="s">
        <v>98</v>
      </c>
      <c r="C47" s="330">
        <v>22423</v>
      </c>
      <c r="D47" s="330">
        <v>22553</v>
      </c>
      <c r="E47" s="330">
        <v>44756</v>
      </c>
      <c r="F47" s="330">
        <v>992</v>
      </c>
      <c r="G47" s="330">
        <v>1137</v>
      </c>
      <c r="H47" s="330">
        <v>2127</v>
      </c>
      <c r="I47" s="330">
        <v>471</v>
      </c>
      <c r="J47" s="330">
        <v>481</v>
      </c>
      <c r="K47" s="330">
        <v>948</v>
      </c>
      <c r="L47" s="330">
        <v>47</v>
      </c>
      <c r="M47" s="330">
        <v>39</v>
      </c>
      <c r="N47" s="330">
        <v>84</v>
      </c>
      <c r="O47" s="330">
        <v>77</v>
      </c>
      <c r="P47" s="330">
        <v>65</v>
      </c>
      <c r="Q47" s="330">
        <v>139</v>
      </c>
      <c r="R47" s="330">
        <v>0</v>
      </c>
      <c r="S47" s="330">
        <v>0</v>
      </c>
      <c r="T47" s="330">
        <v>0</v>
      </c>
      <c r="U47" s="330">
        <v>0</v>
      </c>
      <c r="V47" s="330">
        <v>1</v>
      </c>
      <c r="W47" s="330">
        <v>1</v>
      </c>
      <c r="X47" s="331">
        <f t="shared" si="3"/>
        <v>24010</v>
      </c>
      <c r="Y47" s="332">
        <f t="shared" si="3"/>
        <v>24276</v>
      </c>
      <c r="Z47" s="333">
        <f t="shared" si="1"/>
        <v>48286</v>
      </c>
    </row>
    <row r="48" spans="1:26" x14ac:dyDescent="0.35">
      <c r="A48" s="328" t="s">
        <v>294</v>
      </c>
      <c r="B48" s="329" t="s">
        <v>100</v>
      </c>
      <c r="C48" s="330">
        <v>16712</v>
      </c>
      <c r="D48" s="330">
        <v>16604</v>
      </c>
      <c r="E48" s="330">
        <v>33220</v>
      </c>
      <c r="F48" s="330">
        <v>1803</v>
      </c>
      <c r="G48" s="330">
        <v>1875</v>
      </c>
      <c r="H48" s="330">
        <v>3693</v>
      </c>
      <c r="I48" s="330">
        <v>520</v>
      </c>
      <c r="J48" s="330">
        <v>561</v>
      </c>
      <c r="K48" s="330">
        <v>1078</v>
      </c>
      <c r="L48" s="330">
        <v>47</v>
      </c>
      <c r="M48" s="330">
        <v>39</v>
      </c>
      <c r="N48" s="330">
        <v>85</v>
      </c>
      <c r="O48" s="330">
        <v>86</v>
      </c>
      <c r="P48" s="330">
        <v>95</v>
      </c>
      <c r="Q48" s="330">
        <v>183</v>
      </c>
      <c r="R48" s="330">
        <v>0</v>
      </c>
      <c r="S48" s="330">
        <v>0</v>
      </c>
      <c r="T48" s="330">
        <v>0</v>
      </c>
      <c r="U48" s="330">
        <v>1</v>
      </c>
      <c r="V48" s="330">
        <v>0</v>
      </c>
      <c r="W48" s="330">
        <v>1</v>
      </c>
      <c r="X48" s="331">
        <f t="shared" si="3"/>
        <v>19169</v>
      </c>
      <c r="Y48" s="332">
        <f t="shared" si="3"/>
        <v>19174</v>
      </c>
      <c r="Z48" s="334">
        <f t="shared" si="1"/>
        <v>38343</v>
      </c>
    </row>
    <row r="49" spans="1:26" x14ac:dyDescent="0.35">
      <c r="A49" s="328" t="s">
        <v>295</v>
      </c>
      <c r="B49" s="329" t="s">
        <v>103</v>
      </c>
      <c r="C49" s="330">
        <v>28757</v>
      </c>
      <c r="D49" s="330">
        <v>28747</v>
      </c>
      <c r="E49" s="330">
        <v>57238</v>
      </c>
      <c r="F49" s="330">
        <v>1815</v>
      </c>
      <c r="G49" s="330">
        <v>1938</v>
      </c>
      <c r="H49" s="330">
        <v>3760</v>
      </c>
      <c r="I49" s="330">
        <v>591</v>
      </c>
      <c r="J49" s="330">
        <v>679</v>
      </c>
      <c r="K49" s="330">
        <v>1262</v>
      </c>
      <c r="L49" s="330">
        <v>62</v>
      </c>
      <c r="M49" s="330">
        <v>60</v>
      </c>
      <c r="N49" s="330">
        <v>119</v>
      </c>
      <c r="O49" s="330">
        <v>107</v>
      </c>
      <c r="P49" s="330">
        <v>120</v>
      </c>
      <c r="Q49" s="330">
        <v>225</v>
      </c>
      <c r="R49" s="330">
        <v>2</v>
      </c>
      <c r="S49" s="330">
        <v>2</v>
      </c>
      <c r="T49" s="330">
        <v>4</v>
      </c>
      <c r="U49" s="330">
        <v>1</v>
      </c>
      <c r="V49" s="330">
        <v>2</v>
      </c>
      <c r="W49" s="330">
        <v>5</v>
      </c>
      <c r="X49" s="331">
        <f t="shared" si="3"/>
        <v>31335</v>
      </c>
      <c r="Y49" s="332">
        <f t="shared" si="3"/>
        <v>31548</v>
      </c>
      <c r="Z49" s="334">
        <f t="shared" si="1"/>
        <v>62883</v>
      </c>
    </row>
    <row r="50" spans="1:26" x14ac:dyDescent="0.35">
      <c r="A50" s="328" t="s">
        <v>296</v>
      </c>
      <c r="B50" s="329" t="s">
        <v>105</v>
      </c>
      <c r="C50" s="330">
        <v>17580</v>
      </c>
      <c r="D50" s="330">
        <v>17884</v>
      </c>
      <c r="E50" s="330">
        <v>35285</v>
      </c>
      <c r="F50" s="330">
        <v>1458</v>
      </c>
      <c r="G50" s="330">
        <v>1548</v>
      </c>
      <c r="H50" s="330">
        <v>2994</v>
      </c>
      <c r="I50" s="330">
        <v>514</v>
      </c>
      <c r="J50" s="330">
        <v>521</v>
      </c>
      <c r="K50" s="330">
        <v>1033</v>
      </c>
      <c r="L50" s="330">
        <v>40</v>
      </c>
      <c r="M50" s="330">
        <v>34</v>
      </c>
      <c r="N50" s="330">
        <v>75</v>
      </c>
      <c r="O50" s="330">
        <v>49</v>
      </c>
      <c r="P50" s="330">
        <v>44</v>
      </c>
      <c r="Q50" s="330">
        <v>94</v>
      </c>
      <c r="R50" s="330">
        <v>1</v>
      </c>
      <c r="S50" s="330">
        <v>0</v>
      </c>
      <c r="T50" s="330">
        <v>1</v>
      </c>
      <c r="U50" s="330">
        <v>1</v>
      </c>
      <c r="V50" s="330">
        <v>0</v>
      </c>
      <c r="W50" s="330">
        <v>1</v>
      </c>
      <c r="X50" s="331">
        <f t="shared" si="3"/>
        <v>19643</v>
      </c>
      <c r="Y50" s="332">
        <f t="shared" si="3"/>
        <v>20031</v>
      </c>
      <c r="Z50" s="334">
        <f t="shared" si="1"/>
        <v>39674</v>
      </c>
    </row>
    <row r="51" spans="1:26" ht="15" thickBot="1" x14ac:dyDescent="0.4">
      <c r="A51" s="335" t="s">
        <v>297</v>
      </c>
      <c r="B51" s="336" t="s">
        <v>107</v>
      </c>
      <c r="C51" s="337">
        <v>21285</v>
      </c>
      <c r="D51" s="337">
        <v>21466</v>
      </c>
      <c r="E51" s="337">
        <v>42648</v>
      </c>
      <c r="F51" s="337">
        <v>1210</v>
      </c>
      <c r="G51" s="337">
        <v>1299</v>
      </c>
      <c r="H51" s="337">
        <v>2510</v>
      </c>
      <c r="I51" s="337">
        <v>402</v>
      </c>
      <c r="J51" s="337">
        <v>438</v>
      </c>
      <c r="K51" s="337">
        <v>838</v>
      </c>
      <c r="L51" s="337">
        <v>36</v>
      </c>
      <c r="M51" s="337">
        <v>34</v>
      </c>
      <c r="N51" s="337">
        <v>70</v>
      </c>
      <c r="O51" s="337">
        <v>24</v>
      </c>
      <c r="P51" s="337">
        <v>20</v>
      </c>
      <c r="Q51" s="337">
        <v>43</v>
      </c>
      <c r="R51" s="337">
        <v>2</v>
      </c>
      <c r="S51" s="337">
        <v>0</v>
      </c>
      <c r="T51" s="337">
        <v>2</v>
      </c>
      <c r="U51" s="337">
        <v>0</v>
      </c>
      <c r="V51" s="337">
        <v>0</v>
      </c>
      <c r="W51" s="337">
        <v>0</v>
      </c>
      <c r="X51" s="338">
        <f t="shared" si="3"/>
        <v>22959</v>
      </c>
      <c r="Y51" s="339">
        <f t="shared" si="3"/>
        <v>23257</v>
      </c>
      <c r="Z51" s="340">
        <f t="shared" si="1"/>
        <v>46216</v>
      </c>
    </row>
    <row r="52" spans="1:26" x14ac:dyDescent="0.35">
      <c r="A52" s="303" t="s">
        <v>298</v>
      </c>
      <c r="B52" s="304" t="s">
        <v>112</v>
      </c>
      <c r="C52" s="305">
        <v>114713</v>
      </c>
      <c r="D52" s="305">
        <v>115286</v>
      </c>
      <c r="E52" s="305">
        <v>228235</v>
      </c>
      <c r="F52" s="305">
        <v>8046</v>
      </c>
      <c r="G52" s="305">
        <v>8525</v>
      </c>
      <c r="H52" s="305">
        <v>16501</v>
      </c>
      <c r="I52" s="305">
        <v>2429</v>
      </c>
      <c r="J52" s="305">
        <v>2495</v>
      </c>
      <c r="K52" s="305">
        <v>4919</v>
      </c>
      <c r="L52" s="305">
        <v>217</v>
      </c>
      <c r="M52" s="305">
        <v>206</v>
      </c>
      <c r="N52" s="305">
        <v>416</v>
      </c>
      <c r="O52" s="305">
        <v>501</v>
      </c>
      <c r="P52" s="305">
        <v>480</v>
      </c>
      <c r="Q52" s="305">
        <v>975</v>
      </c>
      <c r="R52" s="305">
        <v>3</v>
      </c>
      <c r="S52" s="305">
        <v>0</v>
      </c>
      <c r="T52" s="305">
        <v>3</v>
      </c>
      <c r="U52" s="305">
        <v>41</v>
      </c>
      <c r="V52" s="305">
        <v>48</v>
      </c>
      <c r="W52" s="305">
        <v>92</v>
      </c>
      <c r="X52" s="306">
        <f t="shared" si="3"/>
        <v>125950</v>
      </c>
      <c r="Y52" s="307">
        <f t="shared" si="3"/>
        <v>127040</v>
      </c>
      <c r="Z52" s="308">
        <f t="shared" si="1"/>
        <v>252990</v>
      </c>
    </row>
    <row r="53" spans="1:26" x14ac:dyDescent="0.35">
      <c r="A53" s="310" t="s">
        <v>299</v>
      </c>
      <c r="B53" s="311" t="s">
        <v>110</v>
      </c>
      <c r="C53" s="312">
        <v>19445</v>
      </c>
      <c r="D53" s="312">
        <v>19406</v>
      </c>
      <c r="E53" s="312">
        <v>38616</v>
      </c>
      <c r="F53" s="312">
        <v>1232</v>
      </c>
      <c r="G53" s="312">
        <v>1294</v>
      </c>
      <c r="H53" s="312">
        <v>2516</v>
      </c>
      <c r="I53" s="312">
        <v>314</v>
      </c>
      <c r="J53" s="312">
        <v>364</v>
      </c>
      <c r="K53" s="312">
        <v>683</v>
      </c>
      <c r="L53" s="312">
        <v>26</v>
      </c>
      <c r="M53" s="312">
        <v>26</v>
      </c>
      <c r="N53" s="312">
        <v>54</v>
      </c>
      <c r="O53" s="312">
        <v>35</v>
      </c>
      <c r="P53" s="312">
        <v>32</v>
      </c>
      <c r="Q53" s="312">
        <v>66</v>
      </c>
      <c r="R53" s="312">
        <v>0</v>
      </c>
      <c r="S53" s="312">
        <v>0</v>
      </c>
      <c r="T53" s="312">
        <v>0</v>
      </c>
      <c r="U53" s="312">
        <v>1</v>
      </c>
      <c r="V53" s="312">
        <v>1</v>
      </c>
      <c r="W53" s="312">
        <v>2</v>
      </c>
      <c r="X53" s="313">
        <f t="shared" si="3"/>
        <v>21053</v>
      </c>
      <c r="Y53" s="314">
        <f t="shared" si="3"/>
        <v>21123</v>
      </c>
      <c r="Z53" s="341">
        <f t="shared" si="1"/>
        <v>42176</v>
      </c>
    </row>
    <row r="54" spans="1:26" x14ac:dyDescent="0.35">
      <c r="A54" s="310" t="s">
        <v>300</v>
      </c>
      <c r="B54" s="311" t="s">
        <v>112</v>
      </c>
      <c r="C54" s="312">
        <v>17299</v>
      </c>
      <c r="D54" s="312">
        <v>17262</v>
      </c>
      <c r="E54" s="312">
        <v>34352</v>
      </c>
      <c r="F54" s="312">
        <v>1578</v>
      </c>
      <c r="G54" s="312">
        <v>1682</v>
      </c>
      <c r="H54" s="312">
        <v>3266</v>
      </c>
      <c r="I54" s="312">
        <v>330</v>
      </c>
      <c r="J54" s="312">
        <v>340</v>
      </c>
      <c r="K54" s="312">
        <v>671</v>
      </c>
      <c r="L54" s="312">
        <v>47</v>
      </c>
      <c r="M54" s="312">
        <v>51</v>
      </c>
      <c r="N54" s="312">
        <v>96</v>
      </c>
      <c r="O54" s="312">
        <v>118</v>
      </c>
      <c r="P54" s="312">
        <v>131</v>
      </c>
      <c r="Q54" s="312">
        <v>249</v>
      </c>
      <c r="R54" s="312">
        <v>2</v>
      </c>
      <c r="S54" s="312">
        <v>0</v>
      </c>
      <c r="T54" s="312">
        <v>2</v>
      </c>
      <c r="U54" s="312">
        <v>1</v>
      </c>
      <c r="V54" s="312">
        <v>2</v>
      </c>
      <c r="W54" s="312">
        <v>3</v>
      </c>
      <c r="X54" s="313">
        <f t="shared" si="3"/>
        <v>19375</v>
      </c>
      <c r="Y54" s="314">
        <f t="shared" si="3"/>
        <v>19468</v>
      </c>
      <c r="Z54" s="315">
        <f t="shared" si="1"/>
        <v>38843</v>
      </c>
    </row>
    <row r="55" spans="1:26" x14ac:dyDescent="0.35">
      <c r="A55" s="310" t="s">
        <v>301</v>
      </c>
      <c r="B55" s="311" t="s">
        <v>114</v>
      </c>
      <c r="C55" s="312">
        <v>21479</v>
      </c>
      <c r="D55" s="312">
        <v>21714</v>
      </c>
      <c r="E55" s="312">
        <v>42971</v>
      </c>
      <c r="F55" s="312">
        <v>1677</v>
      </c>
      <c r="G55" s="312">
        <v>1778</v>
      </c>
      <c r="H55" s="312">
        <v>3430</v>
      </c>
      <c r="I55" s="312">
        <v>404</v>
      </c>
      <c r="J55" s="312">
        <v>408</v>
      </c>
      <c r="K55" s="312">
        <v>804</v>
      </c>
      <c r="L55" s="312">
        <v>28</v>
      </c>
      <c r="M55" s="312">
        <v>28</v>
      </c>
      <c r="N55" s="312">
        <v>56</v>
      </c>
      <c r="O55" s="312">
        <v>89</v>
      </c>
      <c r="P55" s="312">
        <v>68</v>
      </c>
      <c r="Q55" s="312">
        <v>157</v>
      </c>
      <c r="R55" s="312">
        <v>0</v>
      </c>
      <c r="S55" s="312">
        <v>0</v>
      </c>
      <c r="T55" s="312">
        <v>0</v>
      </c>
      <c r="U55" s="312">
        <v>1</v>
      </c>
      <c r="V55" s="312">
        <v>3</v>
      </c>
      <c r="W55" s="312">
        <v>5</v>
      </c>
      <c r="X55" s="313">
        <f t="shared" si="3"/>
        <v>23678</v>
      </c>
      <c r="Y55" s="314">
        <f t="shared" si="3"/>
        <v>23999</v>
      </c>
      <c r="Z55" s="315">
        <f t="shared" si="1"/>
        <v>47677</v>
      </c>
    </row>
    <row r="56" spans="1:26" x14ac:dyDescent="0.35">
      <c r="A56" s="310" t="s">
        <v>302</v>
      </c>
      <c r="B56" s="311" t="s">
        <v>116</v>
      </c>
      <c r="C56" s="312">
        <v>18828</v>
      </c>
      <c r="D56" s="312">
        <v>18885</v>
      </c>
      <c r="E56" s="312">
        <v>37481</v>
      </c>
      <c r="F56" s="312">
        <v>1537</v>
      </c>
      <c r="G56" s="312">
        <v>1631</v>
      </c>
      <c r="H56" s="312">
        <v>3159</v>
      </c>
      <c r="I56" s="312">
        <v>520</v>
      </c>
      <c r="J56" s="312">
        <v>490</v>
      </c>
      <c r="K56" s="312">
        <v>1016</v>
      </c>
      <c r="L56" s="312">
        <v>25</v>
      </c>
      <c r="M56" s="312">
        <v>19</v>
      </c>
      <c r="N56" s="312">
        <v>42</v>
      </c>
      <c r="O56" s="312">
        <v>153</v>
      </c>
      <c r="P56" s="312">
        <v>143</v>
      </c>
      <c r="Q56" s="312">
        <v>295</v>
      </c>
      <c r="R56" s="312">
        <v>0</v>
      </c>
      <c r="S56" s="312">
        <v>0</v>
      </c>
      <c r="T56" s="312">
        <v>0</v>
      </c>
      <c r="U56" s="312">
        <v>1</v>
      </c>
      <c r="V56" s="312">
        <v>0</v>
      </c>
      <c r="W56" s="312">
        <v>1</v>
      </c>
      <c r="X56" s="313">
        <f t="shared" si="3"/>
        <v>21064</v>
      </c>
      <c r="Y56" s="314">
        <f t="shared" si="3"/>
        <v>21168</v>
      </c>
      <c r="Z56" s="315">
        <f t="shared" si="1"/>
        <v>42232</v>
      </c>
    </row>
    <row r="57" spans="1:26" x14ac:dyDescent="0.35">
      <c r="A57" s="310" t="s">
        <v>303</v>
      </c>
      <c r="B57" s="311" t="s">
        <v>118</v>
      </c>
      <c r="C57" s="312">
        <v>17668</v>
      </c>
      <c r="D57" s="312">
        <v>17938</v>
      </c>
      <c r="E57" s="312">
        <v>35150</v>
      </c>
      <c r="F57" s="312">
        <v>719</v>
      </c>
      <c r="G57" s="312">
        <v>726</v>
      </c>
      <c r="H57" s="312">
        <v>1445</v>
      </c>
      <c r="I57" s="312">
        <v>229</v>
      </c>
      <c r="J57" s="312">
        <v>253</v>
      </c>
      <c r="K57" s="312">
        <v>465</v>
      </c>
      <c r="L57" s="312">
        <v>16</v>
      </c>
      <c r="M57" s="312">
        <v>20</v>
      </c>
      <c r="N57" s="312">
        <v>36</v>
      </c>
      <c r="O57" s="312">
        <v>38</v>
      </c>
      <c r="P57" s="312">
        <v>43</v>
      </c>
      <c r="Q57" s="312">
        <v>80</v>
      </c>
      <c r="R57" s="312">
        <v>1</v>
      </c>
      <c r="S57" s="312">
        <v>0</v>
      </c>
      <c r="T57" s="312">
        <v>1</v>
      </c>
      <c r="U57" s="312">
        <v>2</v>
      </c>
      <c r="V57" s="312">
        <v>2</v>
      </c>
      <c r="W57" s="312">
        <v>4</v>
      </c>
      <c r="X57" s="313">
        <f t="shared" si="3"/>
        <v>18673</v>
      </c>
      <c r="Y57" s="314">
        <f t="shared" si="3"/>
        <v>18982</v>
      </c>
      <c r="Z57" s="315">
        <f t="shared" si="1"/>
        <v>37655</v>
      </c>
    </row>
    <row r="58" spans="1:26" ht="15" thickBot="1" x14ac:dyDescent="0.4">
      <c r="A58" s="316" t="s">
        <v>304</v>
      </c>
      <c r="B58" s="317" t="s">
        <v>120</v>
      </c>
      <c r="C58" s="318">
        <v>19994</v>
      </c>
      <c r="D58" s="318">
        <v>20081</v>
      </c>
      <c r="E58" s="318">
        <v>39665</v>
      </c>
      <c r="F58" s="318">
        <v>1303</v>
      </c>
      <c r="G58" s="318">
        <v>1414</v>
      </c>
      <c r="H58" s="318">
        <v>2685</v>
      </c>
      <c r="I58" s="318">
        <v>632</v>
      </c>
      <c r="J58" s="318">
        <v>640</v>
      </c>
      <c r="K58" s="318">
        <v>1280</v>
      </c>
      <c r="L58" s="318">
        <v>75</v>
      </c>
      <c r="M58" s="318">
        <v>62</v>
      </c>
      <c r="N58" s="318">
        <v>132</v>
      </c>
      <c r="O58" s="318">
        <v>68</v>
      </c>
      <c r="P58" s="318">
        <v>63</v>
      </c>
      <c r="Q58" s="318">
        <v>128</v>
      </c>
      <c r="R58" s="318">
        <v>0</v>
      </c>
      <c r="S58" s="318">
        <v>0</v>
      </c>
      <c r="T58" s="318">
        <v>0</v>
      </c>
      <c r="U58" s="318">
        <v>35</v>
      </c>
      <c r="V58" s="318">
        <v>40</v>
      </c>
      <c r="W58" s="318">
        <v>77</v>
      </c>
      <c r="X58" s="319">
        <f t="shared" si="3"/>
        <v>22107</v>
      </c>
      <c r="Y58" s="320">
        <f t="shared" si="3"/>
        <v>22300</v>
      </c>
      <c r="Z58" s="321">
        <f t="shared" si="1"/>
        <v>44407</v>
      </c>
    </row>
    <row r="59" spans="1:26" x14ac:dyDescent="0.35">
      <c r="A59" s="322" t="s">
        <v>305</v>
      </c>
      <c r="B59" s="323" t="s">
        <v>123</v>
      </c>
      <c r="C59" s="324">
        <v>55188</v>
      </c>
      <c r="D59" s="324">
        <v>55745</v>
      </c>
      <c r="E59" s="324">
        <v>109686</v>
      </c>
      <c r="F59" s="324">
        <v>4162</v>
      </c>
      <c r="G59" s="324">
        <v>4387</v>
      </c>
      <c r="H59" s="324">
        <v>8502</v>
      </c>
      <c r="I59" s="324">
        <v>1683</v>
      </c>
      <c r="J59" s="324">
        <v>1797</v>
      </c>
      <c r="K59" s="324">
        <v>3452</v>
      </c>
      <c r="L59" s="324">
        <v>172</v>
      </c>
      <c r="M59" s="324">
        <v>171</v>
      </c>
      <c r="N59" s="324">
        <v>337</v>
      </c>
      <c r="O59" s="324">
        <v>245</v>
      </c>
      <c r="P59" s="324">
        <v>213</v>
      </c>
      <c r="Q59" s="324">
        <v>455</v>
      </c>
      <c r="R59" s="324">
        <v>5</v>
      </c>
      <c r="S59" s="324">
        <v>5</v>
      </c>
      <c r="T59" s="324">
        <v>10</v>
      </c>
      <c r="U59" s="324">
        <v>155</v>
      </c>
      <c r="V59" s="324">
        <v>137</v>
      </c>
      <c r="W59" s="324">
        <v>289</v>
      </c>
      <c r="X59" s="325">
        <f t="shared" si="3"/>
        <v>61610</v>
      </c>
      <c r="Y59" s="326">
        <f t="shared" si="3"/>
        <v>62455</v>
      </c>
      <c r="Z59" s="327">
        <f t="shared" si="1"/>
        <v>124065</v>
      </c>
    </row>
    <row r="60" spans="1:26" x14ac:dyDescent="0.35">
      <c r="A60" s="328" t="s">
        <v>306</v>
      </c>
      <c r="B60" s="329" t="s">
        <v>123</v>
      </c>
      <c r="C60" s="330">
        <v>14135</v>
      </c>
      <c r="D60" s="330">
        <v>14408</v>
      </c>
      <c r="E60" s="330">
        <v>28257</v>
      </c>
      <c r="F60" s="330">
        <v>1334</v>
      </c>
      <c r="G60" s="330">
        <v>1421</v>
      </c>
      <c r="H60" s="330">
        <v>2767</v>
      </c>
      <c r="I60" s="330">
        <v>346</v>
      </c>
      <c r="J60" s="330">
        <v>383</v>
      </c>
      <c r="K60" s="330">
        <v>721</v>
      </c>
      <c r="L60" s="330">
        <v>53</v>
      </c>
      <c r="M60" s="330">
        <v>40</v>
      </c>
      <c r="N60" s="330">
        <v>89</v>
      </c>
      <c r="O60" s="330">
        <v>118</v>
      </c>
      <c r="P60" s="330">
        <v>96</v>
      </c>
      <c r="Q60" s="330">
        <v>208</v>
      </c>
      <c r="R60" s="330">
        <v>3</v>
      </c>
      <c r="S60" s="330">
        <v>1</v>
      </c>
      <c r="T60" s="330">
        <v>4</v>
      </c>
      <c r="U60" s="330">
        <v>1</v>
      </c>
      <c r="V60" s="330">
        <v>0</v>
      </c>
      <c r="W60" s="330">
        <v>1</v>
      </c>
      <c r="X60" s="331">
        <f t="shared" si="3"/>
        <v>15990</v>
      </c>
      <c r="Y60" s="332">
        <f t="shared" si="3"/>
        <v>16349</v>
      </c>
      <c r="Z60" s="333">
        <f t="shared" si="1"/>
        <v>32339</v>
      </c>
    </row>
    <row r="61" spans="1:26" x14ac:dyDescent="0.35">
      <c r="A61" s="328" t="s">
        <v>307</v>
      </c>
      <c r="B61" s="329" t="s">
        <v>125</v>
      </c>
      <c r="C61" s="330">
        <v>6977</v>
      </c>
      <c r="D61" s="330">
        <v>7366</v>
      </c>
      <c r="E61" s="330">
        <v>14185</v>
      </c>
      <c r="F61" s="330">
        <v>814</v>
      </c>
      <c r="G61" s="330">
        <v>901</v>
      </c>
      <c r="H61" s="330">
        <v>1705</v>
      </c>
      <c r="I61" s="330">
        <v>413</v>
      </c>
      <c r="J61" s="330">
        <v>457</v>
      </c>
      <c r="K61" s="330">
        <v>861</v>
      </c>
      <c r="L61" s="330">
        <v>52</v>
      </c>
      <c r="M61" s="330">
        <v>62</v>
      </c>
      <c r="N61" s="330">
        <v>113</v>
      </c>
      <c r="O61" s="330">
        <v>68</v>
      </c>
      <c r="P61" s="330">
        <v>61</v>
      </c>
      <c r="Q61" s="330">
        <v>129</v>
      </c>
      <c r="R61" s="330">
        <v>0</v>
      </c>
      <c r="S61" s="330">
        <v>1</v>
      </c>
      <c r="T61" s="330">
        <v>1</v>
      </c>
      <c r="U61" s="330">
        <v>1</v>
      </c>
      <c r="V61" s="330">
        <v>0</v>
      </c>
      <c r="W61" s="330">
        <v>1</v>
      </c>
      <c r="X61" s="331">
        <f t="shared" si="3"/>
        <v>8325</v>
      </c>
      <c r="Y61" s="332">
        <f t="shared" si="3"/>
        <v>8848</v>
      </c>
      <c r="Z61" s="334">
        <f t="shared" si="1"/>
        <v>17173</v>
      </c>
    </row>
    <row r="62" spans="1:26" x14ac:dyDescent="0.35">
      <c r="A62" s="328" t="s">
        <v>308</v>
      </c>
      <c r="B62" s="329" t="s">
        <v>127</v>
      </c>
      <c r="C62" s="330">
        <v>13508</v>
      </c>
      <c r="D62" s="330">
        <v>13453</v>
      </c>
      <c r="E62" s="330">
        <v>26691</v>
      </c>
      <c r="F62" s="330">
        <v>1019</v>
      </c>
      <c r="G62" s="330">
        <v>1107</v>
      </c>
      <c r="H62" s="330">
        <v>2103</v>
      </c>
      <c r="I62" s="330">
        <v>613</v>
      </c>
      <c r="J62" s="330">
        <v>640</v>
      </c>
      <c r="K62" s="330">
        <v>1253</v>
      </c>
      <c r="L62" s="330">
        <v>34</v>
      </c>
      <c r="M62" s="330">
        <v>32</v>
      </c>
      <c r="N62" s="330">
        <v>68</v>
      </c>
      <c r="O62" s="330">
        <v>32</v>
      </c>
      <c r="P62" s="330">
        <v>26</v>
      </c>
      <c r="Q62" s="330">
        <v>62</v>
      </c>
      <c r="R62" s="330">
        <v>0</v>
      </c>
      <c r="S62" s="330">
        <v>0</v>
      </c>
      <c r="T62" s="330">
        <v>0</v>
      </c>
      <c r="U62" s="330">
        <v>0</v>
      </c>
      <c r="V62" s="330">
        <v>0</v>
      </c>
      <c r="W62" s="330">
        <v>0</v>
      </c>
      <c r="X62" s="331">
        <f t="shared" si="3"/>
        <v>15206</v>
      </c>
      <c r="Y62" s="332">
        <f t="shared" si="3"/>
        <v>15258</v>
      </c>
      <c r="Z62" s="334">
        <f t="shared" si="1"/>
        <v>30464</v>
      </c>
    </row>
    <row r="63" spans="1:26" x14ac:dyDescent="0.35">
      <c r="A63" s="328" t="s">
        <v>309</v>
      </c>
      <c r="B63" s="329" t="s">
        <v>129</v>
      </c>
      <c r="C63" s="330">
        <v>9408</v>
      </c>
      <c r="D63" s="330">
        <v>9402</v>
      </c>
      <c r="E63" s="330">
        <v>18544</v>
      </c>
      <c r="F63" s="330">
        <v>488</v>
      </c>
      <c r="G63" s="330">
        <v>460</v>
      </c>
      <c r="H63" s="330">
        <v>934</v>
      </c>
      <c r="I63" s="330">
        <v>155</v>
      </c>
      <c r="J63" s="330">
        <v>167</v>
      </c>
      <c r="K63" s="330">
        <v>313</v>
      </c>
      <c r="L63" s="330">
        <v>22</v>
      </c>
      <c r="M63" s="330">
        <v>26</v>
      </c>
      <c r="N63" s="330">
        <v>45</v>
      </c>
      <c r="O63" s="330">
        <v>10</v>
      </c>
      <c r="P63" s="330">
        <v>13</v>
      </c>
      <c r="Q63" s="330">
        <v>22</v>
      </c>
      <c r="R63" s="330">
        <v>2</v>
      </c>
      <c r="S63" s="330">
        <v>3</v>
      </c>
      <c r="T63" s="330">
        <v>5</v>
      </c>
      <c r="U63" s="330">
        <v>149</v>
      </c>
      <c r="V63" s="330">
        <v>137</v>
      </c>
      <c r="W63" s="330">
        <v>283</v>
      </c>
      <c r="X63" s="331">
        <f t="shared" si="3"/>
        <v>10234</v>
      </c>
      <c r="Y63" s="332">
        <f t="shared" si="3"/>
        <v>10208</v>
      </c>
      <c r="Z63" s="334">
        <f t="shared" si="1"/>
        <v>20442</v>
      </c>
    </row>
    <row r="64" spans="1:26" ht="15" thickBot="1" x14ac:dyDescent="0.4">
      <c r="A64" s="335" t="s">
        <v>310</v>
      </c>
      <c r="B64" s="336" t="s">
        <v>131</v>
      </c>
      <c r="C64" s="337">
        <v>11160</v>
      </c>
      <c r="D64" s="337">
        <v>11116</v>
      </c>
      <c r="E64" s="337">
        <v>22009</v>
      </c>
      <c r="F64" s="337">
        <v>507</v>
      </c>
      <c r="G64" s="337">
        <v>498</v>
      </c>
      <c r="H64" s="337">
        <v>993</v>
      </c>
      <c r="I64" s="337">
        <v>156</v>
      </c>
      <c r="J64" s="337">
        <v>150</v>
      </c>
      <c r="K64" s="337">
        <v>304</v>
      </c>
      <c r="L64" s="337">
        <v>11</v>
      </c>
      <c r="M64" s="337">
        <v>11</v>
      </c>
      <c r="N64" s="337">
        <v>22</v>
      </c>
      <c r="O64" s="337">
        <v>17</v>
      </c>
      <c r="P64" s="337">
        <v>17</v>
      </c>
      <c r="Q64" s="337">
        <v>34</v>
      </c>
      <c r="R64" s="337">
        <v>0</v>
      </c>
      <c r="S64" s="337">
        <v>0</v>
      </c>
      <c r="T64" s="337">
        <v>0</v>
      </c>
      <c r="U64" s="337">
        <v>4</v>
      </c>
      <c r="V64" s="337">
        <v>0</v>
      </c>
      <c r="W64" s="337">
        <v>4</v>
      </c>
      <c r="X64" s="338">
        <f t="shared" si="3"/>
        <v>11855</v>
      </c>
      <c r="Y64" s="339">
        <f t="shared" si="3"/>
        <v>11792</v>
      </c>
      <c r="Z64" s="340">
        <f t="shared" si="1"/>
        <v>23647</v>
      </c>
    </row>
    <row r="65" spans="1:26" x14ac:dyDescent="0.35">
      <c r="A65" s="303" t="s">
        <v>311</v>
      </c>
      <c r="B65" s="304" t="s">
        <v>138</v>
      </c>
      <c r="C65" s="305">
        <v>105393</v>
      </c>
      <c r="D65" s="305">
        <v>105169</v>
      </c>
      <c r="E65" s="305">
        <v>208293</v>
      </c>
      <c r="F65" s="305">
        <v>7869</v>
      </c>
      <c r="G65" s="305">
        <v>7792</v>
      </c>
      <c r="H65" s="305">
        <v>15518</v>
      </c>
      <c r="I65" s="305">
        <v>2033</v>
      </c>
      <c r="J65" s="305">
        <v>2047</v>
      </c>
      <c r="K65" s="305">
        <v>4061</v>
      </c>
      <c r="L65" s="305">
        <v>144</v>
      </c>
      <c r="M65" s="305">
        <v>144</v>
      </c>
      <c r="N65" s="305">
        <v>293</v>
      </c>
      <c r="O65" s="305">
        <v>474</v>
      </c>
      <c r="P65" s="305">
        <v>472</v>
      </c>
      <c r="Q65" s="305">
        <v>950</v>
      </c>
      <c r="R65" s="305">
        <v>2</v>
      </c>
      <c r="S65" s="305">
        <v>2</v>
      </c>
      <c r="T65" s="305">
        <v>5</v>
      </c>
      <c r="U65" s="305">
        <v>29</v>
      </c>
      <c r="V65" s="305">
        <v>30</v>
      </c>
      <c r="W65" s="305">
        <v>63</v>
      </c>
      <c r="X65" s="306">
        <f t="shared" si="3"/>
        <v>115944</v>
      </c>
      <c r="Y65" s="307">
        <f t="shared" si="3"/>
        <v>115656</v>
      </c>
      <c r="Z65" s="308">
        <f t="shared" si="1"/>
        <v>231600</v>
      </c>
    </row>
    <row r="66" spans="1:26" x14ac:dyDescent="0.35">
      <c r="A66" s="310" t="s">
        <v>312</v>
      </c>
      <c r="B66" s="311" t="s">
        <v>134</v>
      </c>
      <c r="C66" s="312">
        <v>28493</v>
      </c>
      <c r="D66" s="312">
        <v>28043</v>
      </c>
      <c r="E66" s="312">
        <v>55793</v>
      </c>
      <c r="F66" s="312">
        <v>1564</v>
      </c>
      <c r="G66" s="312">
        <v>1557</v>
      </c>
      <c r="H66" s="312">
        <v>3097</v>
      </c>
      <c r="I66" s="312">
        <v>445</v>
      </c>
      <c r="J66" s="312">
        <v>428</v>
      </c>
      <c r="K66" s="312">
        <v>864</v>
      </c>
      <c r="L66" s="312">
        <v>33</v>
      </c>
      <c r="M66" s="312">
        <v>36</v>
      </c>
      <c r="N66" s="312">
        <v>69</v>
      </c>
      <c r="O66" s="312">
        <v>154</v>
      </c>
      <c r="P66" s="312">
        <v>152</v>
      </c>
      <c r="Q66" s="312">
        <v>303</v>
      </c>
      <c r="R66" s="312">
        <v>0</v>
      </c>
      <c r="S66" s="312">
        <v>0</v>
      </c>
      <c r="T66" s="312">
        <v>0</v>
      </c>
      <c r="U66" s="312">
        <v>1</v>
      </c>
      <c r="V66" s="312">
        <v>0</v>
      </c>
      <c r="W66" s="312">
        <v>1</v>
      </c>
      <c r="X66" s="313">
        <f t="shared" ref="X66:Y74" si="4">SUM(C66,F66,I66,L66,O66,R66,U66)</f>
        <v>30690</v>
      </c>
      <c r="Y66" s="314">
        <f t="shared" si="4"/>
        <v>30216</v>
      </c>
      <c r="Z66" s="341">
        <f t="shared" si="1"/>
        <v>60906</v>
      </c>
    </row>
    <row r="67" spans="1:26" x14ac:dyDescent="0.35">
      <c r="A67" s="310" t="s">
        <v>313</v>
      </c>
      <c r="B67" s="311" t="s">
        <v>136</v>
      </c>
      <c r="C67" s="312">
        <v>21771</v>
      </c>
      <c r="D67" s="312">
        <v>22031</v>
      </c>
      <c r="E67" s="312">
        <v>43270</v>
      </c>
      <c r="F67" s="312">
        <v>1332</v>
      </c>
      <c r="G67" s="312">
        <v>1309</v>
      </c>
      <c r="H67" s="312">
        <v>2616</v>
      </c>
      <c r="I67" s="312">
        <v>423</v>
      </c>
      <c r="J67" s="312">
        <v>399</v>
      </c>
      <c r="K67" s="312">
        <v>816</v>
      </c>
      <c r="L67" s="312">
        <v>21</v>
      </c>
      <c r="M67" s="312">
        <v>19</v>
      </c>
      <c r="N67" s="312">
        <v>41</v>
      </c>
      <c r="O67" s="312">
        <v>102</v>
      </c>
      <c r="P67" s="312">
        <v>103</v>
      </c>
      <c r="Q67" s="312">
        <v>207</v>
      </c>
      <c r="R67" s="312">
        <v>2</v>
      </c>
      <c r="S67" s="312">
        <v>1</v>
      </c>
      <c r="T67" s="312">
        <v>3</v>
      </c>
      <c r="U67" s="312">
        <v>1</v>
      </c>
      <c r="V67" s="312">
        <v>1</v>
      </c>
      <c r="W67" s="312">
        <v>2</v>
      </c>
      <c r="X67" s="313">
        <f t="shared" si="4"/>
        <v>23652</v>
      </c>
      <c r="Y67" s="314">
        <f t="shared" si="4"/>
        <v>23863</v>
      </c>
      <c r="Z67" s="315">
        <f t="shared" si="1"/>
        <v>47515</v>
      </c>
    </row>
    <row r="68" spans="1:26" x14ac:dyDescent="0.35">
      <c r="A68" s="310" t="s">
        <v>314</v>
      </c>
      <c r="B68" s="311" t="s">
        <v>138</v>
      </c>
      <c r="C68" s="312">
        <v>36627</v>
      </c>
      <c r="D68" s="312">
        <v>36873</v>
      </c>
      <c r="E68" s="312">
        <v>72868</v>
      </c>
      <c r="F68" s="312">
        <v>3259</v>
      </c>
      <c r="G68" s="312">
        <v>3248</v>
      </c>
      <c r="H68" s="312">
        <v>6438</v>
      </c>
      <c r="I68" s="312">
        <v>763</v>
      </c>
      <c r="J68" s="312">
        <v>811</v>
      </c>
      <c r="K68" s="312">
        <v>1571</v>
      </c>
      <c r="L68" s="312">
        <v>55</v>
      </c>
      <c r="M68" s="312">
        <v>54</v>
      </c>
      <c r="N68" s="312">
        <v>113</v>
      </c>
      <c r="O68" s="312">
        <v>139</v>
      </c>
      <c r="P68" s="312">
        <v>145</v>
      </c>
      <c r="Q68" s="312">
        <v>290</v>
      </c>
      <c r="R68" s="312">
        <v>0</v>
      </c>
      <c r="S68" s="312">
        <v>0</v>
      </c>
      <c r="T68" s="312">
        <v>1</v>
      </c>
      <c r="U68" s="312">
        <v>0</v>
      </c>
      <c r="V68" s="312">
        <v>0</v>
      </c>
      <c r="W68" s="312">
        <v>0</v>
      </c>
      <c r="X68" s="313">
        <f t="shared" si="4"/>
        <v>40843</v>
      </c>
      <c r="Y68" s="314">
        <f t="shared" si="4"/>
        <v>41131</v>
      </c>
      <c r="Z68" s="315">
        <f t="shared" si="1"/>
        <v>81974</v>
      </c>
    </row>
    <row r="69" spans="1:26" ht="15" thickBot="1" x14ac:dyDescent="0.4">
      <c r="A69" s="316" t="s">
        <v>315</v>
      </c>
      <c r="B69" s="317" t="s">
        <v>140</v>
      </c>
      <c r="C69" s="318">
        <v>18502</v>
      </c>
      <c r="D69" s="318">
        <v>18222</v>
      </c>
      <c r="E69" s="318">
        <v>36362</v>
      </c>
      <c r="F69" s="318">
        <v>1714</v>
      </c>
      <c r="G69" s="318">
        <v>1678</v>
      </c>
      <c r="H69" s="318">
        <v>3367</v>
      </c>
      <c r="I69" s="318">
        <v>402</v>
      </c>
      <c r="J69" s="318">
        <v>409</v>
      </c>
      <c r="K69" s="318">
        <v>810</v>
      </c>
      <c r="L69" s="318">
        <v>35</v>
      </c>
      <c r="M69" s="318">
        <v>35</v>
      </c>
      <c r="N69" s="318">
        <v>70</v>
      </c>
      <c r="O69" s="318">
        <v>79</v>
      </c>
      <c r="P69" s="318">
        <v>72</v>
      </c>
      <c r="Q69" s="318">
        <v>150</v>
      </c>
      <c r="R69" s="318">
        <v>0</v>
      </c>
      <c r="S69" s="318">
        <v>1</v>
      </c>
      <c r="T69" s="318">
        <v>1</v>
      </c>
      <c r="U69" s="318">
        <v>27</v>
      </c>
      <c r="V69" s="318">
        <v>29</v>
      </c>
      <c r="W69" s="318">
        <v>60</v>
      </c>
      <c r="X69" s="319">
        <f t="shared" si="4"/>
        <v>20759</v>
      </c>
      <c r="Y69" s="320">
        <f t="shared" si="4"/>
        <v>20446</v>
      </c>
      <c r="Z69" s="321">
        <f t="shared" si="1"/>
        <v>41205</v>
      </c>
    </row>
    <row r="70" spans="1:26" x14ac:dyDescent="0.35">
      <c r="A70" s="322" t="s">
        <v>316</v>
      </c>
      <c r="B70" s="323" t="s">
        <v>148</v>
      </c>
      <c r="C70" s="324">
        <v>56606</v>
      </c>
      <c r="D70" s="324">
        <v>56588</v>
      </c>
      <c r="E70" s="324">
        <v>112650</v>
      </c>
      <c r="F70" s="324">
        <v>5988</v>
      </c>
      <c r="G70" s="324">
        <v>6343</v>
      </c>
      <c r="H70" s="324">
        <v>12334</v>
      </c>
      <c r="I70" s="324">
        <v>3651</v>
      </c>
      <c r="J70" s="324">
        <v>3750</v>
      </c>
      <c r="K70" s="324">
        <v>7409</v>
      </c>
      <c r="L70" s="324">
        <v>162</v>
      </c>
      <c r="M70" s="324">
        <v>161</v>
      </c>
      <c r="N70" s="324">
        <v>320</v>
      </c>
      <c r="O70" s="324">
        <v>342</v>
      </c>
      <c r="P70" s="324">
        <v>350</v>
      </c>
      <c r="Q70" s="324">
        <v>693</v>
      </c>
      <c r="R70" s="324">
        <v>9</v>
      </c>
      <c r="S70" s="324">
        <v>9</v>
      </c>
      <c r="T70" s="324">
        <v>18</v>
      </c>
      <c r="U70" s="324">
        <v>1</v>
      </c>
      <c r="V70" s="324">
        <v>4</v>
      </c>
      <c r="W70" s="324">
        <v>4</v>
      </c>
      <c r="X70" s="325">
        <f t="shared" si="4"/>
        <v>66759</v>
      </c>
      <c r="Y70" s="326">
        <f t="shared" si="4"/>
        <v>67205</v>
      </c>
      <c r="Z70" s="327">
        <f t="shared" ref="Z70:Z74" si="5">SUM(X70:Y70)</f>
        <v>133964</v>
      </c>
    </row>
    <row r="71" spans="1:26" x14ac:dyDescent="0.35">
      <c r="A71" s="328" t="s">
        <v>317</v>
      </c>
      <c r="B71" s="329" t="s">
        <v>144</v>
      </c>
      <c r="C71" s="330">
        <v>25854</v>
      </c>
      <c r="D71" s="330">
        <v>25883</v>
      </c>
      <c r="E71" s="330">
        <v>51600</v>
      </c>
      <c r="F71" s="330">
        <v>2362</v>
      </c>
      <c r="G71" s="330">
        <v>2617</v>
      </c>
      <c r="H71" s="330">
        <v>5004</v>
      </c>
      <c r="I71" s="330">
        <v>783</v>
      </c>
      <c r="J71" s="330">
        <v>820</v>
      </c>
      <c r="K71" s="330">
        <v>1621</v>
      </c>
      <c r="L71" s="330">
        <v>77</v>
      </c>
      <c r="M71" s="330">
        <v>82</v>
      </c>
      <c r="N71" s="330">
        <v>159</v>
      </c>
      <c r="O71" s="330">
        <v>199</v>
      </c>
      <c r="P71" s="330">
        <v>210</v>
      </c>
      <c r="Q71" s="330">
        <v>411</v>
      </c>
      <c r="R71" s="330">
        <v>4</v>
      </c>
      <c r="S71" s="330">
        <v>4</v>
      </c>
      <c r="T71" s="330">
        <v>8</v>
      </c>
      <c r="U71" s="330">
        <v>0</v>
      </c>
      <c r="V71" s="330">
        <v>4</v>
      </c>
      <c r="W71" s="330">
        <v>3</v>
      </c>
      <c r="X71" s="331">
        <f t="shared" si="4"/>
        <v>29279</v>
      </c>
      <c r="Y71" s="332">
        <f t="shared" si="4"/>
        <v>29620</v>
      </c>
      <c r="Z71" s="333">
        <f t="shared" si="5"/>
        <v>58899</v>
      </c>
    </row>
    <row r="72" spans="1:26" x14ac:dyDescent="0.35">
      <c r="A72" s="328" t="s">
        <v>318</v>
      </c>
      <c r="B72" s="329" t="s">
        <v>146</v>
      </c>
      <c r="C72" s="330">
        <v>10604</v>
      </c>
      <c r="D72" s="330">
        <v>10659</v>
      </c>
      <c r="E72" s="330">
        <v>21177</v>
      </c>
      <c r="F72" s="330">
        <v>822</v>
      </c>
      <c r="G72" s="330">
        <v>933</v>
      </c>
      <c r="H72" s="330">
        <v>1762</v>
      </c>
      <c r="I72" s="330">
        <v>318</v>
      </c>
      <c r="J72" s="330">
        <v>347</v>
      </c>
      <c r="K72" s="330">
        <v>666</v>
      </c>
      <c r="L72" s="330">
        <v>32</v>
      </c>
      <c r="M72" s="330">
        <v>30</v>
      </c>
      <c r="N72" s="330">
        <v>59</v>
      </c>
      <c r="O72" s="330">
        <v>30</v>
      </c>
      <c r="P72" s="330">
        <v>28</v>
      </c>
      <c r="Q72" s="330">
        <v>57</v>
      </c>
      <c r="R72" s="330">
        <v>0</v>
      </c>
      <c r="S72" s="330">
        <v>0</v>
      </c>
      <c r="T72" s="330">
        <v>0</v>
      </c>
      <c r="U72" s="330">
        <v>1</v>
      </c>
      <c r="V72" s="330">
        <v>0</v>
      </c>
      <c r="W72" s="330">
        <v>1</v>
      </c>
      <c r="X72" s="331">
        <f t="shared" si="4"/>
        <v>11807</v>
      </c>
      <c r="Y72" s="332">
        <f t="shared" si="4"/>
        <v>11997</v>
      </c>
      <c r="Z72" s="334">
        <f t="shared" si="5"/>
        <v>23804</v>
      </c>
    </row>
    <row r="73" spans="1:26" x14ac:dyDescent="0.35">
      <c r="A73" s="328" t="s">
        <v>319</v>
      </c>
      <c r="B73" s="329" t="s">
        <v>149</v>
      </c>
      <c r="C73" s="330">
        <v>8829</v>
      </c>
      <c r="D73" s="330">
        <v>8733</v>
      </c>
      <c r="E73" s="330">
        <v>17474</v>
      </c>
      <c r="F73" s="330">
        <v>1254</v>
      </c>
      <c r="G73" s="330">
        <v>1280</v>
      </c>
      <c r="H73" s="330">
        <v>2524</v>
      </c>
      <c r="I73" s="330">
        <v>1122</v>
      </c>
      <c r="J73" s="330">
        <v>1135</v>
      </c>
      <c r="K73" s="330">
        <v>2267</v>
      </c>
      <c r="L73" s="330">
        <v>24</v>
      </c>
      <c r="M73" s="330">
        <v>21</v>
      </c>
      <c r="N73" s="330">
        <v>45</v>
      </c>
      <c r="O73" s="330">
        <v>83</v>
      </c>
      <c r="P73" s="330">
        <v>85</v>
      </c>
      <c r="Q73" s="330">
        <v>167</v>
      </c>
      <c r="R73" s="330">
        <v>5</v>
      </c>
      <c r="S73" s="330">
        <v>5</v>
      </c>
      <c r="T73" s="330">
        <v>10</v>
      </c>
      <c r="U73" s="330">
        <v>0</v>
      </c>
      <c r="V73" s="330">
        <v>0</v>
      </c>
      <c r="W73" s="330">
        <v>0</v>
      </c>
      <c r="X73" s="331">
        <f t="shared" si="4"/>
        <v>11317</v>
      </c>
      <c r="Y73" s="332">
        <f t="shared" si="4"/>
        <v>11259</v>
      </c>
      <c r="Z73" s="334">
        <f t="shared" si="5"/>
        <v>22576</v>
      </c>
    </row>
    <row r="74" spans="1:26" ht="15" thickBot="1" x14ac:dyDescent="0.4">
      <c r="A74" s="342" t="s">
        <v>320</v>
      </c>
      <c r="B74" s="343" t="s">
        <v>151</v>
      </c>
      <c r="C74" s="344">
        <v>11319</v>
      </c>
      <c r="D74" s="344">
        <v>11313</v>
      </c>
      <c r="E74" s="344">
        <v>22399</v>
      </c>
      <c r="F74" s="344">
        <v>1550</v>
      </c>
      <c r="G74" s="344">
        <v>1513</v>
      </c>
      <c r="H74" s="344">
        <v>3044</v>
      </c>
      <c r="I74" s="344">
        <v>1428</v>
      </c>
      <c r="J74" s="344">
        <v>1448</v>
      </c>
      <c r="K74" s="344">
        <v>2855</v>
      </c>
      <c r="L74" s="344">
        <v>29</v>
      </c>
      <c r="M74" s="344">
        <v>28</v>
      </c>
      <c r="N74" s="344">
        <v>57</v>
      </c>
      <c r="O74" s="344">
        <v>30</v>
      </c>
      <c r="P74" s="344">
        <v>27</v>
      </c>
      <c r="Q74" s="344">
        <v>58</v>
      </c>
      <c r="R74" s="344">
        <v>0</v>
      </c>
      <c r="S74" s="344">
        <v>0</v>
      </c>
      <c r="T74" s="344">
        <v>0</v>
      </c>
      <c r="U74" s="344">
        <v>0</v>
      </c>
      <c r="V74" s="344">
        <v>0</v>
      </c>
      <c r="W74" s="344">
        <v>0</v>
      </c>
      <c r="X74" s="345">
        <f t="shared" si="4"/>
        <v>14356</v>
      </c>
      <c r="Y74" s="346">
        <f t="shared" si="4"/>
        <v>14329</v>
      </c>
      <c r="Z74" s="347">
        <f t="shared" si="5"/>
        <v>28685</v>
      </c>
    </row>
  </sheetData>
  <mergeCells count="8">
    <mergeCell ref="U5:W5"/>
    <mergeCell ref="X5:Z5"/>
    <mergeCell ref="C5:E5"/>
    <mergeCell ref="F5:H5"/>
    <mergeCell ref="I5:K5"/>
    <mergeCell ref="L5:N5"/>
    <mergeCell ref="O5:Q5"/>
    <mergeCell ref="R5:T5"/>
  </mergeCells>
  <pageMargins left="0.78740157480314965" right="0.31496062992125984" top="0.39370078740157483" bottom="0.39370078740157483" header="0.31496062992125984" footer="0.31496062992125984"/>
  <pageSetup paperSize="9" scale="41" orientation="landscape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50155-0826-453C-9FFF-8753F8438B8C}">
  <sheetPr>
    <tabColor rgb="FF00B050"/>
  </sheetPr>
  <dimension ref="A1:AP76"/>
  <sheetViews>
    <sheetView view="pageBreakPreview" topLeftCell="P1" zoomScale="68" zoomScaleNormal="80" zoomScaleSheetLayoutView="68" workbookViewId="0">
      <selection activeCell="H74" sqref="H74"/>
    </sheetView>
  </sheetViews>
  <sheetFormatPr defaultColWidth="8.7265625" defaultRowHeight="14.5" x14ac:dyDescent="0.35"/>
  <cols>
    <col min="1" max="1" width="9.81640625" style="294" customWidth="1"/>
    <col min="2" max="2" width="18.81640625" style="294" bestFit="1" customWidth="1"/>
    <col min="3" max="32" width="10.81640625" style="294" customWidth="1"/>
    <col min="33" max="33" width="14.453125" style="294" bestFit="1" customWidth="1"/>
    <col min="34" max="16384" width="8.7265625" style="294"/>
  </cols>
  <sheetData>
    <row r="1" spans="1:42" s="2" customFormat="1" ht="22.5" x14ac:dyDescent="0.45">
      <c r="A1" s="348" t="s">
        <v>321</v>
      </c>
      <c r="B1" s="348"/>
      <c r="C1" s="348"/>
      <c r="D1" s="348"/>
      <c r="E1" s="348"/>
      <c r="F1" s="348"/>
      <c r="G1" s="348"/>
      <c r="H1" s="348"/>
      <c r="I1" s="348"/>
      <c r="J1" s="348"/>
      <c r="K1" s="348"/>
      <c r="L1" s="348"/>
      <c r="M1" s="348"/>
      <c r="N1" s="348"/>
      <c r="O1" s="348"/>
      <c r="P1" s="348"/>
      <c r="Q1" s="348"/>
      <c r="R1" s="348"/>
      <c r="S1" s="348"/>
      <c r="T1" s="348"/>
      <c r="U1" s="348"/>
      <c r="V1" s="348"/>
      <c r="W1" s="348"/>
      <c r="X1" s="348"/>
      <c r="Y1" s="348"/>
      <c r="Z1" s="348"/>
      <c r="AA1" s="348"/>
      <c r="AB1" s="348"/>
      <c r="AC1" s="348"/>
      <c r="AD1" s="348"/>
      <c r="AE1" s="348"/>
      <c r="AF1" s="349" t="s">
        <v>322</v>
      </c>
      <c r="AG1" s="349"/>
      <c r="AH1" s="348"/>
      <c r="AI1" s="348"/>
      <c r="AJ1" s="348"/>
      <c r="AK1" s="348"/>
      <c r="AL1" s="348"/>
      <c r="AM1" s="348"/>
      <c r="AN1" s="348"/>
      <c r="AO1" s="348"/>
      <c r="AP1" s="348"/>
    </row>
    <row r="2" spans="1:42" s="2" customFormat="1" ht="22.5" x14ac:dyDescent="0.45">
      <c r="A2" s="348"/>
      <c r="B2" s="348"/>
      <c r="C2" s="348"/>
      <c r="D2" s="348"/>
      <c r="E2" s="348"/>
      <c r="F2" s="348"/>
      <c r="G2" s="348"/>
      <c r="H2" s="348"/>
      <c r="I2" s="348"/>
      <c r="J2" s="348"/>
      <c r="K2" s="348"/>
      <c r="L2" s="348"/>
      <c r="M2" s="348"/>
      <c r="N2" s="348"/>
      <c r="O2" s="348"/>
      <c r="P2" s="348"/>
      <c r="Q2" s="348"/>
      <c r="R2" s="348"/>
      <c r="S2" s="348"/>
      <c r="T2" s="348"/>
      <c r="U2" s="348"/>
      <c r="V2" s="348"/>
      <c r="W2" s="348"/>
      <c r="X2" s="348"/>
      <c r="Y2" s="348"/>
      <c r="Z2" s="348"/>
      <c r="AA2" s="348"/>
      <c r="AB2" s="348"/>
      <c r="AC2" s="348"/>
      <c r="AD2" s="348"/>
      <c r="AE2" s="348"/>
      <c r="AF2" s="348"/>
      <c r="AG2" s="349"/>
      <c r="AH2" s="348"/>
      <c r="AI2" s="348"/>
      <c r="AJ2" s="348"/>
      <c r="AK2" s="348"/>
      <c r="AL2" s="348"/>
      <c r="AM2" s="348"/>
      <c r="AN2" s="348"/>
      <c r="AO2" s="348"/>
      <c r="AP2" s="348"/>
    </row>
    <row r="3" spans="1:42" s="2" customFormat="1" ht="15" thickBot="1" x14ac:dyDescent="0.4">
      <c r="A3" s="70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 s="350">
        <f>AG8*AF3</f>
        <v>0</v>
      </c>
    </row>
    <row r="4" spans="1:42" ht="34.5" x14ac:dyDescent="0.35">
      <c r="A4" s="351" t="s">
        <v>14</v>
      </c>
      <c r="B4" s="352" t="s">
        <v>15</v>
      </c>
      <c r="C4" s="353" t="s">
        <v>323</v>
      </c>
      <c r="D4" s="353" t="s">
        <v>324</v>
      </c>
      <c r="E4" s="353" t="s">
        <v>31</v>
      </c>
      <c r="F4" s="353" t="s">
        <v>325</v>
      </c>
      <c r="G4" s="353" t="s">
        <v>326</v>
      </c>
      <c r="H4" s="353" t="s">
        <v>31</v>
      </c>
      <c r="I4" s="353" t="s">
        <v>327</v>
      </c>
      <c r="J4" s="353" t="s">
        <v>328</v>
      </c>
      <c r="K4" s="353" t="s">
        <v>31</v>
      </c>
      <c r="L4" s="353" t="s">
        <v>329</v>
      </c>
      <c r="M4" s="353" t="s">
        <v>330</v>
      </c>
      <c r="N4" s="353" t="s">
        <v>31</v>
      </c>
      <c r="O4" s="353" t="s">
        <v>331</v>
      </c>
      <c r="P4" s="353" t="s">
        <v>332</v>
      </c>
      <c r="Q4" s="353" t="s">
        <v>31</v>
      </c>
      <c r="R4" s="353" t="s">
        <v>333</v>
      </c>
      <c r="S4" s="353" t="s">
        <v>334</v>
      </c>
      <c r="T4" s="353" t="s">
        <v>31</v>
      </c>
      <c r="U4" s="353" t="s">
        <v>335</v>
      </c>
      <c r="V4" s="353" t="s">
        <v>336</v>
      </c>
      <c r="W4" s="353" t="s">
        <v>31</v>
      </c>
      <c r="X4" s="353" t="s">
        <v>337</v>
      </c>
      <c r="Y4" s="353" t="s">
        <v>338</v>
      </c>
      <c r="Z4" s="353" t="s">
        <v>31</v>
      </c>
      <c r="AA4" s="353" t="s">
        <v>339</v>
      </c>
      <c r="AB4" s="353" t="s">
        <v>340</v>
      </c>
      <c r="AC4" s="353" t="s">
        <v>31</v>
      </c>
      <c r="AD4" s="353" t="s">
        <v>341</v>
      </c>
      <c r="AE4" s="354" t="s">
        <v>342</v>
      </c>
      <c r="AF4" s="353" t="s">
        <v>31</v>
      </c>
      <c r="AG4" s="355" t="s">
        <v>250</v>
      </c>
    </row>
    <row r="5" spans="1:42" x14ac:dyDescent="0.35">
      <c r="A5" s="356"/>
      <c r="B5" s="357"/>
      <c r="C5" s="358"/>
      <c r="D5" s="358"/>
      <c r="E5" s="358"/>
      <c r="F5" s="358"/>
      <c r="G5" s="358"/>
      <c r="H5" s="358"/>
      <c r="I5" s="358"/>
      <c r="J5" s="358"/>
      <c r="K5" s="358"/>
      <c r="L5" s="358"/>
      <c r="M5" s="358"/>
      <c r="N5" s="358"/>
      <c r="O5" s="358"/>
      <c r="P5" s="358"/>
      <c r="Q5" s="358"/>
      <c r="R5" s="358"/>
      <c r="S5" s="358"/>
      <c r="T5" s="358"/>
      <c r="U5" s="358"/>
      <c r="V5" s="358"/>
      <c r="W5" s="358"/>
      <c r="X5" s="358"/>
      <c r="Y5" s="358"/>
      <c r="Z5" s="358"/>
      <c r="AA5" s="358"/>
      <c r="AB5" s="358"/>
      <c r="AC5" s="358"/>
      <c r="AD5" s="358"/>
      <c r="AE5" s="359"/>
      <c r="AF5" s="358"/>
      <c r="AG5" s="360"/>
    </row>
    <row r="6" spans="1:42" x14ac:dyDescent="0.35">
      <c r="A6" s="361"/>
      <c r="B6" s="362" t="s">
        <v>252</v>
      </c>
      <c r="C6" s="653">
        <f>E8/$AG$8*100</f>
        <v>19.794703073892471</v>
      </c>
      <c r="D6" s="654"/>
      <c r="E6" s="655"/>
      <c r="F6" s="653">
        <f>H8/$AG$8*100</f>
        <v>9.4452464821144755</v>
      </c>
      <c r="G6" s="654"/>
      <c r="H6" s="655"/>
      <c r="I6" s="653">
        <f>K8/$AG$8*100</f>
        <v>7.5807901664897246</v>
      </c>
      <c r="J6" s="654"/>
      <c r="K6" s="655"/>
      <c r="L6" s="653">
        <f>N8/$AG$8*100</f>
        <v>9.8091934484176413</v>
      </c>
      <c r="M6" s="654"/>
      <c r="N6" s="655"/>
      <c r="O6" s="653">
        <f>Q8/$AG$8*100</f>
        <v>37.758625186403442</v>
      </c>
      <c r="P6" s="654"/>
      <c r="Q6" s="655"/>
      <c r="R6" s="653">
        <f>T8/$AG$8*100</f>
        <v>0.4643210005338963</v>
      </c>
      <c r="S6" s="654"/>
      <c r="T6" s="655"/>
      <c r="U6" s="653">
        <f>W8/$AG$8*100</f>
        <v>3.4328149834614887</v>
      </c>
      <c r="V6" s="654"/>
      <c r="W6" s="655"/>
      <c r="X6" s="653">
        <f>Z8/$AG$8*100</f>
        <v>10.735304044724552</v>
      </c>
      <c r="Y6" s="654"/>
      <c r="Z6" s="655"/>
      <c r="AA6" s="653">
        <f>AC8/$AG$8*100</f>
        <v>0.92848858259743616</v>
      </c>
      <c r="AB6" s="654"/>
      <c r="AC6" s="655"/>
      <c r="AD6" s="653">
        <f>AF8/$AG$8*100</f>
        <v>5.0513031364872084E-2</v>
      </c>
      <c r="AE6" s="654"/>
      <c r="AF6" s="655"/>
      <c r="AG6" s="363">
        <f>SUM(C6:AF6)</f>
        <v>100</v>
      </c>
    </row>
    <row r="7" spans="1:42" x14ac:dyDescent="0.35">
      <c r="A7" s="361" t="s">
        <v>251</v>
      </c>
      <c r="B7" s="362" t="s">
        <v>252</v>
      </c>
      <c r="C7" s="364">
        <f>C8/E8*100</f>
        <v>51.476369752197748</v>
      </c>
      <c r="D7" s="364">
        <f>D8/E8*100</f>
        <v>48.523630247802252</v>
      </c>
      <c r="E7" s="365">
        <f t="shared" ref="E7" si="0">SUM(C7:D7)</f>
        <v>100</v>
      </c>
      <c r="F7" s="364">
        <f>F8/H8*100</f>
        <v>51.203398020799071</v>
      </c>
      <c r="G7" s="364">
        <f>G8/H8*100</f>
        <v>48.796601979200929</v>
      </c>
      <c r="H7" s="365">
        <f t="shared" ref="H7" si="1">SUM(F7:G7)</f>
        <v>100</v>
      </c>
      <c r="I7" s="364">
        <f>I8/K8*100</f>
        <v>42.808499873513789</v>
      </c>
      <c r="J7" s="364">
        <f>J8/K8*100</f>
        <v>57.191500126486218</v>
      </c>
      <c r="K7" s="365">
        <f t="shared" ref="K7" si="2">SUM(I7:J7)</f>
        <v>100</v>
      </c>
      <c r="L7" s="364">
        <f>L8/N8*100</f>
        <v>46.479374389051806</v>
      </c>
      <c r="M7" s="364">
        <f>M8/N8*100</f>
        <v>53.520625610948194</v>
      </c>
      <c r="N7" s="365">
        <f t="shared" ref="N7" si="3">SUM(L7:M7)</f>
        <v>100</v>
      </c>
      <c r="O7" s="364">
        <f>O8/Q8*100</f>
        <v>51.653849162130342</v>
      </c>
      <c r="P7" s="364">
        <f>P8/Q8*100</f>
        <v>48.346150837869658</v>
      </c>
      <c r="Q7" s="365">
        <f t="shared" ref="Q7" si="4">SUM(O7:P7)</f>
        <v>100</v>
      </c>
      <c r="R7" s="364">
        <f>R8/T8*100</f>
        <v>36.130844209482902</v>
      </c>
      <c r="S7" s="364">
        <f>S8/T8*100</f>
        <v>63.869155790517098</v>
      </c>
      <c r="T7" s="365">
        <f t="shared" ref="T7" si="5">SUM(R7:S7)</f>
        <v>100</v>
      </c>
      <c r="U7" s="364">
        <f>U8/W8*100</f>
        <v>41.523094455989813</v>
      </c>
      <c r="V7" s="364">
        <f>V8/W8*100</f>
        <v>58.476905544010194</v>
      </c>
      <c r="W7" s="365">
        <f t="shared" ref="W7" si="6">SUM(U7:V7)</f>
        <v>100</v>
      </c>
      <c r="X7" s="364">
        <f>X8/Z8*100</f>
        <v>50.091819818789837</v>
      </c>
      <c r="Y7" s="364">
        <f>Y8/Z8*100</f>
        <v>49.908180181210163</v>
      </c>
      <c r="Z7" s="365">
        <f t="shared" ref="Z7" si="7">SUM(X7:Y7)</f>
        <v>100</v>
      </c>
      <c r="AA7" s="364">
        <f>AA8/AC8*100</f>
        <v>59.579477858559152</v>
      </c>
      <c r="AB7" s="364">
        <f>AB8/AC8*100</f>
        <v>40.420522141440848</v>
      </c>
      <c r="AC7" s="365">
        <f t="shared" ref="AC7" si="8">SUM(AA7:AB7)</f>
        <v>100</v>
      </c>
      <c r="AD7" s="364">
        <f>AD8/AF8*100</f>
        <v>68.337129840546694</v>
      </c>
      <c r="AE7" s="364">
        <f>AE8/AF8*100</f>
        <v>31.662870159453306</v>
      </c>
      <c r="AF7" s="365">
        <f>SUM(AD7:AE7)</f>
        <v>100</v>
      </c>
      <c r="AG7" s="363"/>
    </row>
    <row r="8" spans="1:42" ht="15" thickBot="1" x14ac:dyDescent="0.4">
      <c r="A8" s="366"/>
      <c r="B8" s="367" t="s">
        <v>22</v>
      </c>
      <c r="C8" s="368">
        <v>265668</v>
      </c>
      <c r="D8" s="368">
        <v>250429</v>
      </c>
      <c r="E8" s="368">
        <v>516097</v>
      </c>
      <c r="F8" s="368">
        <v>126094</v>
      </c>
      <c r="G8" s="368">
        <v>120167</v>
      </c>
      <c r="H8" s="368">
        <v>246261</v>
      </c>
      <c r="I8" s="368">
        <v>84611</v>
      </c>
      <c r="J8" s="368">
        <v>113039</v>
      </c>
      <c r="K8" s="368">
        <v>197650</v>
      </c>
      <c r="L8" s="368">
        <v>118871</v>
      </c>
      <c r="M8" s="368">
        <v>136879</v>
      </c>
      <c r="N8" s="368">
        <v>255750</v>
      </c>
      <c r="O8" s="368">
        <v>508512</v>
      </c>
      <c r="P8" s="368">
        <v>475949</v>
      </c>
      <c r="Q8" s="368">
        <v>984461</v>
      </c>
      <c r="R8" s="368">
        <v>4374</v>
      </c>
      <c r="S8" s="368">
        <v>7732</v>
      </c>
      <c r="T8" s="368">
        <v>12106</v>
      </c>
      <c r="U8" s="368">
        <v>37164</v>
      </c>
      <c r="V8" s="368">
        <v>52338</v>
      </c>
      <c r="W8" s="368">
        <v>89502</v>
      </c>
      <c r="X8" s="368">
        <v>140205</v>
      </c>
      <c r="Y8" s="368">
        <v>139691</v>
      </c>
      <c r="Z8" s="368">
        <v>279896</v>
      </c>
      <c r="AA8" s="368">
        <v>14423</v>
      </c>
      <c r="AB8" s="368">
        <v>9785</v>
      </c>
      <c r="AC8" s="368">
        <v>24208</v>
      </c>
      <c r="AD8" s="368">
        <v>900</v>
      </c>
      <c r="AE8" s="368">
        <v>417</v>
      </c>
      <c r="AF8" s="368">
        <v>1317</v>
      </c>
      <c r="AG8" s="369">
        <f>E8+H8+K8+N8+Q8+T8+W8+Z8+AC8+AF8</f>
        <v>2607248</v>
      </c>
    </row>
    <row r="9" spans="1:42" x14ac:dyDescent="0.35">
      <c r="A9" s="370" t="s">
        <v>253</v>
      </c>
      <c r="B9" s="371" t="s">
        <v>20</v>
      </c>
      <c r="C9" s="372">
        <v>28733</v>
      </c>
      <c r="D9" s="372">
        <v>26878</v>
      </c>
      <c r="E9" s="372">
        <v>55611</v>
      </c>
      <c r="F9" s="372">
        <v>12821</v>
      </c>
      <c r="G9" s="372">
        <v>12144</v>
      </c>
      <c r="H9" s="372">
        <v>24965</v>
      </c>
      <c r="I9" s="372">
        <v>7525</v>
      </c>
      <c r="J9" s="372">
        <v>10491</v>
      </c>
      <c r="K9" s="372">
        <v>18016</v>
      </c>
      <c r="L9" s="372">
        <v>11595</v>
      </c>
      <c r="M9" s="372">
        <v>13995</v>
      </c>
      <c r="N9" s="372">
        <v>25590</v>
      </c>
      <c r="O9" s="372">
        <v>56316</v>
      </c>
      <c r="P9" s="372">
        <v>53717</v>
      </c>
      <c r="Q9" s="372">
        <v>110033</v>
      </c>
      <c r="R9" s="372">
        <v>558</v>
      </c>
      <c r="S9" s="372">
        <v>945</v>
      </c>
      <c r="T9" s="372">
        <v>1503</v>
      </c>
      <c r="U9" s="372">
        <v>4315</v>
      </c>
      <c r="V9" s="372">
        <v>5785</v>
      </c>
      <c r="W9" s="372">
        <v>10100</v>
      </c>
      <c r="X9" s="372">
        <v>14115</v>
      </c>
      <c r="Y9" s="372">
        <v>14206</v>
      </c>
      <c r="Z9" s="372">
        <v>28321</v>
      </c>
      <c r="AA9" s="372">
        <v>1227</v>
      </c>
      <c r="AB9" s="372">
        <v>841</v>
      </c>
      <c r="AC9" s="372">
        <v>2068</v>
      </c>
      <c r="AD9" s="372">
        <v>65</v>
      </c>
      <c r="AE9" s="372">
        <v>39</v>
      </c>
      <c r="AF9" s="372">
        <v>104</v>
      </c>
      <c r="AG9" s="373"/>
    </row>
    <row r="10" spans="1:42" x14ac:dyDescent="0.35">
      <c r="A10" s="374" t="s">
        <v>254</v>
      </c>
      <c r="B10" s="375" t="s">
        <v>19</v>
      </c>
      <c r="C10" s="376">
        <v>6763</v>
      </c>
      <c r="D10" s="376">
        <v>6431</v>
      </c>
      <c r="E10" s="376">
        <v>13194</v>
      </c>
      <c r="F10" s="376">
        <v>3322</v>
      </c>
      <c r="G10" s="376">
        <v>3224</v>
      </c>
      <c r="H10" s="376">
        <v>6546</v>
      </c>
      <c r="I10" s="376">
        <v>2027</v>
      </c>
      <c r="J10" s="376">
        <v>2784</v>
      </c>
      <c r="K10" s="376">
        <v>4811</v>
      </c>
      <c r="L10" s="376">
        <v>3083</v>
      </c>
      <c r="M10" s="376">
        <v>3504</v>
      </c>
      <c r="N10" s="376">
        <v>6587</v>
      </c>
      <c r="O10" s="376">
        <v>12633</v>
      </c>
      <c r="P10" s="376">
        <v>12000</v>
      </c>
      <c r="Q10" s="376">
        <v>24633</v>
      </c>
      <c r="R10" s="376">
        <v>145</v>
      </c>
      <c r="S10" s="376">
        <v>246</v>
      </c>
      <c r="T10" s="376">
        <v>391</v>
      </c>
      <c r="U10" s="376">
        <v>967</v>
      </c>
      <c r="V10" s="376">
        <v>1368</v>
      </c>
      <c r="W10" s="376">
        <v>2335</v>
      </c>
      <c r="X10" s="376">
        <v>3654</v>
      </c>
      <c r="Y10" s="376">
        <v>3602</v>
      </c>
      <c r="Z10" s="376">
        <v>7256</v>
      </c>
      <c r="AA10" s="376">
        <v>349</v>
      </c>
      <c r="AB10" s="376">
        <v>254</v>
      </c>
      <c r="AC10" s="376">
        <v>603</v>
      </c>
      <c r="AD10" s="376">
        <v>20</v>
      </c>
      <c r="AE10" s="376">
        <v>7</v>
      </c>
      <c r="AF10" s="376">
        <v>27</v>
      </c>
      <c r="AG10" s="377"/>
    </row>
    <row r="11" spans="1:42" x14ac:dyDescent="0.35">
      <c r="A11" s="374" t="s">
        <v>255</v>
      </c>
      <c r="B11" s="375" t="s">
        <v>23</v>
      </c>
      <c r="C11" s="376">
        <v>6971</v>
      </c>
      <c r="D11" s="376">
        <v>6483</v>
      </c>
      <c r="E11" s="376">
        <v>13454</v>
      </c>
      <c r="F11" s="376">
        <v>3184</v>
      </c>
      <c r="G11" s="376">
        <v>2978</v>
      </c>
      <c r="H11" s="376">
        <v>6162</v>
      </c>
      <c r="I11" s="376">
        <v>2171</v>
      </c>
      <c r="J11" s="376">
        <v>2849</v>
      </c>
      <c r="K11" s="376">
        <v>5020</v>
      </c>
      <c r="L11" s="376">
        <v>3141</v>
      </c>
      <c r="M11" s="376">
        <v>3676</v>
      </c>
      <c r="N11" s="376">
        <v>6817</v>
      </c>
      <c r="O11" s="376">
        <v>13829</v>
      </c>
      <c r="P11" s="376">
        <v>12798</v>
      </c>
      <c r="Q11" s="376">
        <v>26627</v>
      </c>
      <c r="R11" s="376">
        <v>120</v>
      </c>
      <c r="S11" s="376">
        <v>198</v>
      </c>
      <c r="T11" s="376">
        <v>318</v>
      </c>
      <c r="U11" s="376">
        <v>891</v>
      </c>
      <c r="V11" s="376">
        <v>1196</v>
      </c>
      <c r="W11" s="376">
        <v>2087</v>
      </c>
      <c r="X11" s="376">
        <v>2811</v>
      </c>
      <c r="Y11" s="376">
        <v>2965</v>
      </c>
      <c r="Z11" s="376">
        <v>5776</v>
      </c>
      <c r="AA11" s="376">
        <v>284</v>
      </c>
      <c r="AB11" s="376">
        <v>183</v>
      </c>
      <c r="AC11" s="376">
        <v>467</v>
      </c>
      <c r="AD11" s="376">
        <v>18</v>
      </c>
      <c r="AE11" s="376">
        <v>13</v>
      </c>
      <c r="AF11" s="376">
        <v>31</v>
      </c>
      <c r="AG11" s="377"/>
    </row>
    <row r="12" spans="1:42" x14ac:dyDescent="0.35">
      <c r="A12" s="374" t="s">
        <v>256</v>
      </c>
      <c r="B12" s="375" t="s">
        <v>25</v>
      </c>
      <c r="C12" s="376">
        <v>7863</v>
      </c>
      <c r="D12" s="376">
        <v>7410</v>
      </c>
      <c r="E12" s="376">
        <v>15273</v>
      </c>
      <c r="F12" s="376">
        <v>3350</v>
      </c>
      <c r="G12" s="376">
        <v>3151</v>
      </c>
      <c r="H12" s="376">
        <v>6501</v>
      </c>
      <c r="I12" s="376">
        <v>2029</v>
      </c>
      <c r="J12" s="376">
        <v>2922</v>
      </c>
      <c r="K12" s="376">
        <v>4951</v>
      </c>
      <c r="L12" s="376">
        <v>3133</v>
      </c>
      <c r="M12" s="376">
        <v>3833</v>
      </c>
      <c r="N12" s="376">
        <v>6966</v>
      </c>
      <c r="O12" s="376">
        <v>15785</v>
      </c>
      <c r="P12" s="376">
        <v>15109</v>
      </c>
      <c r="Q12" s="376">
        <v>30894</v>
      </c>
      <c r="R12" s="376">
        <v>146</v>
      </c>
      <c r="S12" s="376">
        <v>260</v>
      </c>
      <c r="T12" s="376">
        <v>406</v>
      </c>
      <c r="U12" s="376">
        <v>1225</v>
      </c>
      <c r="V12" s="376">
        <v>1598</v>
      </c>
      <c r="W12" s="376">
        <v>2823</v>
      </c>
      <c r="X12" s="376">
        <v>4028</v>
      </c>
      <c r="Y12" s="376">
        <v>4053</v>
      </c>
      <c r="Z12" s="376">
        <v>8081</v>
      </c>
      <c r="AA12" s="376">
        <v>348</v>
      </c>
      <c r="AB12" s="376">
        <v>250</v>
      </c>
      <c r="AC12" s="376">
        <v>598</v>
      </c>
      <c r="AD12" s="376">
        <v>15</v>
      </c>
      <c r="AE12" s="376">
        <v>10</v>
      </c>
      <c r="AF12" s="376">
        <v>25</v>
      </c>
      <c r="AG12" s="377"/>
    </row>
    <row r="13" spans="1:42" ht="15" thickBot="1" x14ac:dyDescent="0.4">
      <c r="A13" s="378" t="s">
        <v>257</v>
      </c>
      <c r="B13" s="379" t="s">
        <v>27</v>
      </c>
      <c r="C13" s="380">
        <v>7136</v>
      </c>
      <c r="D13" s="380">
        <v>6554</v>
      </c>
      <c r="E13" s="380">
        <v>13690</v>
      </c>
      <c r="F13" s="380">
        <v>2965</v>
      </c>
      <c r="G13" s="380">
        <v>2791</v>
      </c>
      <c r="H13" s="380">
        <v>5756</v>
      </c>
      <c r="I13" s="380">
        <v>1298</v>
      </c>
      <c r="J13" s="380">
        <v>1936</v>
      </c>
      <c r="K13" s="380">
        <v>3234</v>
      </c>
      <c r="L13" s="380">
        <v>2238</v>
      </c>
      <c r="M13" s="380">
        <v>2982</v>
      </c>
      <c r="N13" s="380">
        <v>5220</v>
      </c>
      <c r="O13" s="380">
        <v>14069</v>
      </c>
      <c r="P13" s="380">
        <v>13810</v>
      </c>
      <c r="Q13" s="380">
        <v>27879</v>
      </c>
      <c r="R13" s="380">
        <v>147</v>
      </c>
      <c r="S13" s="380">
        <v>241</v>
      </c>
      <c r="T13" s="380">
        <v>388</v>
      </c>
      <c r="U13" s="380">
        <v>1232</v>
      </c>
      <c r="V13" s="380">
        <v>1623</v>
      </c>
      <c r="W13" s="380">
        <v>2855</v>
      </c>
      <c r="X13" s="380">
        <v>3622</v>
      </c>
      <c r="Y13" s="380">
        <v>3586</v>
      </c>
      <c r="Z13" s="380">
        <v>7208</v>
      </c>
      <c r="AA13" s="380">
        <v>246</v>
      </c>
      <c r="AB13" s="380">
        <v>154</v>
      </c>
      <c r="AC13" s="380">
        <v>400</v>
      </c>
      <c r="AD13" s="380">
        <v>12</v>
      </c>
      <c r="AE13" s="380">
        <v>9</v>
      </c>
      <c r="AF13" s="380">
        <v>21</v>
      </c>
      <c r="AG13" s="381"/>
    </row>
    <row r="14" spans="1:42" x14ac:dyDescent="0.35">
      <c r="A14" s="382" t="s">
        <v>258</v>
      </c>
      <c r="B14" s="383" t="s">
        <v>34</v>
      </c>
      <c r="C14" s="384">
        <v>26151</v>
      </c>
      <c r="D14" s="384">
        <v>24211</v>
      </c>
      <c r="E14" s="384">
        <v>50362</v>
      </c>
      <c r="F14" s="384">
        <v>12600</v>
      </c>
      <c r="G14" s="384">
        <v>11813</v>
      </c>
      <c r="H14" s="384">
        <v>24413</v>
      </c>
      <c r="I14" s="384">
        <v>7988</v>
      </c>
      <c r="J14" s="384">
        <v>11102</v>
      </c>
      <c r="K14" s="384">
        <v>19090</v>
      </c>
      <c r="L14" s="384">
        <v>12148</v>
      </c>
      <c r="M14" s="384">
        <v>14264</v>
      </c>
      <c r="N14" s="384">
        <v>26412</v>
      </c>
      <c r="O14" s="384">
        <v>57151</v>
      </c>
      <c r="P14" s="384">
        <v>53781</v>
      </c>
      <c r="Q14" s="384">
        <v>110932</v>
      </c>
      <c r="R14" s="384">
        <v>412</v>
      </c>
      <c r="S14" s="384">
        <v>663</v>
      </c>
      <c r="T14" s="384">
        <v>1075</v>
      </c>
      <c r="U14" s="384">
        <v>3776</v>
      </c>
      <c r="V14" s="384">
        <v>5344</v>
      </c>
      <c r="W14" s="384">
        <v>9120</v>
      </c>
      <c r="X14" s="384">
        <v>14180</v>
      </c>
      <c r="Y14" s="384">
        <v>14203</v>
      </c>
      <c r="Z14" s="384">
        <v>28383</v>
      </c>
      <c r="AA14" s="384">
        <v>1343</v>
      </c>
      <c r="AB14" s="384">
        <v>1014</v>
      </c>
      <c r="AC14" s="384">
        <v>2357</v>
      </c>
      <c r="AD14" s="384">
        <v>80</v>
      </c>
      <c r="AE14" s="384">
        <v>32</v>
      </c>
      <c r="AF14" s="384">
        <v>112</v>
      </c>
      <c r="AG14" s="385"/>
    </row>
    <row r="15" spans="1:42" x14ac:dyDescent="0.35">
      <c r="A15" s="386" t="s">
        <v>259</v>
      </c>
      <c r="B15" s="387" t="s">
        <v>30</v>
      </c>
      <c r="C15" s="388">
        <v>6151</v>
      </c>
      <c r="D15" s="388">
        <v>5680</v>
      </c>
      <c r="E15" s="388">
        <v>11831</v>
      </c>
      <c r="F15" s="388">
        <v>3122</v>
      </c>
      <c r="G15" s="388">
        <v>2889</v>
      </c>
      <c r="H15" s="388">
        <v>6011</v>
      </c>
      <c r="I15" s="388">
        <v>1861</v>
      </c>
      <c r="J15" s="388">
        <v>2559</v>
      </c>
      <c r="K15" s="388">
        <v>4420</v>
      </c>
      <c r="L15" s="388">
        <v>2903</v>
      </c>
      <c r="M15" s="388">
        <v>3484</v>
      </c>
      <c r="N15" s="388">
        <v>6387</v>
      </c>
      <c r="O15" s="388">
        <v>14042</v>
      </c>
      <c r="P15" s="388">
        <v>12920</v>
      </c>
      <c r="Q15" s="388">
        <v>26962</v>
      </c>
      <c r="R15" s="388">
        <v>109</v>
      </c>
      <c r="S15" s="388">
        <v>175</v>
      </c>
      <c r="T15" s="388">
        <v>284</v>
      </c>
      <c r="U15" s="388">
        <v>940</v>
      </c>
      <c r="V15" s="388">
        <v>1263</v>
      </c>
      <c r="W15" s="388">
        <v>2203</v>
      </c>
      <c r="X15" s="388">
        <v>3355</v>
      </c>
      <c r="Y15" s="388">
        <v>3445</v>
      </c>
      <c r="Z15" s="388">
        <v>6800</v>
      </c>
      <c r="AA15" s="388">
        <v>327</v>
      </c>
      <c r="AB15" s="388">
        <v>265</v>
      </c>
      <c r="AC15" s="388">
        <v>592</v>
      </c>
      <c r="AD15" s="388">
        <v>20</v>
      </c>
      <c r="AE15" s="388">
        <v>6</v>
      </c>
      <c r="AF15" s="388">
        <v>26</v>
      </c>
      <c r="AG15" s="389"/>
    </row>
    <row r="16" spans="1:42" x14ac:dyDescent="0.35">
      <c r="A16" s="386" t="s">
        <v>260</v>
      </c>
      <c r="B16" s="387" t="s">
        <v>33</v>
      </c>
      <c r="C16" s="388">
        <v>4816</v>
      </c>
      <c r="D16" s="388">
        <v>4528</v>
      </c>
      <c r="E16" s="388">
        <v>9344</v>
      </c>
      <c r="F16" s="388">
        <v>2401</v>
      </c>
      <c r="G16" s="388">
        <v>2290</v>
      </c>
      <c r="H16" s="388">
        <v>4691</v>
      </c>
      <c r="I16" s="388">
        <v>1466</v>
      </c>
      <c r="J16" s="388">
        <v>2146</v>
      </c>
      <c r="K16" s="388">
        <v>3612</v>
      </c>
      <c r="L16" s="388">
        <v>2444</v>
      </c>
      <c r="M16" s="388">
        <v>2823</v>
      </c>
      <c r="N16" s="388">
        <v>5267</v>
      </c>
      <c r="O16" s="388">
        <v>11419</v>
      </c>
      <c r="P16" s="388">
        <v>10547</v>
      </c>
      <c r="Q16" s="388">
        <v>21966</v>
      </c>
      <c r="R16" s="388">
        <v>72</v>
      </c>
      <c r="S16" s="388">
        <v>108</v>
      </c>
      <c r="T16" s="388">
        <v>180</v>
      </c>
      <c r="U16" s="388">
        <v>548</v>
      </c>
      <c r="V16" s="388">
        <v>740</v>
      </c>
      <c r="W16" s="388">
        <v>1288</v>
      </c>
      <c r="X16" s="388">
        <v>1616</v>
      </c>
      <c r="Y16" s="388">
        <v>1712</v>
      </c>
      <c r="Z16" s="388">
        <v>3328</v>
      </c>
      <c r="AA16" s="388">
        <v>122</v>
      </c>
      <c r="AB16" s="388">
        <v>113</v>
      </c>
      <c r="AC16" s="388">
        <v>235</v>
      </c>
      <c r="AD16" s="388">
        <v>6</v>
      </c>
      <c r="AE16" s="388">
        <v>2</v>
      </c>
      <c r="AF16" s="388">
        <v>8</v>
      </c>
      <c r="AG16" s="389"/>
    </row>
    <row r="17" spans="1:33" x14ac:dyDescent="0.35">
      <c r="A17" s="386" t="s">
        <v>261</v>
      </c>
      <c r="B17" s="387" t="s">
        <v>36</v>
      </c>
      <c r="C17" s="388">
        <v>4564</v>
      </c>
      <c r="D17" s="388">
        <v>4225</v>
      </c>
      <c r="E17" s="388">
        <v>8789</v>
      </c>
      <c r="F17" s="388">
        <v>1981</v>
      </c>
      <c r="G17" s="388">
        <v>1720</v>
      </c>
      <c r="H17" s="388">
        <v>3701</v>
      </c>
      <c r="I17" s="388">
        <v>1135</v>
      </c>
      <c r="J17" s="388">
        <v>1577</v>
      </c>
      <c r="K17" s="388">
        <v>2712</v>
      </c>
      <c r="L17" s="388">
        <v>1772</v>
      </c>
      <c r="M17" s="388">
        <v>2116</v>
      </c>
      <c r="N17" s="388">
        <v>3888</v>
      </c>
      <c r="O17" s="388">
        <v>9562</v>
      </c>
      <c r="P17" s="388">
        <v>9253</v>
      </c>
      <c r="Q17" s="388">
        <v>18815</v>
      </c>
      <c r="R17" s="388">
        <v>80</v>
      </c>
      <c r="S17" s="388">
        <v>119</v>
      </c>
      <c r="T17" s="388">
        <v>199</v>
      </c>
      <c r="U17" s="388">
        <v>741</v>
      </c>
      <c r="V17" s="388">
        <v>979</v>
      </c>
      <c r="W17" s="388">
        <v>1720</v>
      </c>
      <c r="X17" s="388">
        <v>2698</v>
      </c>
      <c r="Y17" s="388">
        <v>2649</v>
      </c>
      <c r="Z17" s="388">
        <v>5347</v>
      </c>
      <c r="AA17" s="388">
        <v>194</v>
      </c>
      <c r="AB17" s="388">
        <v>143</v>
      </c>
      <c r="AC17" s="388">
        <v>337</v>
      </c>
      <c r="AD17" s="388">
        <v>8</v>
      </c>
      <c r="AE17" s="388">
        <v>6</v>
      </c>
      <c r="AF17" s="388">
        <v>14</v>
      </c>
      <c r="AG17" s="389"/>
    </row>
    <row r="18" spans="1:33" x14ac:dyDescent="0.35">
      <c r="A18" s="386" t="s">
        <v>262</v>
      </c>
      <c r="B18" s="387" t="s">
        <v>38</v>
      </c>
      <c r="C18" s="388">
        <v>3537</v>
      </c>
      <c r="D18" s="388">
        <v>3211</v>
      </c>
      <c r="E18" s="388">
        <v>6748</v>
      </c>
      <c r="F18" s="388">
        <v>1520</v>
      </c>
      <c r="G18" s="388">
        <v>1484</v>
      </c>
      <c r="H18" s="388">
        <v>3004</v>
      </c>
      <c r="I18" s="388">
        <v>1136</v>
      </c>
      <c r="J18" s="388">
        <v>1519</v>
      </c>
      <c r="K18" s="388">
        <v>2655</v>
      </c>
      <c r="L18" s="388">
        <v>1588</v>
      </c>
      <c r="M18" s="388">
        <v>1900</v>
      </c>
      <c r="N18" s="388">
        <v>3488</v>
      </c>
      <c r="O18" s="388">
        <v>6932</v>
      </c>
      <c r="P18" s="388">
        <v>6670</v>
      </c>
      <c r="Q18" s="388">
        <v>13602</v>
      </c>
      <c r="R18" s="388">
        <v>59</v>
      </c>
      <c r="S18" s="388">
        <v>98</v>
      </c>
      <c r="T18" s="388">
        <v>157</v>
      </c>
      <c r="U18" s="388">
        <v>543</v>
      </c>
      <c r="V18" s="388">
        <v>793</v>
      </c>
      <c r="W18" s="388">
        <v>1336</v>
      </c>
      <c r="X18" s="388">
        <v>2175</v>
      </c>
      <c r="Y18" s="388">
        <v>2135</v>
      </c>
      <c r="Z18" s="388">
        <v>4310</v>
      </c>
      <c r="AA18" s="388">
        <v>218</v>
      </c>
      <c r="AB18" s="388">
        <v>132</v>
      </c>
      <c r="AC18" s="388">
        <v>350</v>
      </c>
      <c r="AD18" s="388">
        <v>11</v>
      </c>
      <c r="AE18" s="388">
        <v>5</v>
      </c>
      <c r="AF18" s="388">
        <v>16</v>
      </c>
      <c r="AG18" s="389"/>
    </row>
    <row r="19" spans="1:33" ht="15" thickBot="1" x14ac:dyDescent="0.4">
      <c r="A19" s="390" t="s">
        <v>263</v>
      </c>
      <c r="B19" s="391" t="s">
        <v>40</v>
      </c>
      <c r="C19" s="392">
        <v>7083</v>
      </c>
      <c r="D19" s="392">
        <v>6567</v>
      </c>
      <c r="E19" s="392">
        <v>13650</v>
      </c>
      <c r="F19" s="392">
        <v>3576</v>
      </c>
      <c r="G19" s="392">
        <v>3430</v>
      </c>
      <c r="H19" s="392">
        <v>7006</v>
      </c>
      <c r="I19" s="392">
        <v>2390</v>
      </c>
      <c r="J19" s="392">
        <v>3301</v>
      </c>
      <c r="K19" s="392">
        <v>5691</v>
      </c>
      <c r="L19" s="392">
        <v>3441</v>
      </c>
      <c r="M19" s="392">
        <v>3941</v>
      </c>
      <c r="N19" s="392">
        <v>7382</v>
      </c>
      <c r="O19" s="392">
        <v>15196</v>
      </c>
      <c r="P19" s="392">
        <v>14391</v>
      </c>
      <c r="Q19" s="392">
        <v>29587</v>
      </c>
      <c r="R19" s="392">
        <v>92</v>
      </c>
      <c r="S19" s="392">
        <v>163</v>
      </c>
      <c r="T19" s="392">
        <v>255</v>
      </c>
      <c r="U19" s="392">
        <v>1004</v>
      </c>
      <c r="V19" s="392">
        <v>1569</v>
      </c>
      <c r="W19" s="392">
        <v>2573</v>
      </c>
      <c r="X19" s="392">
        <v>4336</v>
      </c>
      <c r="Y19" s="392">
        <v>4262</v>
      </c>
      <c r="Z19" s="392">
        <v>8598</v>
      </c>
      <c r="AA19" s="392">
        <v>482</v>
      </c>
      <c r="AB19" s="392">
        <v>361</v>
      </c>
      <c r="AC19" s="392">
        <v>843</v>
      </c>
      <c r="AD19" s="392">
        <v>35</v>
      </c>
      <c r="AE19" s="392">
        <v>13</v>
      </c>
      <c r="AF19" s="392">
        <v>48</v>
      </c>
      <c r="AG19" s="393"/>
    </row>
    <row r="20" spans="1:33" x14ac:dyDescent="0.35">
      <c r="A20" s="370" t="s">
        <v>264</v>
      </c>
      <c r="B20" s="371" t="s">
        <v>47</v>
      </c>
      <c r="C20" s="372">
        <v>33306</v>
      </c>
      <c r="D20" s="372">
        <v>30943</v>
      </c>
      <c r="E20" s="372">
        <v>64249</v>
      </c>
      <c r="F20" s="372">
        <v>15983</v>
      </c>
      <c r="G20" s="372">
        <v>15323</v>
      </c>
      <c r="H20" s="372">
        <v>31306</v>
      </c>
      <c r="I20" s="372">
        <v>12023</v>
      </c>
      <c r="J20" s="372">
        <v>15545</v>
      </c>
      <c r="K20" s="372">
        <v>27568</v>
      </c>
      <c r="L20" s="372">
        <v>15626</v>
      </c>
      <c r="M20" s="372">
        <v>18941</v>
      </c>
      <c r="N20" s="372">
        <v>34567</v>
      </c>
      <c r="O20" s="372">
        <v>71877</v>
      </c>
      <c r="P20" s="372">
        <v>65620</v>
      </c>
      <c r="Q20" s="372">
        <v>137497</v>
      </c>
      <c r="R20" s="372">
        <v>627</v>
      </c>
      <c r="S20" s="372">
        <v>1228</v>
      </c>
      <c r="T20" s="372">
        <v>1855</v>
      </c>
      <c r="U20" s="372">
        <v>5464</v>
      </c>
      <c r="V20" s="372">
        <v>7398</v>
      </c>
      <c r="W20" s="372">
        <v>12862</v>
      </c>
      <c r="X20" s="372">
        <v>18006</v>
      </c>
      <c r="Y20" s="372">
        <v>18070</v>
      </c>
      <c r="Z20" s="372">
        <v>36076</v>
      </c>
      <c r="AA20" s="372">
        <v>1521</v>
      </c>
      <c r="AB20" s="372">
        <v>1014</v>
      </c>
      <c r="AC20" s="372">
        <v>2535</v>
      </c>
      <c r="AD20" s="372">
        <v>80</v>
      </c>
      <c r="AE20" s="372">
        <v>27</v>
      </c>
      <c r="AF20" s="372">
        <v>107</v>
      </c>
      <c r="AG20" s="373"/>
    </row>
    <row r="21" spans="1:33" x14ac:dyDescent="0.35">
      <c r="A21" s="374" t="s">
        <v>265</v>
      </c>
      <c r="B21" s="375" t="s">
        <v>43</v>
      </c>
      <c r="C21" s="376">
        <v>9141</v>
      </c>
      <c r="D21" s="376">
        <v>8520</v>
      </c>
      <c r="E21" s="376">
        <v>17661</v>
      </c>
      <c r="F21" s="376">
        <v>4276</v>
      </c>
      <c r="G21" s="376">
        <v>4109</v>
      </c>
      <c r="H21" s="376">
        <v>8385</v>
      </c>
      <c r="I21" s="376">
        <v>3195</v>
      </c>
      <c r="J21" s="376">
        <v>4208</v>
      </c>
      <c r="K21" s="376">
        <v>7403</v>
      </c>
      <c r="L21" s="376">
        <v>4551</v>
      </c>
      <c r="M21" s="376">
        <v>5670</v>
      </c>
      <c r="N21" s="376">
        <v>10221</v>
      </c>
      <c r="O21" s="376">
        <v>21763</v>
      </c>
      <c r="P21" s="376">
        <v>19215</v>
      </c>
      <c r="Q21" s="376">
        <v>40978</v>
      </c>
      <c r="R21" s="376">
        <v>146</v>
      </c>
      <c r="S21" s="376">
        <v>333</v>
      </c>
      <c r="T21" s="376">
        <v>479</v>
      </c>
      <c r="U21" s="376">
        <v>1397</v>
      </c>
      <c r="V21" s="376">
        <v>1889</v>
      </c>
      <c r="W21" s="376">
        <v>3286</v>
      </c>
      <c r="X21" s="376">
        <v>4219</v>
      </c>
      <c r="Y21" s="376">
        <v>4418</v>
      </c>
      <c r="Z21" s="376">
        <v>8637</v>
      </c>
      <c r="AA21" s="376">
        <v>291</v>
      </c>
      <c r="AB21" s="376">
        <v>184</v>
      </c>
      <c r="AC21" s="376">
        <v>475</v>
      </c>
      <c r="AD21" s="376">
        <v>16</v>
      </c>
      <c r="AE21" s="376">
        <v>3</v>
      </c>
      <c r="AF21" s="376">
        <v>19</v>
      </c>
      <c r="AG21" s="377"/>
    </row>
    <row r="22" spans="1:33" x14ac:dyDescent="0.35">
      <c r="A22" s="374" t="s">
        <v>266</v>
      </c>
      <c r="B22" s="375" t="s">
        <v>45</v>
      </c>
      <c r="C22" s="376">
        <v>4224</v>
      </c>
      <c r="D22" s="376">
        <v>3921</v>
      </c>
      <c r="E22" s="376">
        <v>8145</v>
      </c>
      <c r="F22" s="376">
        <v>1891</v>
      </c>
      <c r="G22" s="376">
        <v>1819</v>
      </c>
      <c r="H22" s="376">
        <v>3710</v>
      </c>
      <c r="I22" s="376">
        <v>1572</v>
      </c>
      <c r="J22" s="376">
        <v>2056</v>
      </c>
      <c r="K22" s="376">
        <v>3628</v>
      </c>
      <c r="L22" s="376">
        <v>1929</v>
      </c>
      <c r="M22" s="376">
        <v>2348</v>
      </c>
      <c r="N22" s="376">
        <v>4277</v>
      </c>
      <c r="O22" s="376">
        <v>8388</v>
      </c>
      <c r="P22" s="376">
        <v>7457</v>
      </c>
      <c r="Q22" s="376">
        <v>15845</v>
      </c>
      <c r="R22" s="376">
        <v>69</v>
      </c>
      <c r="S22" s="376">
        <v>129</v>
      </c>
      <c r="T22" s="376">
        <v>198</v>
      </c>
      <c r="U22" s="376">
        <v>497</v>
      </c>
      <c r="V22" s="376">
        <v>726</v>
      </c>
      <c r="W22" s="376">
        <v>1223</v>
      </c>
      <c r="X22" s="376">
        <v>1700</v>
      </c>
      <c r="Y22" s="376">
        <v>1823</v>
      </c>
      <c r="Z22" s="376">
        <v>3523</v>
      </c>
      <c r="AA22" s="376">
        <v>158</v>
      </c>
      <c r="AB22" s="376">
        <v>93</v>
      </c>
      <c r="AC22" s="376">
        <v>251</v>
      </c>
      <c r="AD22" s="376">
        <v>6</v>
      </c>
      <c r="AE22" s="376">
        <v>2</v>
      </c>
      <c r="AF22" s="376">
        <v>8</v>
      </c>
      <c r="AG22" s="377"/>
    </row>
    <row r="23" spans="1:33" x14ac:dyDescent="0.35">
      <c r="A23" s="374" t="s">
        <v>267</v>
      </c>
      <c r="B23" s="375" t="s">
        <v>48</v>
      </c>
      <c r="C23" s="376">
        <v>2536</v>
      </c>
      <c r="D23" s="376">
        <v>2289</v>
      </c>
      <c r="E23" s="376">
        <v>4825</v>
      </c>
      <c r="F23" s="376">
        <v>1453</v>
      </c>
      <c r="G23" s="376">
        <v>1383</v>
      </c>
      <c r="H23" s="376">
        <v>2836</v>
      </c>
      <c r="I23" s="376">
        <v>1109</v>
      </c>
      <c r="J23" s="376">
        <v>1246</v>
      </c>
      <c r="K23" s="376">
        <v>2355</v>
      </c>
      <c r="L23" s="376">
        <v>1304</v>
      </c>
      <c r="M23" s="376">
        <v>1347</v>
      </c>
      <c r="N23" s="376">
        <v>2651</v>
      </c>
      <c r="O23" s="376">
        <v>4959</v>
      </c>
      <c r="P23" s="376">
        <v>4788</v>
      </c>
      <c r="Q23" s="376">
        <v>9747</v>
      </c>
      <c r="R23" s="376">
        <v>51</v>
      </c>
      <c r="S23" s="376">
        <v>115</v>
      </c>
      <c r="T23" s="376">
        <v>166</v>
      </c>
      <c r="U23" s="376">
        <v>565</v>
      </c>
      <c r="V23" s="376">
        <v>787</v>
      </c>
      <c r="W23" s="376">
        <v>1352</v>
      </c>
      <c r="X23" s="376">
        <v>2384</v>
      </c>
      <c r="Y23" s="376">
        <v>2285</v>
      </c>
      <c r="Z23" s="376">
        <v>4669</v>
      </c>
      <c r="AA23" s="376">
        <v>301</v>
      </c>
      <c r="AB23" s="376">
        <v>162</v>
      </c>
      <c r="AC23" s="376">
        <v>463</v>
      </c>
      <c r="AD23" s="376">
        <v>21</v>
      </c>
      <c r="AE23" s="376">
        <v>6</v>
      </c>
      <c r="AF23" s="376">
        <v>27</v>
      </c>
      <c r="AG23" s="377"/>
    </row>
    <row r="24" spans="1:33" x14ac:dyDescent="0.35">
      <c r="A24" s="374" t="s">
        <v>268</v>
      </c>
      <c r="B24" s="375" t="s">
        <v>50</v>
      </c>
      <c r="C24" s="376">
        <v>7003</v>
      </c>
      <c r="D24" s="376">
        <v>6386</v>
      </c>
      <c r="E24" s="376">
        <v>13389</v>
      </c>
      <c r="F24" s="376">
        <v>3161</v>
      </c>
      <c r="G24" s="376">
        <v>2948</v>
      </c>
      <c r="H24" s="376">
        <v>6109</v>
      </c>
      <c r="I24" s="376">
        <v>2457</v>
      </c>
      <c r="J24" s="376">
        <v>2986</v>
      </c>
      <c r="K24" s="376">
        <v>5443</v>
      </c>
      <c r="L24" s="376">
        <v>2935</v>
      </c>
      <c r="M24" s="376">
        <v>3599</v>
      </c>
      <c r="N24" s="376">
        <v>6534</v>
      </c>
      <c r="O24" s="376">
        <v>14455</v>
      </c>
      <c r="P24" s="376">
        <v>13516</v>
      </c>
      <c r="Q24" s="376">
        <v>27971</v>
      </c>
      <c r="R24" s="376">
        <v>157</v>
      </c>
      <c r="S24" s="376">
        <v>253</v>
      </c>
      <c r="T24" s="376">
        <v>410</v>
      </c>
      <c r="U24" s="376">
        <v>1324</v>
      </c>
      <c r="V24" s="376">
        <v>1702</v>
      </c>
      <c r="W24" s="376">
        <v>3026</v>
      </c>
      <c r="X24" s="376">
        <v>4225</v>
      </c>
      <c r="Y24" s="376">
        <v>4126</v>
      </c>
      <c r="Z24" s="376">
        <v>8351</v>
      </c>
      <c r="AA24" s="376">
        <v>312</v>
      </c>
      <c r="AB24" s="376">
        <v>261</v>
      </c>
      <c r="AC24" s="376">
        <v>573</v>
      </c>
      <c r="AD24" s="376">
        <v>20</v>
      </c>
      <c r="AE24" s="376">
        <v>9</v>
      </c>
      <c r="AF24" s="376">
        <v>29</v>
      </c>
      <c r="AG24" s="377"/>
    </row>
    <row r="25" spans="1:33" x14ac:dyDescent="0.35">
      <c r="A25" s="374" t="s">
        <v>269</v>
      </c>
      <c r="B25" s="375" t="s">
        <v>52</v>
      </c>
      <c r="C25" s="376">
        <v>2435</v>
      </c>
      <c r="D25" s="376">
        <v>2291</v>
      </c>
      <c r="E25" s="376">
        <v>4726</v>
      </c>
      <c r="F25" s="376">
        <v>1159</v>
      </c>
      <c r="G25" s="376">
        <v>1079</v>
      </c>
      <c r="H25" s="376">
        <v>2238</v>
      </c>
      <c r="I25" s="376">
        <v>1150</v>
      </c>
      <c r="J25" s="376">
        <v>1592</v>
      </c>
      <c r="K25" s="376">
        <v>2742</v>
      </c>
      <c r="L25" s="376">
        <v>1283</v>
      </c>
      <c r="M25" s="376">
        <v>1368</v>
      </c>
      <c r="N25" s="376">
        <v>2651</v>
      </c>
      <c r="O25" s="376">
        <v>4994</v>
      </c>
      <c r="P25" s="376">
        <v>4486</v>
      </c>
      <c r="Q25" s="376">
        <v>9480</v>
      </c>
      <c r="R25" s="376">
        <v>42</v>
      </c>
      <c r="S25" s="376">
        <v>72</v>
      </c>
      <c r="T25" s="376">
        <v>114</v>
      </c>
      <c r="U25" s="376">
        <v>270</v>
      </c>
      <c r="V25" s="376">
        <v>352</v>
      </c>
      <c r="W25" s="376">
        <v>622</v>
      </c>
      <c r="X25" s="376">
        <v>1159</v>
      </c>
      <c r="Y25" s="376">
        <v>1128</v>
      </c>
      <c r="Z25" s="376">
        <v>2287</v>
      </c>
      <c r="AA25" s="376">
        <v>101</v>
      </c>
      <c r="AB25" s="376">
        <v>76</v>
      </c>
      <c r="AC25" s="376">
        <v>177</v>
      </c>
      <c r="AD25" s="376">
        <v>3</v>
      </c>
      <c r="AE25" s="376">
        <v>3</v>
      </c>
      <c r="AF25" s="376">
        <v>6</v>
      </c>
      <c r="AG25" s="377"/>
    </row>
    <row r="26" spans="1:33" ht="15" thickBot="1" x14ac:dyDescent="0.4">
      <c r="A26" s="378" t="s">
        <v>270</v>
      </c>
      <c r="B26" s="379" t="s">
        <v>54</v>
      </c>
      <c r="C26" s="380">
        <v>7967</v>
      </c>
      <c r="D26" s="380">
        <v>7536</v>
      </c>
      <c r="E26" s="380">
        <v>15503</v>
      </c>
      <c r="F26" s="380">
        <v>4043</v>
      </c>
      <c r="G26" s="380">
        <v>3985</v>
      </c>
      <c r="H26" s="380">
        <v>8028</v>
      </c>
      <c r="I26" s="380">
        <v>2540</v>
      </c>
      <c r="J26" s="380">
        <v>3457</v>
      </c>
      <c r="K26" s="380">
        <v>5997</v>
      </c>
      <c r="L26" s="380">
        <v>3624</v>
      </c>
      <c r="M26" s="380">
        <v>4609</v>
      </c>
      <c r="N26" s="380">
        <v>8233</v>
      </c>
      <c r="O26" s="380">
        <v>17318</v>
      </c>
      <c r="P26" s="380">
        <v>16158</v>
      </c>
      <c r="Q26" s="380">
        <v>33476</v>
      </c>
      <c r="R26" s="380">
        <v>162</v>
      </c>
      <c r="S26" s="380">
        <v>326</v>
      </c>
      <c r="T26" s="380">
        <v>488</v>
      </c>
      <c r="U26" s="380">
        <v>1411</v>
      </c>
      <c r="V26" s="380">
        <v>1942</v>
      </c>
      <c r="W26" s="380">
        <v>3353</v>
      </c>
      <c r="X26" s="380">
        <v>4319</v>
      </c>
      <c r="Y26" s="380">
        <v>4290</v>
      </c>
      <c r="Z26" s="380">
        <v>8609</v>
      </c>
      <c r="AA26" s="380">
        <v>358</v>
      </c>
      <c r="AB26" s="380">
        <v>238</v>
      </c>
      <c r="AC26" s="380">
        <v>596</v>
      </c>
      <c r="AD26" s="380">
        <v>14</v>
      </c>
      <c r="AE26" s="380">
        <v>4</v>
      </c>
      <c r="AF26" s="380">
        <v>18</v>
      </c>
      <c r="AG26" s="381"/>
    </row>
    <row r="27" spans="1:33" x14ac:dyDescent="0.35">
      <c r="A27" s="382" t="s">
        <v>271</v>
      </c>
      <c r="B27" s="383" t="s">
        <v>61</v>
      </c>
      <c r="C27" s="384">
        <v>22304</v>
      </c>
      <c r="D27" s="384">
        <v>21022</v>
      </c>
      <c r="E27" s="384">
        <v>43326</v>
      </c>
      <c r="F27" s="384">
        <v>10940</v>
      </c>
      <c r="G27" s="384">
        <v>10420</v>
      </c>
      <c r="H27" s="384">
        <v>21360</v>
      </c>
      <c r="I27" s="384">
        <v>7326</v>
      </c>
      <c r="J27" s="384">
        <v>9844</v>
      </c>
      <c r="K27" s="384">
        <v>17170</v>
      </c>
      <c r="L27" s="384">
        <v>9678</v>
      </c>
      <c r="M27" s="384">
        <v>10922</v>
      </c>
      <c r="N27" s="384">
        <v>20600</v>
      </c>
      <c r="O27" s="384">
        <v>37485</v>
      </c>
      <c r="P27" s="384">
        <v>37070</v>
      </c>
      <c r="Q27" s="384">
        <v>74555</v>
      </c>
      <c r="R27" s="384">
        <v>482</v>
      </c>
      <c r="S27" s="384">
        <v>899</v>
      </c>
      <c r="T27" s="384">
        <v>1381</v>
      </c>
      <c r="U27" s="384">
        <v>3745</v>
      </c>
      <c r="V27" s="384">
        <v>5417</v>
      </c>
      <c r="W27" s="384">
        <v>9162</v>
      </c>
      <c r="X27" s="384">
        <v>15028</v>
      </c>
      <c r="Y27" s="384">
        <v>14806</v>
      </c>
      <c r="Z27" s="384">
        <v>29834</v>
      </c>
      <c r="AA27" s="384">
        <v>1815</v>
      </c>
      <c r="AB27" s="384">
        <v>1177</v>
      </c>
      <c r="AC27" s="384">
        <v>2992</v>
      </c>
      <c r="AD27" s="384">
        <v>108</v>
      </c>
      <c r="AE27" s="384">
        <v>56</v>
      </c>
      <c r="AF27" s="384">
        <v>164</v>
      </c>
      <c r="AG27" s="385"/>
    </row>
    <row r="28" spans="1:33" x14ac:dyDescent="0.35">
      <c r="A28" s="386" t="s">
        <v>272</v>
      </c>
      <c r="B28" s="387" t="s">
        <v>57</v>
      </c>
      <c r="C28" s="388">
        <v>6201</v>
      </c>
      <c r="D28" s="388">
        <v>6017</v>
      </c>
      <c r="E28" s="388">
        <v>12218</v>
      </c>
      <c r="F28" s="388">
        <v>2919</v>
      </c>
      <c r="G28" s="388">
        <v>2714</v>
      </c>
      <c r="H28" s="388">
        <v>5633</v>
      </c>
      <c r="I28" s="388">
        <v>2262</v>
      </c>
      <c r="J28" s="388">
        <v>2870</v>
      </c>
      <c r="K28" s="388">
        <v>5132</v>
      </c>
      <c r="L28" s="388">
        <v>2529</v>
      </c>
      <c r="M28" s="388">
        <v>2857</v>
      </c>
      <c r="N28" s="388">
        <v>5386</v>
      </c>
      <c r="O28" s="388">
        <v>9593</v>
      </c>
      <c r="P28" s="388">
        <v>9714</v>
      </c>
      <c r="Q28" s="388">
        <v>19307</v>
      </c>
      <c r="R28" s="388">
        <v>149</v>
      </c>
      <c r="S28" s="388">
        <v>294</v>
      </c>
      <c r="T28" s="388">
        <v>443</v>
      </c>
      <c r="U28" s="388">
        <v>1061</v>
      </c>
      <c r="V28" s="388">
        <v>1634</v>
      </c>
      <c r="W28" s="388">
        <v>2695</v>
      </c>
      <c r="X28" s="388">
        <v>4632</v>
      </c>
      <c r="Y28" s="388">
        <v>4488</v>
      </c>
      <c r="Z28" s="388">
        <v>9120</v>
      </c>
      <c r="AA28" s="388">
        <v>571</v>
      </c>
      <c r="AB28" s="388">
        <v>367</v>
      </c>
      <c r="AC28" s="388">
        <v>938</v>
      </c>
      <c r="AD28" s="388">
        <v>35</v>
      </c>
      <c r="AE28" s="388">
        <v>25</v>
      </c>
      <c r="AF28" s="388">
        <v>60</v>
      </c>
      <c r="AG28" s="389"/>
    </row>
    <row r="29" spans="1:33" x14ac:dyDescent="0.35">
      <c r="A29" s="386" t="s">
        <v>273</v>
      </c>
      <c r="B29" s="387" t="s">
        <v>59</v>
      </c>
      <c r="C29" s="388">
        <v>1979</v>
      </c>
      <c r="D29" s="388">
        <v>1790</v>
      </c>
      <c r="E29" s="388">
        <v>3769</v>
      </c>
      <c r="F29" s="388">
        <v>798</v>
      </c>
      <c r="G29" s="388">
        <v>824</v>
      </c>
      <c r="H29" s="388">
        <v>1622</v>
      </c>
      <c r="I29" s="388">
        <v>654</v>
      </c>
      <c r="J29" s="388">
        <v>909</v>
      </c>
      <c r="K29" s="388">
        <v>1563</v>
      </c>
      <c r="L29" s="388">
        <v>874</v>
      </c>
      <c r="M29" s="388">
        <v>974</v>
      </c>
      <c r="N29" s="388">
        <v>1848</v>
      </c>
      <c r="O29" s="388">
        <v>3553</v>
      </c>
      <c r="P29" s="388">
        <v>3304</v>
      </c>
      <c r="Q29" s="388">
        <v>6857</v>
      </c>
      <c r="R29" s="388">
        <v>27</v>
      </c>
      <c r="S29" s="388">
        <v>50</v>
      </c>
      <c r="T29" s="388">
        <v>77</v>
      </c>
      <c r="U29" s="388">
        <v>221</v>
      </c>
      <c r="V29" s="388">
        <v>338</v>
      </c>
      <c r="W29" s="388">
        <v>559</v>
      </c>
      <c r="X29" s="388">
        <v>627</v>
      </c>
      <c r="Y29" s="388">
        <v>627</v>
      </c>
      <c r="Z29" s="388">
        <v>1254</v>
      </c>
      <c r="AA29" s="388">
        <v>51</v>
      </c>
      <c r="AB29" s="388">
        <v>48</v>
      </c>
      <c r="AC29" s="388">
        <v>99</v>
      </c>
      <c r="AD29" s="388">
        <v>5</v>
      </c>
      <c r="AE29" s="388">
        <v>1</v>
      </c>
      <c r="AF29" s="388">
        <v>6</v>
      </c>
      <c r="AG29" s="389"/>
    </row>
    <row r="30" spans="1:33" x14ac:dyDescent="0.35">
      <c r="A30" s="386" t="s">
        <v>274</v>
      </c>
      <c r="B30" s="387" t="s">
        <v>62</v>
      </c>
      <c r="C30" s="388">
        <v>3994</v>
      </c>
      <c r="D30" s="388">
        <v>3578</v>
      </c>
      <c r="E30" s="388">
        <v>7572</v>
      </c>
      <c r="F30" s="388">
        <v>1790</v>
      </c>
      <c r="G30" s="388">
        <v>1764</v>
      </c>
      <c r="H30" s="388">
        <v>3554</v>
      </c>
      <c r="I30" s="388">
        <v>1244</v>
      </c>
      <c r="J30" s="388">
        <v>1722</v>
      </c>
      <c r="K30" s="388">
        <v>2966</v>
      </c>
      <c r="L30" s="388">
        <v>1846</v>
      </c>
      <c r="M30" s="388">
        <v>1977</v>
      </c>
      <c r="N30" s="388">
        <v>3823</v>
      </c>
      <c r="O30" s="388">
        <v>6505</v>
      </c>
      <c r="P30" s="388">
        <v>6352</v>
      </c>
      <c r="Q30" s="388">
        <v>12857</v>
      </c>
      <c r="R30" s="388">
        <v>83</v>
      </c>
      <c r="S30" s="388">
        <v>168</v>
      </c>
      <c r="T30" s="388">
        <v>251</v>
      </c>
      <c r="U30" s="388">
        <v>647</v>
      </c>
      <c r="V30" s="388">
        <v>901</v>
      </c>
      <c r="W30" s="388">
        <v>1548</v>
      </c>
      <c r="X30" s="388">
        <v>2452</v>
      </c>
      <c r="Y30" s="388">
        <v>2422</v>
      </c>
      <c r="Z30" s="388">
        <v>4874</v>
      </c>
      <c r="AA30" s="388">
        <v>274</v>
      </c>
      <c r="AB30" s="388">
        <v>172</v>
      </c>
      <c r="AC30" s="388">
        <v>446</v>
      </c>
      <c r="AD30" s="388">
        <v>16</v>
      </c>
      <c r="AE30" s="388">
        <v>13</v>
      </c>
      <c r="AF30" s="388">
        <v>29</v>
      </c>
      <c r="AG30" s="389"/>
    </row>
    <row r="31" spans="1:33" x14ac:dyDescent="0.35">
      <c r="A31" s="386" t="s">
        <v>275</v>
      </c>
      <c r="B31" s="387" t="s">
        <v>64</v>
      </c>
      <c r="C31" s="388">
        <v>4505</v>
      </c>
      <c r="D31" s="388">
        <v>4335</v>
      </c>
      <c r="E31" s="388">
        <v>8840</v>
      </c>
      <c r="F31" s="388">
        <v>2167</v>
      </c>
      <c r="G31" s="388">
        <v>2085</v>
      </c>
      <c r="H31" s="388">
        <v>4252</v>
      </c>
      <c r="I31" s="388">
        <v>1475</v>
      </c>
      <c r="J31" s="388">
        <v>1963</v>
      </c>
      <c r="K31" s="388">
        <v>3438</v>
      </c>
      <c r="L31" s="388">
        <v>1969</v>
      </c>
      <c r="M31" s="388">
        <v>2200</v>
      </c>
      <c r="N31" s="388">
        <v>4169</v>
      </c>
      <c r="O31" s="388">
        <v>6994</v>
      </c>
      <c r="P31" s="388">
        <v>7045</v>
      </c>
      <c r="Q31" s="388">
        <v>14039</v>
      </c>
      <c r="R31" s="388">
        <v>81</v>
      </c>
      <c r="S31" s="388">
        <v>156</v>
      </c>
      <c r="T31" s="388">
        <v>237</v>
      </c>
      <c r="U31" s="388">
        <v>773</v>
      </c>
      <c r="V31" s="388">
        <v>1121</v>
      </c>
      <c r="W31" s="388">
        <v>1894</v>
      </c>
      <c r="X31" s="388">
        <v>3734</v>
      </c>
      <c r="Y31" s="388">
        <v>3719</v>
      </c>
      <c r="Z31" s="388">
        <v>7453</v>
      </c>
      <c r="AA31" s="388">
        <v>533</v>
      </c>
      <c r="AB31" s="388">
        <v>337</v>
      </c>
      <c r="AC31" s="388">
        <v>870</v>
      </c>
      <c r="AD31" s="388">
        <v>34</v>
      </c>
      <c r="AE31" s="388">
        <v>9</v>
      </c>
      <c r="AF31" s="388">
        <v>43</v>
      </c>
      <c r="AG31" s="389"/>
    </row>
    <row r="32" spans="1:33" ht="15" thickBot="1" x14ac:dyDescent="0.4">
      <c r="A32" s="390" t="s">
        <v>276</v>
      </c>
      <c r="B32" s="391" t="s">
        <v>66</v>
      </c>
      <c r="C32" s="392">
        <v>5625</v>
      </c>
      <c r="D32" s="392">
        <v>5302</v>
      </c>
      <c r="E32" s="392">
        <v>10927</v>
      </c>
      <c r="F32" s="392">
        <v>3266</v>
      </c>
      <c r="G32" s="392">
        <v>3033</v>
      </c>
      <c r="H32" s="392">
        <v>6299</v>
      </c>
      <c r="I32" s="392">
        <v>1691</v>
      </c>
      <c r="J32" s="392">
        <v>2380</v>
      </c>
      <c r="K32" s="392">
        <v>4071</v>
      </c>
      <c r="L32" s="392">
        <v>2460</v>
      </c>
      <c r="M32" s="392">
        <v>2914</v>
      </c>
      <c r="N32" s="392">
        <v>5374</v>
      </c>
      <c r="O32" s="392">
        <v>10840</v>
      </c>
      <c r="P32" s="392">
        <v>10655</v>
      </c>
      <c r="Q32" s="392">
        <v>21495</v>
      </c>
      <c r="R32" s="392">
        <v>142</v>
      </c>
      <c r="S32" s="392">
        <v>231</v>
      </c>
      <c r="T32" s="392">
        <v>373</v>
      </c>
      <c r="U32" s="392">
        <v>1043</v>
      </c>
      <c r="V32" s="392">
        <v>1423</v>
      </c>
      <c r="W32" s="392">
        <v>2466</v>
      </c>
      <c r="X32" s="392">
        <v>3583</v>
      </c>
      <c r="Y32" s="392">
        <v>3550</v>
      </c>
      <c r="Z32" s="392">
        <v>7133</v>
      </c>
      <c r="AA32" s="392">
        <v>386</v>
      </c>
      <c r="AB32" s="392">
        <v>253</v>
      </c>
      <c r="AC32" s="392">
        <v>639</v>
      </c>
      <c r="AD32" s="392">
        <v>18</v>
      </c>
      <c r="AE32" s="392">
        <v>8</v>
      </c>
      <c r="AF32" s="392">
        <v>26</v>
      </c>
      <c r="AG32" s="393"/>
    </row>
    <row r="33" spans="1:33" x14ac:dyDescent="0.35">
      <c r="A33" s="370" t="s">
        <v>277</v>
      </c>
      <c r="B33" s="371" t="s">
        <v>73</v>
      </c>
      <c r="C33" s="372">
        <v>23674</v>
      </c>
      <c r="D33" s="372">
        <v>22460</v>
      </c>
      <c r="E33" s="372">
        <v>46134</v>
      </c>
      <c r="F33" s="372">
        <v>10115</v>
      </c>
      <c r="G33" s="372">
        <v>9649</v>
      </c>
      <c r="H33" s="372">
        <v>19764</v>
      </c>
      <c r="I33" s="372">
        <v>6305</v>
      </c>
      <c r="J33" s="372">
        <v>8285</v>
      </c>
      <c r="K33" s="372">
        <v>14590</v>
      </c>
      <c r="L33" s="372">
        <v>9451</v>
      </c>
      <c r="M33" s="372">
        <v>10903</v>
      </c>
      <c r="N33" s="372">
        <v>20354</v>
      </c>
      <c r="O33" s="372">
        <v>46864</v>
      </c>
      <c r="P33" s="372">
        <v>44353</v>
      </c>
      <c r="Q33" s="372">
        <v>91217</v>
      </c>
      <c r="R33" s="372">
        <v>401</v>
      </c>
      <c r="S33" s="372">
        <v>699</v>
      </c>
      <c r="T33" s="372">
        <v>1100</v>
      </c>
      <c r="U33" s="372">
        <v>2994</v>
      </c>
      <c r="V33" s="372">
        <v>4287</v>
      </c>
      <c r="W33" s="372">
        <v>7281</v>
      </c>
      <c r="X33" s="372">
        <v>12335</v>
      </c>
      <c r="Y33" s="372">
        <v>12492</v>
      </c>
      <c r="Z33" s="372">
        <v>24827</v>
      </c>
      <c r="AA33" s="372">
        <v>1525</v>
      </c>
      <c r="AB33" s="372">
        <v>1010</v>
      </c>
      <c r="AC33" s="372">
        <v>2535</v>
      </c>
      <c r="AD33" s="372">
        <v>97</v>
      </c>
      <c r="AE33" s="372">
        <v>48</v>
      </c>
      <c r="AF33" s="372">
        <v>145</v>
      </c>
      <c r="AG33" s="373"/>
    </row>
    <row r="34" spans="1:33" x14ac:dyDescent="0.35">
      <c r="A34" s="374" t="s">
        <v>278</v>
      </c>
      <c r="B34" s="375" t="s">
        <v>69</v>
      </c>
      <c r="C34" s="376">
        <v>8154</v>
      </c>
      <c r="D34" s="376">
        <v>7606</v>
      </c>
      <c r="E34" s="376">
        <v>15760</v>
      </c>
      <c r="F34" s="376">
        <v>3458</v>
      </c>
      <c r="G34" s="376">
        <v>3200</v>
      </c>
      <c r="H34" s="376">
        <v>6658</v>
      </c>
      <c r="I34" s="376">
        <v>1960</v>
      </c>
      <c r="J34" s="376">
        <v>2526</v>
      </c>
      <c r="K34" s="376">
        <v>4486</v>
      </c>
      <c r="L34" s="376">
        <v>3128</v>
      </c>
      <c r="M34" s="376">
        <v>3553</v>
      </c>
      <c r="N34" s="376">
        <v>6681</v>
      </c>
      <c r="O34" s="376">
        <v>16826</v>
      </c>
      <c r="P34" s="376">
        <v>15930</v>
      </c>
      <c r="Q34" s="376">
        <v>32756</v>
      </c>
      <c r="R34" s="376">
        <v>168</v>
      </c>
      <c r="S34" s="376">
        <v>326</v>
      </c>
      <c r="T34" s="376">
        <v>494</v>
      </c>
      <c r="U34" s="376">
        <v>1146</v>
      </c>
      <c r="V34" s="376">
        <v>1702</v>
      </c>
      <c r="W34" s="376">
        <v>2848</v>
      </c>
      <c r="X34" s="376">
        <v>4964</v>
      </c>
      <c r="Y34" s="376">
        <v>5111</v>
      </c>
      <c r="Z34" s="376">
        <v>10075</v>
      </c>
      <c r="AA34" s="376">
        <v>695</v>
      </c>
      <c r="AB34" s="376">
        <v>433</v>
      </c>
      <c r="AC34" s="376">
        <v>1128</v>
      </c>
      <c r="AD34" s="376">
        <v>45</v>
      </c>
      <c r="AE34" s="376">
        <v>11</v>
      </c>
      <c r="AF34" s="376">
        <v>56</v>
      </c>
      <c r="AG34" s="377"/>
    </row>
    <row r="35" spans="1:33" x14ac:dyDescent="0.35">
      <c r="A35" s="374" t="s">
        <v>279</v>
      </c>
      <c r="B35" s="375" t="s">
        <v>71</v>
      </c>
      <c r="C35" s="376">
        <v>6587</v>
      </c>
      <c r="D35" s="376">
        <v>6234</v>
      </c>
      <c r="E35" s="376">
        <v>12821</v>
      </c>
      <c r="F35" s="376">
        <v>2724</v>
      </c>
      <c r="G35" s="376">
        <v>2541</v>
      </c>
      <c r="H35" s="376">
        <v>5265</v>
      </c>
      <c r="I35" s="376">
        <v>1553</v>
      </c>
      <c r="J35" s="376">
        <v>2228</v>
      </c>
      <c r="K35" s="376">
        <v>3781</v>
      </c>
      <c r="L35" s="376">
        <v>2406</v>
      </c>
      <c r="M35" s="376">
        <v>2878</v>
      </c>
      <c r="N35" s="376">
        <v>5284</v>
      </c>
      <c r="O35" s="376">
        <v>12462</v>
      </c>
      <c r="P35" s="376">
        <v>12203</v>
      </c>
      <c r="Q35" s="376">
        <v>24665</v>
      </c>
      <c r="R35" s="376">
        <v>137</v>
      </c>
      <c r="S35" s="376">
        <v>196</v>
      </c>
      <c r="T35" s="376">
        <v>333</v>
      </c>
      <c r="U35" s="376">
        <v>1140</v>
      </c>
      <c r="V35" s="376">
        <v>1493</v>
      </c>
      <c r="W35" s="376">
        <v>2633</v>
      </c>
      <c r="X35" s="376">
        <v>4074</v>
      </c>
      <c r="Y35" s="376">
        <v>4024</v>
      </c>
      <c r="Z35" s="376">
        <v>8098</v>
      </c>
      <c r="AA35" s="376">
        <v>399</v>
      </c>
      <c r="AB35" s="376">
        <v>303</v>
      </c>
      <c r="AC35" s="376">
        <v>702</v>
      </c>
      <c r="AD35" s="376">
        <v>25</v>
      </c>
      <c r="AE35" s="376">
        <v>14</v>
      </c>
      <c r="AF35" s="376">
        <v>39</v>
      </c>
      <c r="AG35" s="377"/>
    </row>
    <row r="36" spans="1:33" x14ac:dyDescent="0.35">
      <c r="A36" s="374" t="s">
        <v>280</v>
      </c>
      <c r="B36" s="375" t="s">
        <v>74</v>
      </c>
      <c r="C36" s="376">
        <v>3972</v>
      </c>
      <c r="D36" s="376">
        <v>3701</v>
      </c>
      <c r="E36" s="376">
        <v>7673</v>
      </c>
      <c r="F36" s="376">
        <v>1695</v>
      </c>
      <c r="G36" s="376">
        <v>1667</v>
      </c>
      <c r="H36" s="376">
        <v>3362</v>
      </c>
      <c r="I36" s="376">
        <v>1200</v>
      </c>
      <c r="J36" s="376">
        <v>1538</v>
      </c>
      <c r="K36" s="376">
        <v>2738</v>
      </c>
      <c r="L36" s="376">
        <v>1596</v>
      </c>
      <c r="M36" s="376">
        <v>1872</v>
      </c>
      <c r="N36" s="376">
        <v>3468</v>
      </c>
      <c r="O36" s="376">
        <v>7473</v>
      </c>
      <c r="P36" s="376">
        <v>6993</v>
      </c>
      <c r="Q36" s="376">
        <v>14466</v>
      </c>
      <c r="R36" s="376">
        <v>56</v>
      </c>
      <c r="S36" s="376">
        <v>108</v>
      </c>
      <c r="T36" s="376">
        <v>164</v>
      </c>
      <c r="U36" s="376">
        <v>432</v>
      </c>
      <c r="V36" s="376">
        <v>681</v>
      </c>
      <c r="W36" s="376">
        <v>1113</v>
      </c>
      <c r="X36" s="376">
        <v>2055</v>
      </c>
      <c r="Y36" s="376">
        <v>2161</v>
      </c>
      <c r="Z36" s="376">
        <v>4216</v>
      </c>
      <c r="AA36" s="376">
        <v>322</v>
      </c>
      <c r="AB36" s="376">
        <v>188</v>
      </c>
      <c r="AC36" s="376">
        <v>510</v>
      </c>
      <c r="AD36" s="376">
        <v>22</v>
      </c>
      <c r="AE36" s="376">
        <v>19</v>
      </c>
      <c r="AF36" s="376">
        <v>41</v>
      </c>
      <c r="AG36" s="377"/>
    </row>
    <row r="37" spans="1:33" ht="15" thickBot="1" x14ac:dyDescent="0.4">
      <c r="A37" s="378" t="s">
        <v>281</v>
      </c>
      <c r="B37" s="379" t="s">
        <v>76</v>
      </c>
      <c r="C37" s="380">
        <v>4961</v>
      </c>
      <c r="D37" s="380">
        <v>4919</v>
      </c>
      <c r="E37" s="380">
        <v>9880</v>
      </c>
      <c r="F37" s="380">
        <v>2238</v>
      </c>
      <c r="G37" s="380">
        <v>2241</v>
      </c>
      <c r="H37" s="380">
        <v>4479</v>
      </c>
      <c r="I37" s="380">
        <v>1592</v>
      </c>
      <c r="J37" s="380">
        <v>1993</v>
      </c>
      <c r="K37" s="380">
        <v>3585</v>
      </c>
      <c r="L37" s="380">
        <v>2321</v>
      </c>
      <c r="M37" s="380">
        <v>2600</v>
      </c>
      <c r="N37" s="380">
        <v>4921</v>
      </c>
      <c r="O37" s="380">
        <v>10103</v>
      </c>
      <c r="P37" s="380">
        <v>9227</v>
      </c>
      <c r="Q37" s="380">
        <v>19330</v>
      </c>
      <c r="R37" s="380">
        <v>40</v>
      </c>
      <c r="S37" s="380">
        <v>69</v>
      </c>
      <c r="T37" s="380">
        <v>109</v>
      </c>
      <c r="U37" s="380">
        <v>276</v>
      </c>
      <c r="V37" s="380">
        <v>411</v>
      </c>
      <c r="W37" s="380">
        <v>687</v>
      </c>
      <c r="X37" s="380">
        <v>1242</v>
      </c>
      <c r="Y37" s="380">
        <v>1196</v>
      </c>
      <c r="Z37" s="380">
        <v>2438</v>
      </c>
      <c r="AA37" s="380">
        <v>109</v>
      </c>
      <c r="AB37" s="380">
        <v>86</v>
      </c>
      <c r="AC37" s="380">
        <v>195</v>
      </c>
      <c r="AD37" s="380">
        <v>5</v>
      </c>
      <c r="AE37" s="380">
        <v>4</v>
      </c>
      <c r="AF37" s="380">
        <v>9</v>
      </c>
      <c r="AG37" s="381"/>
    </row>
    <row r="38" spans="1:33" x14ac:dyDescent="0.35">
      <c r="A38" s="382" t="s">
        <v>282</v>
      </c>
      <c r="B38" s="383" t="s">
        <v>79</v>
      </c>
      <c r="C38" s="384">
        <v>17285</v>
      </c>
      <c r="D38" s="384">
        <v>16090</v>
      </c>
      <c r="E38" s="384">
        <v>33375</v>
      </c>
      <c r="F38" s="384">
        <v>7428</v>
      </c>
      <c r="G38" s="384">
        <v>6906</v>
      </c>
      <c r="H38" s="384">
        <v>14334</v>
      </c>
      <c r="I38" s="384">
        <v>4738</v>
      </c>
      <c r="J38" s="384">
        <v>6698</v>
      </c>
      <c r="K38" s="384">
        <v>11436</v>
      </c>
      <c r="L38" s="384">
        <v>8020</v>
      </c>
      <c r="M38" s="384">
        <v>9373</v>
      </c>
      <c r="N38" s="384">
        <v>17393</v>
      </c>
      <c r="O38" s="384">
        <v>33087</v>
      </c>
      <c r="P38" s="384">
        <v>29937</v>
      </c>
      <c r="Q38" s="384">
        <v>63024</v>
      </c>
      <c r="R38" s="384">
        <v>350</v>
      </c>
      <c r="S38" s="384">
        <v>586</v>
      </c>
      <c r="T38" s="384">
        <v>936</v>
      </c>
      <c r="U38" s="384">
        <v>2044</v>
      </c>
      <c r="V38" s="384">
        <v>2865</v>
      </c>
      <c r="W38" s="384">
        <v>4909</v>
      </c>
      <c r="X38" s="384">
        <v>7904</v>
      </c>
      <c r="Y38" s="384">
        <v>7888</v>
      </c>
      <c r="Z38" s="384">
        <v>15792</v>
      </c>
      <c r="AA38" s="384">
        <v>835</v>
      </c>
      <c r="AB38" s="384">
        <v>520</v>
      </c>
      <c r="AC38" s="384">
        <v>1355</v>
      </c>
      <c r="AD38" s="384">
        <v>51</v>
      </c>
      <c r="AE38" s="384">
        <v>33</v>
      </c>
      <c r="AF38" s="384">
        <v>84</v>
      </c>
      <c r="AG38" s="385"/>
    </row>
    <row r="39" spans="1:33" x14ac:dyDescent="0.35">
      <c r="A39" s="386" t="s">
        <v>283</v>
      </c>
      <c r="B39" s="387" t="s">
        <v>79</v>
      </c>
      <c r="C39" s="388">
        <v>3287</v>
      </c>
      <c r="D39" s="388">
        <v>3147</v>
      </c>
      <c r="E39" s="388">
        <v>6434</v>
      </c>
      <c r="F39" s="388">
        <v>1416</v>
      </c>
      <c r="G39" s="388">
        <v>1338</v>
      </c>
      <c r="H39" s="388">
        <v>2754</v>
      </c>
      <c r="I39" s="388">
        <v>966</v>
      </c>
      <c r="J39" s="388">
        <v>1347</v>
      </c>
      <c r="K39" s="388">
        <v>2313</v>
      </c>
      <c r="L39" s="388">
        <v>1521</v>
      </c>
      <c r="M39" s="388">
        <v>1816</v>
      </c>
      <c r="N39" s="388">
        <v>3337</v>
      </c>
      <c r="O39" s="388">
        <v>6562</v>
      </c>
      <c r="P39" s="388">
        <v>5533</v>
      </c>
      <c r="Q39" s="388">
        <v>12095</v>
      </c>
      <c r="R39" s="388">
        <v>19</v>
      </c>
      <c r="S39" s="388">
        <v>36</v>
      </c>
      <c r="T39" s="388">
        <v>55</v>
      </c>
      <c r="U39" s="388">
        <v>167</v>
      </c>
      <c r="V39" s="388">
        <v>198</v>
      </c>
      <c r="W39" s="388">
        <v>365</v>
      </c>
      <c r="X39" s="388">
        <v>437</v>
      </c>
      <c r="Y39" s="388">
        <v>515</v>
      </c>
      <c r="Z39" s="388">
        <v>952</v>
      </c>
      <c r="AA39" s="388">
        <v>32</v>
      </c>
      <c r="AB39" s="388">
        <v>15</v>
      </c>
      <c r="AC39" s="388">
        <v>47</v>
      </c>
      <c r="AD39" s="388">
        <v>2</v>
      </c>
      <c r="AE39" s="388">
        <v>0</v>
      </c>
      <c r="AF39" s="388">
        <v>2</v>
      </c>
      <c r="AG39" s="389"/>
    </row>
    <row r="40" spans="1:33" x14ac:dyDescent="0.35">
      <c r="A40" s="386" t="s">
        <v>284</v>
      </c>
      <c r="B40" s="387" t="s">
        <v>81</v>
      </c>
      <c r="C40" s="388">
        <v>3015</v>
      </c>
      <c r="D40" s="388">
        <v>2791</v>
      </c>
      <c r="E40" s="388">
        <v>5806</v>
      </c>
      <c r="F40" s="388">
        <v>1339</v>
      </c>
      <c r="G40" s="388">
        <v>1162</v>
      </c>
      <c r="H40" s="388">
        <v>2501</v>
      </c>
      <c r="I40" s="388">
        <v>815</v>
      </c>
      <c r="J40" s="388">
        <v>1307</v>
      </c>
      <c r="K40" s="388">
        <v>2122</v>
      </c>
      <c r="L40" s="388">
        <v>1337</v>
      </c>
      <c r="M40" s="388">
        <v>1425</v>
      </c>
      <c r="N40" s="388">
        <v>2762</v>
      </c>
      <c r="O40" s="388">
        <v>5078</v>
      </c>
      <c r="P40" s="388">
        <v>4443</v>
      </c>
      <c r="Q40" s="388">
        <v>9521</v>
      </c>
      <c r="R40" s="388">
        <v>27</v>
      </c>
      <c r="S40" s="388">
        <v>45</v>
      </c>
      <c r="T40" s="388">
        <v>72</v>
      </c>
      <c r="U40" s="388">
        <v>179</v>
      </c>
      <c r="V40" s="388">
        <v>331</v>
      </c>
      <c r="W40" s="388">
        <v>510</v>
      </c>
      <c r="X40" s="388">
        <v>912</v>
      </c>
      <c r="Y40" s="388">
        <v>947</v>
      </c>
      <c r="Z40" s="388">
        <v>1859</v>
      </c>
      <c r="AA40" s="388">
        <v>132</v>
      </c>
      <c r="AB40" s="388">
        <v>78</v>
      </c>
      <c r="AC40" s="388">
        <v>210</v>
      </c>
      <c r="AD40" s="388">
        <v>10</v>
      </c>
      <c r="AE40" s="388">
        <v>5</v>
      </c>
      <c r="AF40" s="388">
        <v>15</v>
      </c>
      <c r="AG40" s="389"/>
    </row>
    <row r="41" spans="1:33" x14ac:dyDescent="0.35">
      <c r="A41" s="386" t="s">
        <v>285</v>
      </c>
      <c r="B41" s="387" t="s">
        <v>83</v>
      </c>
      <c r="C41" s="388">
        <v>7473</v>
      </c>
      <c r="D41" s="388">
        <v>6943</v>
      </c>
      <c r="E41" s="388">
        <v>14416</v>
      </c>
      <c r="F41" s="388">
        <v>3188</v>
      </c>
      <c r="G41" s="388">
        <v>3005</v>
      </c>
      <c r="H41" s="388">
        <v>6193</v>
      </c>
      <c r="I41" s="388">
        <v>1855</v>
      </c>
      <c r="J41" s="388">
        <v>2503</v>
      </c>
      <c r="K41" s="388">
        <v>4358</v>
      </c>
      <c r="L41" s="388">
        <v>3670</v>
      </c>
      <c r="M41" s="388">
        <v>4457</v>
      </c>
      <c r="N41" s="388">
        <v>8127</v>
      </c>
      <c r="O41" s="388">
        <v>14625</v>
      </c>
      <c r="P41" s="388">
        <v>13878</v>
      </c>
      <c r="Q41" s="388">
        <v>28503</v>
      </c>
      <c r="R41" s="388">
        <v>268</v>
      </c>
      <c r="S41" s="388">
        <v>447</v>
      </c>
      <c r="T41" s="388">
        <v>715</v>
      </c>
      <c r="U41" s="388">
        <v>1447</v>
      </c>
      <c r="V41" s="388">
        <v>1994</v>
      </c>
      <c r="W41" s="388">
        <v>3441</v>
      </c>
      <c r="X41" s="388">
        <v>5604</v>
      </c>
      <c r="Y41" s="388">
        <v>5466</v>
      </c>
      <c r="Z41" s="388">
        <v>11070</v>
      </c>
      <c r="AA41" s="388">
        <v>591</v>
      </c>
      <c r="AB41" s="388">
        <v>381</v>
      </c>
      <c r="AC41" s="388">
        <v>972</v>
      </c>
      <c r="AD41" s="388">
        <v>37</v>
      </c>
      <c r="AE41" s="388">
        <v>25</v>
      </c>
      <c r="AF41" s="388">
        <v>62</v>
      </c>
      <c r="AG41" s="389"/>
    </row>
    <row r="42" spans="1:33" ht="15" thickBot="1" x14ac:dyDescent="0.4">
      <c r="A42" s="390" t="s">
        <v>286</v>
      </c>
      <c r="B42" s="391" t="s">
        <v>85</v>
      </c>
      <c r="C42" s="392">
        <v>3510</v>
      </c>
      <c r="D42" s="392">
        <v>3209</v>
      </c>
      <c r="E42" s="392">
        <v>6719</v>
      </c>
      <c r="F42" s="392">
        <v>1485</v>
      </c>
      <c r="G42" s="392">
        <v>1401</v>
      </c>
      <c r="H42" s="392">
        <v>2886</v>
      </c>
      <c r="I42" s="392">
        <v>1102</v>
      </c>
      <c r="J42" s="392">
        <v>1541</v>
      </c>
      <c r="K42" s="392">
        <v>2643</v>
      </c>
      <c r="L42" s="392">
        <v>1492</v>
      </c>
      <c r="M42" s="392">
        <v>1675</v>
      </c>
      <c r="N42" s="392">
        <v>3167</v>
      </c>
      <c r="O42" s="392">
        <v>6822</v>
      </c>
      <c r="P42" s="392">
        <v>6083</v>
      </c>
      <c r="Q42" s="392">
        <v>12905</v>
      </c>
      <c r="R42" s="392">
        <v>36</v>
      </c>
      <c r="S42" s="392">
        <v>58</v>
      </c>
      <c r="T42" s="392">
        <v>94</v>
      </c>
      <c r="U42" s="392">
        <v>251</v>
      </c>
      <c r="V42" s="392">
        <v>342</v>
      </c>
      <c r="W42" s="392">
        <v>593</v>
      </c>
      <c r="X42" s="392">
        <v>951</v>
      </c>
      <c r="Y42" s="392">
        <v>960</v>
      </c>
      <c r="Z42" s="392">
        <v>1911</v>
      </c>
      <c r="AA42" s="392">
        <v>80</v>
      </c>
      <c r="AB42" s="392">
        <v>46</v>
      </c>
      <c r="AC42" s="392">
        <v>126</v>
      </c>
      <c r="AD42" s="392">
        <v>2</v>
      </c>
      <c r="AE42" s="392">
        <v>3</v>
      </c>
      <c r="AF42" s="392">
        <v>5</v>
      </c>
      <c r="AG42" s="393"/>
    </row>
    <row r="43" spans="1:33" x14ac:dyDescent="0.35">
      <c r="A43" s="370" t="s">
        <v>287</v>
      </c>
      <c r="B43" s="371" t="s">
        <v>89</v>
      </c>
      <c r="C43" s="372">
        <v>14230</v>
      </c>
      <c r="D43" s="372">
        <v>13507</v>
      </c>
      <c r="E43" s="372">
        <v>27737</v>
      </c>
      <c r="F43" s="372">
        <v>6548</v>
      </c>
      <c r="G43" s="372">
        <v>6467</v>
      </c>
      <c r="H43" s="372">
        <v>13015</v>
      </c>
      <c r="I43" s="372">
        <v>6134</v>
      </c>
      <c r="J43" s="372">
        <v>7702</v>
      </c>
      <c r="K43" s="372">
        <v>13836</v>
      </c>
      <c r="L43" s="372">
        <v>7504</v>
      </c>
      <c r="M43" s="372">
        <v>8280</v>
      </c>
      <c r="N43" s="372">
        <v>15784</v>
      </c>
      <c r="O43" s="372">
        <v>24437</v>
      </c>
      <c r="P43" s="372">
        <v>20389</v>
      </c>
      <c r="Q43" s="372">
        <v>44826</v>
      </c>
      <c r="R43" s="372">
        <v>78</v>
      </c>
      <c r="S43" s="372">
        <v>141</v>
      </c>
      <c r="T43" s="372">
        <v>219</v>
      </c>
      <c r="U43" s="372">
        <v>643</v>
      </c>
      <c r="V43" s="372">
        <v>885</v>
      </c>
      <c r="W43" s="372">
        <v>1528</v>
      </c>
      <c r="X43" s="372">
        <v>1750</v>
      </c>
      <c r="Y43" s="372">
        <v>2044</v>
      </c>
      <c r="Z43" s="372">
        <v>3794</v>
      </c>
      <c r="AA43" s="372">
        <v>89</v>
      </c>
      <c r="AB43" s="372">
        <v>75</v>
      </c>
      <c r="AC43" s="372">
        <v>164</v>
      </c>
      <c r="AD43" s="372">
        <v>4</v>
      </c>
      <c r="AE43" s="372">
        <v>2</v>
      </c>
      <c r="AF43" s="372">
        <v>6</v>
      </c>
      <c r="AG43" s="373"/>
    </row>
    <row r="44" spans="1:33" x14ac:dyDescent="0.35">
      <c r="A44" s="374" t="s">
        <v>288</v>
      </c>
      <c r="B44" s="375" t="s">
        <v>89</v>
      </c>
      <c r="C44" s="376">
        <v>3810</v>
      </c>
      <c r="D44" s="376">
        <v>3605</v>
      </c>
      <c r="E44" s="376">
        <v>7415</v>
      </c>
      <c r="F44" s="376">
        <v>1871</v>
      </c>
      <c r="G44" s="376">
        <v>1792</v>
      </c>
      <c r="H44" s="376">
        <v>3663</v>
      </c>
      <c r="I44" s="376">
        <v>1634</v>
      </c>
      <c r="J44" s="376">
        <v>2107</v>
      </c>
      <c r="K44" s="376">
        <v>3741</v>
      </c>
      <c r="L44" s="376">
        <v>2385</v>
      </c>
      <c r="M44" s="376">
        <v>2539</v>
      </c>
      <c r="N44" s="376">
        <v>4924</v>
      </c>
      <c r="O44" s="376">
        <v>7539</v>
      </c>
      <c r="P44" s="376">
        <v>6440</v>
      </c>
      <c r="Q44" s="376">
        <v>13979</v>
      </c>
      <c r="R44" s="376">
        <v>19</v>
      </c>
      <c r="S44" s="376">
        <v>33</v>
      </c>
      <c r="T44" s="376">
        <v>52</v>
      </c>
      <c r="U44" s="376">
        <v>176</v>
      </c>
      <c r="V44" s="376">
        <v>235</v>
      </c>
      <c r="W44" s="376">
        <v>411</v>
      </c>
      <c r="X44" s="376">
        <v>514</v>
      </c>
      <c r="Y44" s="376">
        <v>578</v>
      </c>
      <c r="Z44" s="376">
        <v>1092</v>
      </c>
      <c r="AA44" s="376">
        <v>30</v>
      </c>
      <c r="AB44" s="376">
        <v>25</v>
      </c>
      <c r="AC44" s="376">
        <v>55</v>
      </c>
      <c r="AD44" s="376">
        <v>0</v>
      </c>
      <c r="AE44" s="376">
        <v>0</v>
      </c>
      <c r="AF44" s="376">
        <v>0</v>
      </c>
      <c r="AG44" s="377"/>
    </row>
    <row r="45" spans="1:33" x14ac:dyDescent="0.35">
      <c r="A45" s="374" t="s">
        <v>289</v>
      </c>
      <c r="B45" s="375" t="s">
        <v>91</v>
      </c>
      <c r="C45" s="376">
        <v>3499</v>
      </c>
      <c r="D45" s="376">
        <v>3348</v>
      </c>
      <c r="E45" s="376">
        <v>6847</v>
      </c>
      <c r="F45" s="376">
        <v>1659</v>
      </c>
      <c r="G45" s="376">
        <v>1559</v>
      </c>
      <c r="H45" s="376">
        <v>3218</v>
      </c>
      <c r="I45" s="376">
        <v>1255</v>
      </c>
      <c r="J45" s="376">
        <v>1711</v>
      </c>
      <c r="K45" s="376">
        <v>2966</v>
      </c>
      <c r="L45" s="376">
        <v>1777</v>
      </c>
      <c r="M45" s="376">
        <v>2045</v>
      </c>
      <c r="N45" s="376">
        <v>3822</v>
      </c>
      <c r="O45" s="376">
        <v>6611</v>
      </c>
      <c r="P45" s="376">
        <v>5185</v>
      </c>
      <c r="Q45" s="376">
        <v>11796</v>
      </c>
      <c r="R45" s="376">
        <v>14</v>
      </c>
      <c r="S45" s="376">
        <v>39</v>
      </c>
      <c r="T45" s="376">
        <v>53</v>
      </c>
      <c r="U45" s="376">
        <v>119</v>
      </c>
      <c r="V45" s="376">
        <v>197</v>
      </c>
      <c r="W45" s="376">
        <v>316</v>
      </c>
      <c r="X45" s="376">
        <v>314</v>
      </c>
      <c r="Y45" s="376">
        <v>477</v>
      </c>
      <c r="Z45" s="376">
        <v>791</v>
      </c>
      <c r="AA45" s="376">
        <v>17</v>
      </c>
      <c r="AB45" s="376">
        <v>16</v>
      </c>
      <c r="AC45" s="376">
        <v>33</v>
      </c>
      <c r="AD45" s="376">
        <v>0</v>
      </c>
      <c r="AE45" s="376">
        <v>0</v>
      </c>
      <c r="AF45" s="376">
        <v>0</v>
      </c>
      <c r="AG45" s="377"/>
    </row>
    <row r="46" spans="1:33" x14ac:dyDescent="0.35">
      <c r="A46" s="374" t="s">
        <v>290</v>
      </c>
      <c r="B46" s="375" t="s">
        <v>93</v>
      </c>
      <c r="C46" s="376">
        <v>3171</v>
      </c>
      <c r="D46" s="376">
        <v>3018</v>
      </c>
      <c r="E46" s="376">
        <v>6189</v>
      </c>
      <c r="F46" s="376">
        <v>1416</v>
      </c>
      <c r="G46" s="376">
        <v>1421</v>
      </c>
      <c r="H46" s="376">
        <v>2837</v>
      </c>
      <c r="I46" s="376">
        <v>1402</v>
      </c>
      <c r="J46" s="376">
        <v>1716</v>
      </c>
      <c r="K46" s="376">
        <v>3118</v>
      </c>
      <c r="L46" s="376">
        <v>1747</v>
      </c>
      <c r="M46" s="376">
        <v>1952</v>
      </c>
      <c r="N46" s="376">
        <v>3699</v>
      </c>
      <c r="O46" s="376">
        <v>5582</v>
      </c>
      <c r="P46" s="376">
        <v>4665</v>
      </c>
      <c r="Q46" s="376">
        <v>10247</v>
      </c>
      <c r="R46" s="376">
        <v>28</v>
      </c>
      <c r="S46" s="376">
        <v>32</v>
      </c>
      <c r="T46" s="376">
        <v>60</v>
      </c>
      <c r="U46" s="376">
        <v>117</v>
      </c>
      <c r="V46" s="376">
        <v>172</v>
      </c>
      <c r="W46" s="376">
        <v>289</v>
      </c>
      <c r="X46" s="376">
        <v>368</v>
      </c>
      <c r="Y46" s="376">
        <v>423</v>
      </c>
      <c r="Z46" s="376">
        <v>791</v>
      </c>
      <c r="AA46" s="376">
        <v>16</v>
      </c>
      <c r="AB46" s="376">
        <v>13</v>
      </c>
      <c r="AC46" s="376">
        <v>29</v>
      </c>
      <c r="AD46" s="376">
        <v>3</v>
      </c>
      <c r="AE46" s="376">
        <v>1</v>
      </c>
      <c r="AF46" s="376">
        <v>4</v>
      </c>
      <c r="AG46" s="377"/>
    </row>
    <row r="47" spans="1:33" ht="15" thickBot="1" x14ac:dyDescent="0.4">
      <c r="A47" s="378" t="s">
        <v>291</v>
      </c>
      <c r="B47" s="379" t="s">
        <v>95</v>
      </c>
      <c r="C47" s="380">
        <v>3750</v>
      </c>
      <c r="D47" s="380">
        <v>3536</v>
      </c>
      <c r="E47" s="380">
        <v>7286</v>
      </c>
      <c r="F47" s="380">
        <v>1602</v>
      </c>
      <c r="G47" s="380">
        <v>1695</v>
      </c>
      <c r="H47" s="380">
        <v>3297</v>
      </c>
      <c r="I47" s="380">
        <v>1843</v>
      </c>
      <c r="J47" s="380">
        <v>2168</v>
      </c>
      <c r="K47" s="380">
        <v>4011</v>
      </c>
      <c r="L47" s="380">
        <v>1595</v>
      </c>
      <c r="M47" s="380">
        <v>1744</v>
      </c>
      <c r="N47" s="380">
        <v>3339</v>
      </c>
      <c r="O47" s="380">
        <v>4705</v>
      </c>
      <c r="P47" s="380">
        <v>4099</v>
      </c>
      <c r="Q47" s="380">
        <v>8804</v>
      </c>
      <c r="R47" s="380">
        <v>17</v>
      </c>
      <c r="S47" s="380">
        <v>37</v>
      </c>
      <c r="T47" s="380">
        <v>54</v>
      </c>
      <c r="U47" s="380">
        <v>231</v>
      </c>
      <c r="V47" s="380">
        <v>281</v>
      </c>
      <c r="W47" s="380">
        <v>512</v>
      </c>
      <c r="X47" s="380">
        <v>554</v>
      </c>
      <c r="Y47" s="380">
        <v>566</v>
      </c>
      <c r="Z47" s="380">
        <v>1120</v>
      </c>
      <c r="AA47" s="380">
        <v>26</v>
      </c>
      <c r="AB47" s="380">
        <v>21</v>
      </c>
      <c r="AC47" s="380">
        <v>47</v>
      </c>
      <c r="AD47" s="380">
        <v>1</v>
      </c>
      <c r="AE47" s="380">
        <v>1</v>
      </c>
      <c r="AF47" s="380">
        <v>2</v>
      </c>
      <c r="AG47" s="381"/>
    </row>
    <row r="48" spans="1:33" x14ac:dyDescent="0.35">
      <c r="A48" s="382" t="s">
        <v>292</v>
      </c>
      <c r="B48" s="383" t="s">
        <v>102</v>
      </c>
      <c r="C48" s="384">
        <v>22102</v>
      </c>
      <c r="D48" s="384">
        <v>20338</v>
      </c>
      <c r="E48" s="384">
        <v>42440</v>
      </c>
      <c r="F48" s="384">
        <v>11213</v>
      </c>
      <c r="G48" s="384">
        <v>10692</v>
      </c>
      <c r="H48" s="384">
        <v>21905</v>
      </c>
      <c r="I48" s="384">
        <v>6501</v>
      </c>
      <c r="J48" s="384">
        <v>9057</v>
      </c>
      <c r="K48" s="384">
        <v>15558</v>
      </c>
      <c r="L48" s="384">
        <v>9912</v>
      </c>
      <c r="M48" s="384">
        <v>11187</v>
      </c>
      <c r="N48" s="384">
        <v>21099</v>
      </c>
      <c r="O48" s="384">
        <v>45117</v>
      </c>
      <c r="P48" s="384">
        <v>43522</v>
      </c>
      <c r="Q48" s="384">
        <v>88639</v>
      </c>
      <c r="R48" s="384">
        <v>327</v>
      </c>
      <c r="S48" s="384">
        <v>540</v>
      </c>
      <c r="T48" s="384">
        <v>867</v>
      </c>
      <c r="U48" s="384">
        <v>3456</v>
      </c>
      <c r="V48" s="384">
        <v>5180</v>
      </c>
      <c r="W48" s="384">
        <v>8636</v>
      </c>
      <c r="X48" s="384">
        <v>16415</v>
      </c>
      <c r="Y48" s="384">
        <v>16322</v>
      </c>
      <c r="Z48" s="384">
        <v>32737</v>
      </c>
      <c r="AA48" s="384">
        <v>1939</v>
      </c>
      <c r="AB48" s="384">
        <v>1379</v>
      </c>
      <c r="AC48" s="384">
        <v>3318</v>
      </c>
      <c r="AD48" s="384">
        <v>134</v>
      </c>
      <c r="AE48" s="384">
        <v>69</v>
      </c>
      <c r="AF48" s="384">
        <v>203</v>
      </c>
      <c r="AG48" s="385"/>
    </row>
    <row r="49" spans="1:33" x14ac:dyDescent="0.35">
      <c r="A49" s="386" t="s">
        <v>293</v>
      </c>
      <c r="B49" s="387" t="s">
        <v>98</v>
      </c>
      <c r="C49" s="388">
        <v>4324</v>
      </c>
      <c r="D49" s="388">
        <v>4130</v>
      </c>
      <c r="E49" s="388">
        <v>8454</v>
      </c>
      <c r="F49" s="388">
        <v>2374</v>
      </c>
      <c r="G49" s="388">
        <v>2247</v>
      </c>
      <c r="H49" s="388">
        <v>4621</v>
      </c>
      <c r="I49" s="388">
        <v>1457</v>
      </c>
      <c r="J49" s="388">
        <v>2054</v>
      </c>
      <c r="K49" s="388">
        <v>3511</v>
      </c>
      <c r="L49" s="388">
        <v>2077</v>
      </c>
      <c r="M49" s="388">
        <v>2309</v>
      </c>
      <c r="N49" s="388">
        <v>4386</v>
      </c>
      <c r="O49" s="388">
        <v>9597</v>
      </c>
      <c r="P49" s="388">
        <v>9192</v>
      </c>
      <c r="Q49" s="388">
        <v>18789</v>
      </c>
      <c r="R49" s="388">
        <v>60</v>
      </c>
      <c r="S49" s="388">
        <v>84</v>
      </c>
      <c r="T49" s="388">
        <v>144</v>
      </c>
      <c r="U49" s="388">
        <v>640</v>
      </c>
      <c r="V49" s="388">
        <v>953</v>
      </c>
      <c r="W49" s="388">
        <v>1593</v>
      </c>
      <c r="X49" s="388">
        <v>3102</v>
      </c>
      <c r="Y49" s="388">
        <v>3036</v>
      </c>
      <c r="Z49" s="388">
        <v>6138</v>
      </c>
      <c r="AA49" s="388">
        <v>354</v>
      </c>
      <c r="AB49" s="388">
        <v>258</v>
      </c>
      <c r="AC49" s="388">
        <v>612</v>
      </c>
      <c r="AD49" s="388">
        <v>25</v>
      </c>
      <c r="AE49" s="388">
        <v>13</v>
      </c>
      <c r="AF49" s="388">
        <v>38</v>
      </c>
      <c r="AG49" s="389"/>
    </row>
    <row r="50" spans="1:33" x14ac:dyDescent="0.35">
      <c r="A50" s="386" t="s">
        <v>294</v>
      </c>
      <c r="B50" s="387" t="s">
        <v>100</v>
      </c>
      <c r="C50" s="388">
        <v>3616</v>
      </c>
      <c r="D50" s="388">
        <v>3215</v>
      </c>
      <c r="E50" s="388">
        <v>6831</v>
      </c>
      <c r="F50" s="388">
        <v>1724</v>
      </c>
      <c r="G50" s="388">
        <v>1648</v>
      </c>
      <c r="H50" s="388">
        <v>3372</v>
      </c>
      <c r="I50" s="388">
        <v>1001</v>
      </c>
      <c r="J50" s="388">
        <v>1335</v>
      </c>
      <c r="K50" s="388">
        <v>2336</v>
      </c>
      <c r="L50" s="388">
        <v>1681</v>
      </c>
      <c r="M50" s="388">
        <v>1928</v>
      </c>
      <c r="N50" s="388">
        <v>3609</v>
      </c>
      <c r="O50" s="388">
        <v>6938</v>
      </c>
      <c r="P50" s="388">
        <v>6631</v>
      </c>
      <c r="Q50" s="388">
        <v>13569</v>
      </c>
      <c r="R50" s="388">
        <v>54</v>
      </c>
      <c r="S50" s="388">
        <v>75</v>
      </c>
      <c r="T50" s="388">
        <v>129</v>
      </c>
      <c r="U50" s="388">
        <v>546</v>
      </c>
      <c r="V50" s="388">
        <v>956</v>
      </c>
      <c r="W50" s="388">
        <v>1502</v>
      </c>
      <c r="X50" s="388">
        <v>3142</v>
      </c>
      <c r="Y50" s="388">
        <v>3088</v>
      </c>
      <c r="Z50" s="388">
        <v>6230</v>
      </c>
      <c r="AA50" s="388">
        <v>440</v>
      </c>
      <c r="AB50" s="388">
        <v>288</v>
      </c>
      <c r="AC50" s="388">
        <v>728</v>
      </c>
      <c r="AD50" s="388">
        <v>27</v>
      </c>
      <c r="AE50" s="388">
        <v>10</v>
      </c>
      <c r="AF50" s="388">
        <v>37</v>
      </c>
      <c r="AG50" s="389"/>
    </row>
    <row r="51" spans="1:33" x14ac:dyDescent="0.35">
      <c r="A51" s="386" t="s">
        <v>295</v>
      </c>
      <c r="B51" s="387" t="s">
        <v>103</v>
      </c>
      <c r="C51" s="388">
        <v>6153</v>
      </c>
      <c r="D51" s="388">
        <v>5692</v>
      </c>
      <c r="E51" s="388">
        <v>11845</v>
      </c>
      <c r="F51" s="388">
        <v>3064</v>
      </c>
      <c r="G51" s="388">
        <v>2883</v>
      </c>
      <c r="H51" s="388">
        <v>5947</v>
      </c>
      <c r="I51" s="388">
        <v>1689</v>
      </c>
      <c r="J51" s="388">
        <v>2256</v>
      </c>
      <c r="K51" s="388">
        <v>3945</v>
      </c>
      <c r="L51" s="388">
        <v>2593</v>
      </c>
      <c r="M51" s="388">
        <v>2886</v>
      </c>
      <c r="N51" s="388">
        <v>5479</v>
      </c>
      <c r="O51" s="388">
        <v>11948</v>
      </c>
      <c r="P51" s="388">
        <v>11635</v>
      </c>
      <c r="Q51" s="388">
        <v>23583</v>
      </c>
      <c r="R51" s="388">
        <v>103</v>
      </c>
      <c r="S51" s="388">
        <v>187</v>
      </c>
      <c r="T51" s="388">
        <v>290</v>
      </c>
      <c r="U51" s="388">
        <v>1031</v>
      </c>
      <c r="V51" s="388">
        <v>1436</v>
      </c>
      <c r="W51" s="388">
        <v>2467</v>
      </c>
      <c r="X51" s="388">
        <v>4245</v>
      </c>
      <c r="Y51" s="388">
        <v>4238</v>
      </c>
      <c r="Z51" s="388">
        <v>8483</v>
      </c>
      <c r="AA51" s="388">
        <v>474</v>
      </c>
      <c r="AB51" s="388">
        <v>324</v>
      </c>
      <c r="AC51" s="388">
        <v>798</v>
      </c>
      <c r="AD51" s="388">
        <v>35</v>
      </c>
      <c r="AE51" s="388">
        <v>11</v>
      </c>
      <c r="AF51" s="388">
        <v>46</v>
      </c>
      <c r="AG51" s="389"/>
    </row>
    <row r="52" spans="1:33" x14ac:dyDescent="0.35">
      <c r="A52" s="386" t="s">
        <v>296</v>
      </c>
      <c r="B52" s="387" t="s">
        <v>105</v>
      </c>
      <c r="C52" s="388">
        <v>3780</v>
      </c>
      <c r="D52" s="388">
        <v>3476</v>
      </c>
      <c r="E52" s="388">
        <v>7256</v>
      </c>
      <c r="F52" s="388">
        <v>1781</v>
      </c>
      <c r="G52" s="388">
        <v>1799</v>
      </c>
      <c r="H52" s="388">
        <v>3580</v>
      </c>
      <c r="I52" s="388">
        <v>1122</v>
      </c>
      <c r="J52" s="388">
        <v>1559</v>
      </c>
      <c r="K52" s="388">
        <v>2681</v>
      </c>
      <c r="L52" s="388">
        <v>1693</v>
      </c>
      <c r="M52" s="388">
        <v>1896</v>
      </c>
      <c r="N52" s="388">
        <v>3589</v>
      </c>
      <c r="O52" s="388">
        <v>7427</v>
      </c>
      <c r="P52" s="388">
        <v>7212</v>
      </c>
      <c r="Q52" s="388">
        <v>14639</v>
      </c>
      <c r="R52" s="388">
        <v>45</v>
      </c>
      <c r="S52" s="388">
        <v>76</v>
      </c>
      <c r="T52" s="388">
        <v>121</v>
      </c>
      <c r="U52" s="388">
        <v>570</v>
      </c>
      <c r="V52" s="388">
        <v>874</v>
      </c>
      <c r="W52" s="388">
        <v>1444</v>
      </c>
      <c r="X52" s="388">
        <v>2861</v>
      </c>
      <c r="Y52" s="388">
        <v>2861</v>
      </c>
      <c r="Z52" s="388">
        <v>5722</v>
      </c>
      <c r="AA52" s="388">
        <v>334</v>
      </c>
      <c r="AB52" s="388">
        <v>263</v>
      </c>
      <c r="AC52" s="388">
        <v>597</v>
      </c>
      <c r="AD52" s="388">
        <v>30</v>
      </c>
      <c r="AE52" s="388">
        <v>15</v>
      </c>
      <c r="AF52" s="388">
        <v>45</v>
      </c>
      <c r="AG52" s="389"/>
    </row>
    <row r="53" spans="1:33" ht="15" thickBot="1" x14ac:dyDescent="0.4">
      <c r="A53" s="390" t="s">
        <v>297</v>
      </c>
      <c r="B53" s="391" t="s">
        <v>107</v>
      </c>
      <c r="C53" s="392">
        <v>4229</v>
      </c>
      <c r="D53" s="392">
        <v>3825</v>
      </c>
      <c r="E53" s="392">
        <v>8054</v>
      </c>
      <c r="F53" s="392">
        <v>2270</v>
      </c>
      <c r="G53" s="392">
        <v>2115</v>
      </c>
      <c r="H53" s="392">
        <v>4385</v>
      </c>
      <c r="I53" s="392">
        <v>1232</v>
      </c>
      <c r="J53" s="392">
        <v>1853</v>
      </c>
      <c r="K53" s="392">
        <v>3085</v>
      </c>
      <c r="L53" s="392">
        <v>1868</v>
      </c>
      <c r="M53" s="392">
        <v>2168</v>
      </c>
      <c r="N53" s="392">
        <v>4036</v>
      </c>
      <c r="O53" s="392">
        <v>9207</v>
      </c>
      <c r="P53" s="392">
        <v>8852</v>
      </c>
      <c r="Q53" s="392">
        <v>18059</v>
      </c>
      <c r="R53" s="392">
        <v>65</v>
      </c>
      <c r="S53" s="392">
        <v>118</v>
      </c>
      <c r="T53" s="392">
        <v>183</v>
      </c>
      <c r="U53" s="392">
        <v>669</v>
      </c>
      <c r="V53" s="392">
        <v>961</v>
      </c>
      <c r="W53" s="392">
        <v>1630</v>
      </c>
      <c r="X53" s="392">
        <v>3065</v>
      </c>
      <c r="Y53" s="392">
        <v>3099</v>
      </c>
      <c r="Z53" s="392">
        <v>6164</v>
      </c>
      <c r="AA53" s="392">
        <v>337</v>
      </c>
      <c r="AB53" s="392">
        <v>246</v>
      </c>
      <c r="AC53" s="392">
        <v>583</v>
      </c>
      <c r="AD53" s="392">
        <v>17</v>
      </c>
      <c r="AE53" s="392">
        <v>20</v>
      </c>
      <c r="AF53" s="392">
        <v>37</v>
      </c>
      <c r="AG53" s="393"/>
    </row>
    <row r="54" spans="1:33" x14ac:dyDescent="0.35">
      <c r="A54" s="370" t="s">
        <v>298</v>
      </c>
      <c r="B54" s="371" t="s">
        <v>112</v>
      </c>
      <c r="C54" s="372">
        <v>26528</v>
      </c>
      <c r="D54" s="372">
        <v>25683</v>
      </c>
      <c r="E54" s="372">
        <v>52211</v>
      </c>
      <c r="F54" s="372">
        <v>13116</v>
      </c>
      <c r="G54" s="372">
        <v>12636</v>
      </c>
      <c r="H54" s="372">
        <v>25752</v>
      </c>
      <c r="I54" s="372">
        <v>7572</v>
      </c>
      <c r="J54" s="372">
        <v>10241</v>
      </c>
      <c r="K54" s="372">
        <v>17813</v>
      </c>
      <c r="L54" s="372">
        <v>10795</v>
      </c>
      <c r="M54" s="372">
        <v>12245</v>
      </c>
      <c r="N54" s="372">
        <v>23040</v>
      </c>
      <c r="O54" s="372">
        <v>47364</v>
      </c>
      <c r="P54" s="372">
        <v>44849</v>
      </c>
      <c r="Q54" s="372">
        <v>92213</v>
      </c>
      <c r="R54" s="372">
        <v>373</v>
      </c>
      <c r="S54" s="372">
        <v>715</v>
      </c>
      <c r="T54" s="372">
        <v>1088</v>
      </c>
      <c r="U54" s="372">
        <v>3789</v>
      </c>
      <c r="V54" s="372">
        <v>5367</v>
      </c>
      <c r="W54" s="372">
        <v>9156</v>
      </c>
      <c r="X54" s="372">
        <v>14699</v>
      </c>
      <c r="Y54" s="372">
        <v>14172</v>
      </c>
      <c r="Z54" s="372">
        <v>28871</v>
      </c>
      <c r="AA54" s="372">
        <v>1603</v>
      </c>
      <c r="AB54" s="372">
        <v>1097</v>
      </c>
      <c r="AC54" s="372">
        <v>2700</v>
      </c>
      <c r="AD54" s="372">
        <v>111</v>
      </c>
      <c r="AE54" s="372">
        <v>35</v>
      </c>
      <c r="AF54" s="372">
        <v>146</v>
      </c>
      <c r="AG54" s="373"/>
    </row>
    <row r="55" spans="1:33" x14ac:dyDescent="0.35">
      <c r="A55" s="374" t="s">
        <v>299</v>
      </c>
      <c r="B55" s="375" t="s">
        <v>110</v>
      </c>
      <c r="C55" s="376">
        <v>4338</v>
      </c>
      <c r="D55" s="376">
        <v>4200</v>
      </c>
      <c r="E55" s="376">
        <v>8538</v>
      </c>
      <c r="F55" s="376">
        <v>2298</v>
      </c>
      <c r="G55" s="376">
        <v>2259</v>
      </c>
      <c r="H55" s="376">
        <v>4557</v>
      </c>
      <c r="I55" s="376">
        <v>1329</v>
      </c>
      <c r="J55" s="376">
        <v>1819</v>
      </c>
      <c r="K55" s="376">
        <v>3148</v>
      </c>
      <c r="L55" s="376">
        <v>1851</v>
      </c>
      <c r="M55" s="376">
        <v>2101</v>
      </c>
      <c r="N55" s="376">
        <v>3952</v>
      </c>
      <c r="O55" s="376">
        <v>8232</v>
      </c>
      <c r="P55" s="376">
        <v>7618</v>
      </c>
      <c r="Q55" s="376">
        <v>15850</v>
      </c>
      <c r="R55" s="376">
        <v>50</v>
      </c>
      <c r="S55" s="376">
        <v>106</v>
      </c>
      <c r="T55" s="376">
        <v>156</v>
      </c>
      <c r="U55" s="376">
        <v>584</v>
      </c>
      <c r="V55" s="376">
        <v>760</v>
      </c>
      <c r="W55" s="376">
        <v>1344</v>
      </c>
      <c r="X55" s="376">
        <v>2106</v>
      </c>
      <c r="Y55" s="376">
        <v>2087</v>
      </c>
      <c r="Z55" s="376">
        <v>4193</v>
      </c>
      <c r="AA55" s="376">
        <v>251</v>
      </c>
      <c r="AB55" s="376">
        <v>167</v>
      </c>
      <c r="AC55" s="376">
        <v>418</v>
      </c>
      <c r="AD55" s="376">
        <v>14</v>
      </c>
      <c r="AE55" s="376">
        <v>6</v>
      </c>
      <c r="AF55" s="376">
        <v>20</v>
      </c>
      <c r="AG55" s="377"/>
    </row>
    <row r="56" spans="1:33" x14ac:dyDescent="0.35">
      <c r="A56" s="374" t="s">
        <v>300</v>
      </c>
      <c r="B56" s="375" t="s">
        <v>112</v>
      </c>
      <c r="C56" s="376">
        <v>4012</v>
      </c>
      <c r="D56" s="376">
        <v>3939</v>
      </c>
      <c r="E56" s="376">
        <v>7951</v>
      </c>
      <c r="F56" s="376">
        <v>2057</v>
      </c>
      <c r="G56" s="376">
        <v>1955</v>
      </c>
      <c r="H56" s="376">
        <v>4012</v>
      </c>
      <c r="I56" s="376">
        <v>1324</v>
      </c>
      <c r="J56" s="376">
        <v>1726</v>
      </c>
      <c r="K56" s="376">
        <v>3050</v>
      </c>
      <c r="L56" s="376">
        <v>1643</v>
      </c>
      <c r="M56" s="376">
        <v>1851</v>
      </c>
      <c r="N56" s="376">
        <v>3494</v>
      </c>
      <c r="O56" s="376">
        <v>7333</v>
      </c>
      <c r="P56" s="376">
        <v>6737</v>
      </c>
      <c r="Q56" s="376">
        <v>14070</v>
      </c>
      <c r="R56" s="376">
        <v>60</v>
      </c>
      <c r="S56" s="376">
        <v>106</v>
      </c>
      <c r="T56" s="376">
        <v>166</v>
      </c>
      <c r="U56" s="376">
        <v>516</v>
      </c>
      <c r="V56" s="376">
        <v>803</v>
      </c>
      <c r="W56" s="376">
        <v>1319</v>
      </c>
      <c r="X56" s="376">
        <v>2152</v>
      </c>
      <c r="Y56" s="376">
        <v>2149</v>
      </c>
      <c r="Z56" s="376">
        <v>4301</v>
      </c>
      <c r="AA56" s="376">
        <v>263</v>
      </c>
      <c r="AB56" s="376">
        <v>195</v>
      </c>
      <c r="AC56" s="376">
        <v>458</v>
      </c>
      <c r="AD56" s="376">
        <v>15</v>
      </c>
      <c r="AE56" s="376">
        <v>7</v>
      </c>
      <c r="AF56" s="376">
        <v>22</v>
      </c>
      <c r="AG56" s="377"/>
    </row>
    <row r="57" spans="1:33" x14ac:dyDescent="0.35">
      <c r="A57" s="374" t="s">
        <v>301</v>
      </c>
      <c r="B57" s="375" t="s">
        <v>114</v>
      </c>
      <c r="C57" s="376">
        <v>5143</v>
      </c>
      <c r="D57" s="376">
        <v>4923</v>
      </c>
      <c r="E57" s="376">
        <v>10066</v>
      </c>
      <c r="F57" s="376">
        <v>2223</v>
      </c>
      <c r="G57" s="376">
        <v>2205</v>
      </c>
      <c r="H57" s="376">
        <v>4428</v>
      </c>
      <c r="I57" s="376">
        <v>1233</v>
      </c>
      <c r="J57" s="376">
        <v>1716</v>
      </c>
      <c r="K57" s="376">
        <v>2949</v>
      </c>
      <c r="L57" s="376">
        <v>1954</v>
      </c>
      <c r="M57" s="376">
        <v>2207</v>
      </c>
      <c r="N57" s="376">
        <v>4161</v>
      </c>
      <c r="O57" s="376">
        <v>8950</v>
      </c>
      <c r="P57" s="376">
        <v>8638</v>
      </c>
      <c r="Q57" s="376">
        <v>17588</v>
      </c>
      <c r="R57" s="376">
        <v>73</v>
      </c>
      <c r="S57" s="376">
        <v>120</v>
      </c>
      <c r="T57" s="376">
        <v>193</v>
      </c>
      <c r="U57" s="376">
        <v>703</v>
      </c>
      <c r="V57" s="376">
        <v>1028</v>
      </c>
      <c r="W57" s="376">
        <v>1731</v>
      </c>
      <c r="X57" s="376">
        <v>3016</v>
      </c>
      <c r="Y57" s="376">
        <v>2907</v>
      </c>
      <c r="Z57" s="376">
        <v>5923</v>
      </c>
      <c r="AA57" s="376">
        <v>362</v>
      </c>
      <c r="AB57" s="376">
        <v>246</v>
      </c>
      <c r="AC57" s="376">
        <v>608</v>
      </c>
      <c r="AD57" s="376">
        <v>21</v>
      </c>
      <c r="AE57" s="376">
        <v>9</v>
      </c>
      <c r="AF57" s="376">
        <v>30</v>
      </c>
      <c r="AG57" s="377"/>
    </row>
    <row r="58" spans="1:33" x14ac:dyDescent="0.35">
      <c r="A58" s="374" t="s">
        <v>302</v>
      </c>
      <c r="B58" s="375" t="s">
        <v>116</v>
      </c>
      <c r="C58" s="376">
        <v>4369</v>
      </c>
      <c r="D58" s="376">
        <v>4077</v>
      </c>
      <c r="E58" s="376">
        <v>8446</v>
      </c>
      <c r="F58" s="376">
        <v>2145</v>
      </c>
      <c r="G58" s="376">
        <v>1966</v>
      </c>
      <c r="H58" s="376">
        <v>4111</v>
      </c>
      <c r="I58" s="376">
        <v>1217</v>
      </c>
      <c r="J58" s="376">
        <v>1683</v>
      </c>
      <c r="K58" s="376">
        <v>2900</v>
      </c>
      <c r="L58" s="376">
        <v>1716</v>
      </c>
      <c r="M58" s="376">
        <v>2034</v>
      </c>
      <c r="N58" s="376">
        <v>3750</v>
      </c>
      <c r="O58" s="376">
        <v>8335</v>
      </c>
      <c r="P58" s="376">
        <v>7989</v>
      </c>
      <c r="Q58" s="376">
        <v>16324</v>
      </c>
      <c r="R58" s="376">
        <v>67</v>
      </c>
      <c r="S58" s="376">
        <v>103</v>
      </c>
      <c r="T58" s="376">
        <v>170</v>
      </c>
      <c r="U58" s="376">
        <v>629</v>
      </c>
      <c r="V58" s="376">
        <v>837</v>
      </c>
      <c r="W58" s="376">
        <v>1466</v>
      </c>
      <c r="X58" s="376">
        <v>2353</v>
      </c>
      <c r="Y58" s="376">
        <v>2315</v>
      </c>
      <c r="Z58" s="376">
        <v>4668</v>
      </c>
      <c r="AA58" s="376">
        <v>210</v>
      </c>
      <c r="AB58" s="376">
        <v>159</v>
      </c>
      <c r="AC58" s="376">
        <v>369</v>
      </c>
      <c r="AD58" s="376">
        <v>23</v>
      </c>
      <c r="AE58" s="376">
        <v>5</v>
      </c>
      <c r="AF58" s="376">
        <v>28</v>
      </c>
      <c r="AG58" s="377"/>
    </row>
    <row r="59" spans="1:33" x14ac:dyDescent="0.35">
      <c r="A59" s="374" t="s">
        <v>303</v>
      </c>
      <c r="B59" s="375" t="s">
        <v>118</v>
      </c>
      <c r="C59" s="376">
        <v>4273</v>
      </c>
      <c r="D59" s="376">
        <v>4212</v>
      </c>
      <c r="E59" s="376">
        <v>8485</v>
      </c>
      <c r="F59" s="376">
        <v>2073</v>
      </c>
      <c r="G59" s="376">
        <v>2068</v>
      </c>
      <c r="H59" s="376">
        <v>4141</v>
      </c>
      <c r="I59" s="376">
        <v>1143</v>
      </c>
      <c r="J59" s="376">
        <v>1527</v>
      </c>
      <c r="K59" s="376">
        <v>2670</v>
      </c>
      <c r="L59" s="376">
        <v>1572</v>
      </c>
      <c r="M59" s="376">
        <v>1800</v>
      </c>
      <c r="N59" s="376">
        <v>3372</v>
      </c>
      <c r="O59" s="376">
        <v>6618</v>
      </c>
      <c r="P59" s="376">
        <v>6297</v>
      </c>
      <c r="Q59" s="376">
        <v>12915</v>
      </c>
      <c r="R59" s="376">
        <v>43</v>
      </c>
      <c r="S59" s="376">
        <v>123</v>
      </c>
      <c r="T59" s="376">
        <v>166</v>
      </c>
      <c r="U59" s="376">
        <v>512</v>
      </c>
      <c r="V59" s="376">
        <v>748</v>
      </c>
      <c r="W59" s="376">
        <v>1260</v>
      </c>
      <c r="X59" s="376">
        <v>2207</v>
      </c>
      <c r="Y59" s="376">
        <v>2062</v>
      </c>
      <c r="Z59" s="376">
        <v>4269</v>
      </c>
      <c r="AA59" s="376">
        <v>218</v>
      </c>
      <c r="AB59" s="376">
        <v>140</v>
      </c>
      <c r="AC59" s="376">
        <v>358</v>
      </c>
      <c r="AD59" s="376">
        <v>14</v>
      </c>
      <c r="AE59" s="376">
        <v>5</v>
      </c>
      <c r="AF59" s="376">
        <v>19</v>
      </c>
      <c r="AG59" s="377"/>
    </row>
    <row r="60" spans="1:33" ht="15" thickBot="1" x14ac:dyDescent="0.4">
      <c r="A60" s="378" t="s">
        <v>304</v>
      </c>
      <c r="B60" s="379" t="s">
        <v>120</v>
      </c>
      <c r="C60" s="380">
        <v>4393</v>
      </c>
      <c r="D60" s="380">
        <v>4332</v>
      </c>
      <c r="E60" s="380">
        <v>8725</v>
      </c>
      <c r="F60" s="380">
        <v>2320</v>
      </c>
      <c r="G60" s="380">
        <v>2183</v>
      </c>
      <c r="H60" s="380">
        <v>4503</v>
      </c>
      <c r="I60" s="380">
        <v>1326</v>
      </c>
      <c r="J60" s="380">
        <v>1770</v>
      </c>
      <c r="K60" s="380">
        <v>3096</v>
      </c>
      <c r="L60" s="380">
        <v>2059</v>
      </c>
      <c r="M60" s="380">
        <v>2252</v>
      </c>
      <c r="N60" s="380">
        <v>4311</v>
      </c>
      <c r="O60" s="380">
        <v>7896</v>
      </c>
      <c r="P60" s="380">
        <v>7570</v>
      </c>
      <c r="Q60" s="380">
        <v>15466</v>
      </c>
      <c r="R60" s="380">
        <v>80</v>
      </c>
      <c r="S60" s="380">
        <v>157</v>
      </c>
      <c r="T60" s="380">
        <v>237</v>
      </c>
      <c r="U60" s="380">
        <v>845</v>
      </c>
      <c r="V60" s="380">
        <v>1191</v>
      </c>
      <c r="W60" s="380">
        <v>2036</v>
      </c>
      <c r="X60" s="380">
        <v>2865</v>
      </c>
      <c r="Y60" s="380">
        <v>2652</v>
      </c>
      <c r="Z60" s="380">
        <v>5517</v>
      </c>
      <c r="AA60" s="380">
        <v>299</v>
      </c>
      <c r="AB60" s="380">
        <v>190</v>
      </c>
      <c r="AC60" s="380">
        <v>489</v>
      </c>
      <c r="AD60" s="380">
        <v>24</v>
      </c>
      <c r="AE60" s="380">
        <v>3</v>
      </c>
      <c r="AF60" s="380">
        <v>27</v>
      </c>
      <c r="AG60" s="381"/>
    </row>
    <row r="61" spans="1:33" x14ac:dyDescent="0.35">
      <c r="A61" s="382" t="s">
        <v>305</v>
      </c>
      <c r="B61" s="383" t="s">
        <v>123</v>
      </c>
      <c r="C61" s="384">
        <v>13630</v>
      </c>
      <c r="D61" s="384">
        <v>13429</v>
      </c>
      <c r="E61" s="384">
        <v>27059</v>
      </c>
      <c r="F61" s="384">
        <v>6095</v>
      </c>
      <c r="G61" s="384">
        <v>5932</v>
      </c>
      <c r="H61" s="384">
        <v>12027</v>
      </c>
      <c r="I61" s="384">
        <v>5402</v>
      </c>
      <c r="J61" s="384">
        <v>7088</v>
      </c>
      <c r="K61" s="384">
        <v>12490</v>
      </c>
      <c r="L61" s="384">
        <v>6308</v>
      </c>
      <c r="M61" s="384">
        <v>6895</v>
      </c>
      <c r="N61" s="384">
        <v>13203</v>
      </c>
      <c r="O61" s="384">
        <v>20999</v>
      </c>
      <c r="P61" s="384">
        <v>19212</v>
      </c>
      <c r="Q61" s="384">
        <v>40211</v>
      </c>
      <c r="R61" s="384">
        <v>157</v>
      </c>
      <c r="S61" s="384">
        <v>266</v>
      </c>
      <c r="T61" s="384">
        <v>423</v>
      </c>
      <c r="U61" s="384">
        <v>1380</v>
      </c>
      <c r="V61" s="384">
        <v>2253</v>
      </c>
      <c r="W61" s="384">
        <v>3633</v>
      </c>
      <c r="X61" s="384">
        <v>6687</v>
      </c>
      <c r="Y61" s="384">
        <v>6769</v>
      </c>
      <c r="Z61" s="384">
        <v>13456</v>
      </c>
      <c r="AA61" s="384">
        <v>884</v>
      </c>
      <c r="AB61" s="384">
        <v>581</v>
      </c>
      <c r="AC61" s="384">
        <v>1465</v>
      </c>
      <c r="AD61" s="384">
        <v>68</v>
      </c>
      <c r="AE61" s="384">
        <v>30</v>
      </c>
      <c r="AF61" s="384">
        <v>98</v>
      </c>
      <c r="AG61" s="385"/>
    </row>
    <row r="62" spans="1:33" x14ac:dyDescent="0.35">
      <c r="A62" s="386" t="s">
        <v>306</v>
      </c>
      <c r="B62" s="387" t="s">
        <v>123</v>
      </c>
      <c r="C62" s="388">
        <v>3389</v>
      </c>
      <c r="D62" s="388">
        <v>3319</v>
      </c>
      <c r="E62" s="388">
        <v>6708</v>
      </c>
      <c r="F62" s="388">
        <v>1474</v>
      </c>
      <c r="G62" s="388">
        <v>1414</v>
      </c>
      <c r="H62" s="388">
        <v>2888</v>
      </c>
      <c r="I62" s="388">
        <v>1339</v>
      </c>
      <c r="J62" s="388">
        <v>1767</v>
      </c>
      <c r="K62" s="388">
        <v>3106</v>
      </c>
      <c r="L62" s="388">
        <v>1666</v>
      </c>
      <c r="M62" s="388">
        <v>1800</v>
      </c>
      <c r="N62" s="388">
        <v>3466</v>
      </c>
      <c r="O62" s="388">
        <v>5402</v>
      </c>
      <c r="P62" s="388">
        <v>5223</v>
      </c>
      <c r="Q62" s="388">
        <v>10625</v>
      </c>
      <c r="R62" s="388">
        <v>42</v>
      </c>
      <c r="S62" s="388">
        <v>63</v>
      </c>
      <c r="T62" s="388">
        <v>105</v>
      </c>
      <c r="U62" s="388">
        <v>406</v>
      </c>
      <c r="V62" s="388">
        <v>638</v>
      </c>
      <c r="W62" s="388">
        <v>1044</v>
      </c>
      <c r="X62" s="388">
        <v>2038</v>
      </c>
      <c r="Y62" s="388">
        <v>1954</v>
      </c>
      <c r="Z62" s="388">
        <v>3992</v>
      </c>
      <c r="AA62" s="388">
        <v>219</v>
      </c>
      <c r="AB62" s="388">
        <v>162</v>
      </c>
      <c r="AC62" s="388">
        <v>381</v>
      </c>
      <c r="AD62" s="388">
        <v>15</v>
      </c>
      <c r="AE62" s="388">
        <v>9</v>
      </c>
      <c r="AF62" s="388">
        <v>24</v>
      </c>
      <c r="AG62" s="389"/>
    </row>
    <row r="63" spans="1:33" x14ac:dyDescent="0.35">
      <c r="A63" s="386" t="s">
        <v>307</v>
      </c>
      <c r="B63" s="387" t="s">
        <v>125</v>
      </c>
      <c r="C63" s="388">
        <v>1771</v>
      </c>
      <c r="D63" s="388">
        <v>1847</v>
      </c>
      <c r="E63" s="388">
        <v>3618</v>
      </c>
      <c r="F63" s="388">
        <v>817</v>
      </c>
      <c r="G63" s="388">
        <v>823</v>
      </c>
      <c r="H63" s="388">
        <v>1640</v>
      </c>
      <c r="I63" s="388">
        <v>718</v>
      </c>
      <c r="J63" s="388">
        <v>969</v>
      </c>
      <c r="K63" s="388">
        <v>1687</v>
      </c>
      <c r="L63" s="388">
        <v>861</v>
      </c>
      <c r="M63" s="388">
        <v>901</v>
      </c>
      <c r="N63" s="388">
        <v>1762</v>
      </c>
      <c r="O63" s="388">
        <v>1998</v>
      </c>
      <c r="P63" s="388">
        <v>2002</v>
      </c>
      <c r="Q63" s="388">
        <v>4000</v>
      </c>
      <c r="R63" s="388">
        <v>22</v>
      </c>
      <c r="S63" s="388">
        <v>52</v>
      </c>
      <c r="T63" s="388">
        <v>74</v>
      </c>
      <c r="U63" s="388">
        <v>206</v>
      </c>
      <c r="V63" s="388">
        <v>407</v>
      </c>
      <c r="W63" s="388">
        <v>613</v>
      </c>
      <c r="X63" s="388">
        <v>1558</v>
      </c>
      <c r="Y63" s="388">
        <v>1631</v>
      </c>
      <c r="Z63" s="388">
        <v>3189</v>
      </c>
      <c r="AA63" s="388">
        <v>349</v>
      </c>
      <c r="AB63" s="388">
        <v>201</v>
      </c>
      <c r="AC63" s="388">
        <v>550</v>
      </c>
      <c r="AD63" s="388">
        <v>25</v>
      </c>
      <c r="AE63" s="388">
        <v>15</v>
      </c>
      <c r="AF63" s="388">
        <v>40</v>
      </c>
      <c r="AG63" s="389"/>
    </row>
    <row r="64" spans="1:33" x14ac:dyDescent="0.35">
      <c r="A64" s="386" t="s">
        <v>308</v>
      </c>
      <c r="B64" s="387" t="s">
        <v>127</v>
      </c>
      <c r="C64" s="388">
        <v>3190</v>
      </c>
      <c r="D64" s="388">
        <v>3121</v>
      </c>
      <c r="E64" s="388">
        <v>6311</v>
      </c>
      <c r="F64" s="388">
        <v>1566</v>
      </c>
      <c r="G64" s="388">
        <v>1486</v>
      </c>
      <c r="H64" s="388">
        <v>3052</v>
      </c>
      <c r="I64" s="388">
        <v>975</v>
      </c>
      <c r="J64" s="388">
        <v>1395</v>
      </c>
      <c r="K64" s="388">
        <v>2370</v>
      </c>
      <c r="L64" s="388">
        <v>1437</v>
      </c>
      <c r="M64" s="388">
        <v>1634</v>
      </c>
      <c r="N64" s="388">
        <v>3071</v>
      </c>
      <c r="O64" s="388">
        <v>6036</v>
      </c>
      <c r="P64" s="388">
        <v>5441</v>
      </c>
      <c r="Q64" s="388">
        <v>11477</v>
      </c>
      <c r="R64" s="388">
        <v>50</v>
      </c>
      <c r="S64" s="388">
        <v>82</v>
      </c>
      <c r="T64" s="388">
        <v>132</v>
      </c>
      <c r="U64" s="388">
        <v>379</v>
      </c>
      <c r="V64" s="388">
        <v>546</v>
      </c>
      <c r="W64" s="388">
        <v>925</v>
      </c>
      <c r="X64" s="388">
        <v>1420</v>
      </c>
      <c r="Y64" s="388">
        <v>1466</v>
      </c>
      <c r="Z64" s="388">
        <v>2886</v>
      </c>
      <c r="AA64" s="388">
        <v>138</v>
      </c>
      <c r="AB64" s="388">
        <v>85</v>
      </c>
      <c r="AC64" s="388">
        <v>223</v>
      </c>
      <c r="AD64" s="388">
        <v>15</v>
      </c>
      <c r="AE64" s="388">
        <v>2</v>
      </c>
      <c r="AF64" s="388">
        <v>17</v>
      </c>
      <c r="AG64" s="389"/>
    </row>
    <row r="65" spans="1:33" x14ac:dyDescent="0.35">
      <c r="A65" s="386" t="s">
        <v>309</v>
      </c>
      <c r="B65" s="387" t="s">
        <v>129</v>
      </c>
      <c r="C65" s="388">
        <v>2361</v>
      </c>
      <c r="D65" s="388">
        <v>2290</v>
      </c>
      <c r="E65" s="388">
        <v>4651</v>
      </c>
      <c r="F65" s="388">
        <v>1056</v>
      </c>
      <c r="G65" s="388">
        <v>1056</v>
      </c>
      <c r="H65" s="388">
        <v>2112</v>
      </c>
      <c r="I65" s="388">
        <v>1245</v>
      </c>
      <c r="J65" s="388">
        <v>1523</v>
      </c>
      <c r="K65" s="388">
        <v>2768</v>
      </c>
      <c r="L65" s="388">
        <v>1050</v>
      </c>
      <c r="M65" s="388">
        <v>1181</v>
      </c>
      <c r="N65" s="388">
        <v>2231</v>
      </c>
      <c r="O65" s="388">
        <v>3532</v>
      </c>
      <c r="P65" s="388">
        <v>3000</v>
      </c>
      <c r="Q65" s="388">
        <v>6532</v>
      </c>
      <c r="R65" s="388">
        <v>22</v>
      </c>
      <c r="S65" s="388">
        <v>28</v>
      </c>
      <c r="T65" s="388">
        <v>50</v>
      </c>
      <c r="U65" s="388">
        <v>177</v>
      </c>
      <c r="V65" s="388">
        <v>340</v>
      </c>
      <c r="W65" s="388">
        <v>517</v>
      </c>
      <c r="X65" s="388">
        <v>723</v>
      </c>
      <c r="Y65" s="388">
        <v>741</v>
      </c>
      <c r="Z65" s="388">
        <v>1464</v>
      </c>
      <c r="AA65" s="388">
        <v>64</v>
      </c>
      <c r="AB65" s="388">
        <v>48</v>
      </c>
      <c r="AC65" s="388">
        <v>112</v>
      </c>
      <c r="AD65" s="388">
        <v>4</v>
      </c>
      <c r="AE65" s="388">
        <v>1</v>
      </c>
      <c r="AF65" s="388">
        <v>5</v>
      </c>
      <c r="AG65" s="389"/>
    </row>
    <row r="66" spans="1:33" ht="15" thickBot="1" x14ac:dyDescent="0.4">
      <c r="A66" s="390" t="s">
        <v>310</v>
      </c>
      <c r="B66" s="391" t="s">
        <v>131</v>
      </c>
      <c r="C66" s="392">
        <v>2919</v>
      </c>
      <c r="D66" s="392">
        <v>2852</v>
      </c>
      <c r="E66" s="392">
        <v>5771</v>
      </c>
      <c r="F66" s="392">
        <v>1182</v>
      </c>
      <c r="G66" s="392">
        <v>1153</v>
      </c>
      <c r="H66" s="392">
        <v>2335</v>
      </c>
      <c r="I66" s="392">
        <v>1125</v>
      </c>
      <c r="J66" s="392">
        <v>1434</v>
      </c>
      <c r="K66" s="392">
        <v>2559</v>
      </c>
      <c r="L66" s="392">
        <v>1294</v>
      </c>
      <c r="M66" s="392">
        <v>1379</v>
      </c>
      <c r="N66" s="392">
        <v>2673</v>
      </c>
      <c r="O66" s="392">
        <v>4031</v>
      </c>
      <c r="P66" s="392">
        <v>3546</v>
      </c>
      <c r="Q66" s="392">
        <v>7577</v>
      </c>
      <c r="R66" s="392">
        <v>21</v>
      </c>
      <c r="S66" s="392">
        <v>41</v>
      </c>
      <c r="T66" s="392">
        <v>62</v>
      </c>
      <c r="U66" s="392">
        <v>212</v>
      </c>
      <c r="V66" s="392">
        <v>322</v>
      </c>
      <c r="W66" s="392">
        <v>534</v>
      </c>
      <c r="X66" s="392">
        <v>948</v>
      </c>
      <c r="Y66" s="392">
        <v>977</v>
      </c>
      <c r="Z66" s="392">
        <v>1925</v>
      </c>
      <c r="AA66" s="392">
        <v>114</v>
      </c>
      <c r="AB66" s="392">
        <v>85</v>
      </c>
      <c r="AC66" s="392">
        <v>199</v>
      </c>
      <c r="AD66" s="392">
        <v>9</v>
      </c>
      <c r="AE66" s="392">
        <v>3</v>
      </c>
      <c r="AF66" s="392">
        <v>12</v>
      </c>
      <c r="AG66" s="393"/>
    </row>
    <row r="67" spans="1:33" x14ac:dyDescent="0.35">
      <c r="A67" s="370" t="s">
        <v>311</v>
      </c>
      <c r="B67" s="371" t="s">
        <v>138</v>
      </c>
      <c r="C67" s="372">
        <v>25367</v>
      </c>
      <c r="D67" s="372">
        <v>24081</v>
      </c>
      <c r="E67" s="372">
        <v>49448</v>
      </c>
      <c r="F67" s="372">
        <v>12800</v>
      </c>
      <c r="G67" s="372">
        <v>12276</v>
      </c>
      <c r="H67" s="372">
        <v>25076</v>
      </c>
      <c r="I67" s="372">
        <v>8639</v>
      </c>
      <c r="J67" s="372">
        <v>10829</v>
      </c>
      <c r="K67" s="372">
        <v>19468</v>
      </c>
      <c r="L67" s="372">
        <v>11295</v>
      </c>
      <c r="M67" s="372">
        <v>12534</v>
      </c>
      <c r="N67" s="372">
        <v>23829</v>
      </c>
      <c r="O67" s="372">
        <v>42095</v>
      </c>
      <c r="P67" s="372">
        <v>39496</v>
      </c>
      <c r="Q67" s="372">
        <v>81591</v>
      </c>
      <c r="R67" s="372">
        <v>374</v>
      </c>
      <c r="S67" s="372">
        <v>714</v>
      </c>
      <c r="T67" s="372">
        <v>1088</v>
      </c>
      <c r="U67" s="372">
        <v>3469</v>
      </c>
      <c r="V67" s="372">
        <v>4608</v>
      </c>
      <c r="W67" s="372">
        <v>8077</v>
      </c>
      <c r="X67" s="372">
        <v>11089</v>
      </c>
      <c r="Y67" s="372">
        <v>10599</v>
      </c>
      <c r="Z67" s="372">
        <v>21688</v>
      </c>
      <c r="AA67" s="372">
        <v>777</v>
      </c>
      <c r="AB67" s="372">
        <v>495</v>
      </c>
      <c r="AC67" s="372">
        <v>1272</v>
      </c>
      <c r="AD67" s="372">
        <v>39</v>
      </c>
      <c r="AE67" s="372">
        <v>24</v>
      </c>
      <c r="AF67" s="372">
        <v>63</v>
      </c>
      <c r="AG67" s="373"/>
    </row>
    <row r="68" spans="1:33" x14ac:dyDescent="0.35">
      <c r="A68" s="374" t="s">
        <v>312</v>
      </c>
      <c r="B68" s="375" t="s">
        <v>134</v>
      </c>
      <c r="C68" s="376">
        <v>7074</v>
      </c>
      <c r="D68" s="376">
        <v>6705</v>
      </c>
      <c r="E68" s="376">
        <v>13779</v>
      </c>
      <c r="F68" s="376">
        <v>3495</v>
      </c>
      <c r="G68" s="376">
        <v>3337</v>
      </c>
      <c r="H68" s="376">
        <v>6832</v>
      </c>
      <c r="I68" s="376">
        <v>2619</v>
      </c>
      <c r="J68" s="376">
        <v>3192</v>
      </c>
      <c r="K68" s="376">
        <v>5811</v>
      </c>
      <c r="L68" s="376">
        <v>3199</v>
      </c>
      <c r="M68" s="376">
        <v>3453</v>
      </c>
      <c r="N68" s="376">
        <v>6652</v>
      </c>
      <c r="O68" s="376">
        <v>10588</v>
      </c>
      <c r="P68" s="376">
        <v>9697</v>
      </c>
      <c r="Q68" s="376">
        <v>20285</v>
      </c>
      <c r="R68" s="376">
        <v>83</v>
      </c>
      <c r="S68" s="376">
        <v>157</v>
      </c>
      <c r="T68" s="376">
        <v>240</v>
      </c>
      <c r="U68" s="376">
        <v>801</v>
      </c>
      <c r="V68" s="376">
        <v>1059</v>
      </c>
      <c r="W68" s="376">
        <v>1860</v>
      </c>
      <c r="X68" s="376">
        <v>2646</v>
      </c>
      <c r="Y68" s="376">
        <v>2494</v>
      </c>
      <c r="Z68" s="376">
        <v>5140</v>
      </c>
      <c r="AA68" s="376">
        <v>179</v>
      </c>
      <c r="AB68" s="376">
        <v>119</v>
      </c>
      <c r="AC68" s="376">
        <v>298</v>
      </c>
      <c r="AD68" s="376">
        <v>6</v>
      </c>
      <c r="AE68" s="376">
        <v>3</v>
      </c>
      <c r="AF68" s="376">
        <v>9</v>
      </c>
      <c r="AG68" s="377"/>
    </row>
    <row r="69" spans="1:33" x14ac:dyDescent="0.35">
      <c r="A69" s="374" t="s">
        <v>313</v>
      </c>
      <c r="B69" s="375" t="s">
        <v>136</v>
      </c>
      <c r="C69" s="376">
        <v>5136</v>
      </c>
      <c r="D69" s="376">
        <v>5131</v>
      </c>
      <c r="E69" s="376">
        <v>10267</v>
      </c>
      <c r="F69" s="376">
        <v>2617</v>
      </c>
      <c r="G69" s="376">
        <v>2489</v>
      </c>
      <c r="H69" s="376">
        <v>5106</v>
      </c>
      <c r="I69" s="376">
        <v>1503</v>
      </c>
      <c r="J69" s="376">
        <v>1943</v>
      </c>
      <c r="K69" s="376">
        <v>3446</v>
      </c>
      <c r="L69" s="376">
        <v>2210</v>
      </c>
      <c r="M69" s="376">
        <v>2501</v>
      </c>
      <c r="N69" s="376">
        <v>4711</v>
      </c>
      <c r="O69" s="376">
        <v>8800</v>
      </c>
      <c r="P69" s="376">
        <v>8317</v>
      </c>
      <c r="Q69" s="376">
        <v>17117</v>
      </c>
      <c r="R69" s="376">
        <v>77</v>
      </c>
      <c r="S69" s="376">
        <v>158</v>
      </c>
      <c r="T69" s="376">
        <v>235</v>
      </c>
      <c r="U69" s="376">
        <v>839</v>
      </c>
      <c r="V69" s="376">
        <v>994</v>
      </c>
      <c r="W69" s="376">
        <v>1833</v>
      </c>
      <c r="X69" s="376">
        <v>2308</v>
      </c>
      <c r="Y69" s="376">
        <v>2233</v>
      </c>
      <c r="Z69" s="376">
        <v>4541</v>
      </c>
      <c r="AA69" s="376">
        <v>152</v>
      </c>
      <c r="AB69" s="376">
        <v>93</v>
      </c>
      <c r="AC69" s="376">
        <v>245</v>
      </c>
      <c r="AD69" s="376">
        <v>10</v>
      </c>
      <c r="AE69" s="376">
        <v>4</v>
      </c>
      <c r="AF69" s="376">
        <v>14</v>
      </c>
      <c r="AG69" s="377"/>
    </row>
    <row r="70" spans="1:33" x14ac:dyDescent="0.35">
      <c r="A70" s="374" t="s">
        <v>314</v>
      </c>
      <c r="B70" s="375" t="s">
        <v>138</v>
      </c>
      <c r="C70" s="376">
        <v>8903</v>
      </c>
      <c r="D70" s="376">
        <v>8284</v>
      </c>
      <c r="E70" s="376">
        <v>17187</v>
      </c>
      <c r="F70" s="376">
        <v>4355</v>
      </c>
      <c r="G70" s="376">
        <v>4294</v>
      </c>
      <c r="H70" s="376">
        <v>8649</v>
      </c>
      <c r="I70" s="376">
        <v>2724</v>
      </c>
      <c r="J70" s="376">
        <v>3481</v>
      </c>
      <c r="K70" s="376">
        <v>6205</v>
      </c>
      <c r="L70" s="376">
        <v>3763</v>
      </c>
      <c r="M70" s="376">
        <v>4252</v>
      </c>
      <c r="N70" s="376">
        <v>8015</v>
      </c>
      <c r="O70" s="376">
        <v>14848</v>
      </c>
      <c r="P70" s="376">
        <v>14404</v>
      </c>
      <c r="Q70" s="376">
        <v>29252</v>
      </c>
      <c r="R70" s="376">
        <v>155</v>
      </c>
      <c r="S70" s="376">
        <v>291</v>
      </c>
      <c r="T70" s="376">
        <v>446</v>
      </c>
      <c r="U70" s="376">
        <v>1345</v>
      </c>
      <c r="V70" s="376">
        <v>1815</v>
      </c>
      <c r="W70" s="376">
        <v>3160</v>
      </c>
      <c r="X70" s="376">
        <v>4408</v>
      </c>
      <c r="Y70" s="376">
        <v>4096</v>
      </c>
      <c r="Z70" s="376">
        <v>8504</v>
      </c>
      <c r="AA70" s="376">
        <v>327</v>
      </c>
      <c r="AB70" s="376">
        <v>203</v>
      </c>
      <c r="AC70" s="376">
        <v>530</v>
      </c>
      <c r="AD70" s="376">
        <v>15</v>
      </c>
      <c r="AE70" s="376">
        <v>11</v>
      </c>
      <c r="AF70" s="376">
        <v>26</v>
      </c>
      <c r="AG70" s="377"/>
    </row>
    <row r="71" spans="1:33" ht="15" thickBot="1" x14ac:dyDescent="0.4">
      <c r="A71" s="378" t="s">
        <v>315</v>
      </c>
      <c r="B71" s="379" t="s">
        <v>140</v>
      </c>
      <c r="C71" s="380">
        <v>4254</v>
      </c>
      <c r="D71" s="380">
        <v>3961</v>
      </c>
      <c r="E71" s="380">
        <v>8215</v>
      </c>
      <c r="F71" s="380">
        <v>2333</v>
      </c>
      <c r="G71" s="380">
        <v>2156</v>
      </c>
      <c r="H71" s="380">
        <v>4489</v>
      </c>
      <c r="I71" s="380">
        <v>1793</v>
      </c>
      <c r="J71" s="380">
        <v>2213</v>
      </c>
      <c r="K71" s="380">
        <v>4006</v>
      </c>
      <c r="L71" s="380">
        <v>2123</v>
      </c>
      <c r="M71" s="380">
        <v>2328</v>
      </c>
      <c r="N71" s="380">
        <v>4451</v>
      </c>
      <c r="O71" s="380">
        <v>7859</v>
      </c>
      <c r="P71" s="380">
        <v>7078</v>
      </c>
      <c r="Q71" s="380">
        <v>14937</v>
      </c>
      <c r="R71" s="380">
        <v>59</v>
      </c>
      <c r="S71" s="380">
        <v>108</v>
      </c>
      <c r="T71" s="380">
        <v>167</v>
      </c>
      <c r="U71" s="380">
        <v>484</v>
      </c>
      <c r="V71" s="380">
        <v>740</v>
      </c>
      <c r="W71" s="380">
        <v>1224</v>
      </c>
      <c r="X71" s="380">
        <v>1727</v>
      </c>
      <c r="Y71" s="380">
        <v>1776</v>
      </c>
      <c r="Z71" s="380">
        <v>3503</v>
      </c>
      <c r="AA71" s="380">
        <v>119</v>
      </c>
      <c r="AB71" s="380">
        <v>80</v>
      </c>
      <c r="AC71" s="380">
        <v>199</v>
      </c>
      <c r="AD71" s="380">
        <v>8</v>
      </c>
      <c r="AE71" s="380">
        <v>6</v>
      </c>
      <c r="AF71" s="380">
        <v>14</v>
      </c>
      <c r="AG71" s="381"/>
    </row>
    <row r="72" spans="1:33" x14ac:dyDescent="0.35">
      <c r="A72" s="382" t="s">
        <v>316</v>
      </c>
      <c r="B72" s="383" t="s">
        <v>148</v>
      </c>
      <c r="C72" s="384">
        <v>12358</v>
      </c>
      <c r="D72" s="384">
        <v>11787</v>
      </c>
      <c r="E72" s="384">
        <v>24145</v>
      </c>
      <c r="F72" s="384">
        <v>6435</v>
      </c>
      <c r="G72" s="384">
        <v>5909</v>
      </c>
      <c r="H72" s="384">
        <v>12344</v>
      </c>
      <c r="I72" s="384">
        <v>4458</v>
      </c>
      <c r="J72" s="384">
        <v>6157</v>
      </c>
      <c r="K72" s="384">
        <v>10615</v>
      </c>
      <c r="L72" s="384">
        <v>6539</v>
      </c>
      <c r="M72" s="384">
        <v>7340</v>
      </c>
      <c r="N72" s="384">
        <v>13879</v>
      </c>
      <c r="O72" s="384">
        <v>25720</v>
      </c>
      <c r="P72" s="384">
        <v>24003</v>
      </c>
      <c r="Q72" s="384">
        <v>49723</v>
      </c>
      <c r="R72" s="384">
        <v>235</v>
      </c>
      <c r="S72" s="384">
        <v>336</v>
      </c>
      <c r="T72" s="384">
        <v>571</v>
      </c>
      <c r="U72" s="384">
        <v>2089</v>
      </c>
      <c r="V72" s="384">
        <v>2949</v>
      </c>
      <c r="W72" s="384">
        <v>5038</v>
      </c>
      <c r="X72" s="384">
        <v>7997</v>
      </c>
      <c r="Y72" s="384">
        <v>8120</v>
      </c>
      <c r="Z72" s="384">
        <v>16117</v>
      </c>
      <c r="AA72" s="384">
        <v>865</v>
      </c>
      <c r="AB72" s="384">
        <v>582</v>
      </c>
      <c r="AC72" s="384">
        <v>1447</v>
      </c>
      <c r="AD72" s="384">
        <v>63</v>
      </c>
      <c r="AE72" s="384">
        <v>22</v>
      </c>
      <c r="AF72" s="384">
        <v>85</v>
      </c>
      <c r="AG72" s="385"/>
    </row>
    <row r="73" spans="1:33" x14ac:dyDescent="0.35">
      <c r="A73" s="386" t="s">
        <v>317</v>
      </c>
      <c r="B73" s="387" t="s">
        <v>144</v>
      </c>
      <c r="C73" s="388">
        <v>5575</v>
      </c>
      <c r="D73" s="388">
        <v>5235</v>
      </c>
      <c r="E73" s="388">
        <v>10810</v>
      </c>
      <c r="F73" s="388">
        <v>2711</v>
      </c>
      <c r="G73" s="388">
        <v>2477</v>
      </c>
      <c r="H73" s="388">
        <v>5188</v>
      </c>
      <c r="I73" s="388">
        <v>1916</v>
      </c>
      <c r="J73" s="388">
        <v>2541</v>
      </c>
      <c r="K73" s="388">
        <v>4457</v>
      </c>
      <c r="L73" s="388">
        <v>2753</v>
      </c>
      <c r="M73" s="388">
        <v>3089</v>
      </c>
      <c r="N73" s="388">
        <v>5842</v>
      </c>
      <c r="O73" s="388">
        <v>11304</v>
      </c>
      <c r="P73" s="388">
        <v>10967</v>
      </c>
      <c r="Q73" s="388">
        <v>22271</v>
      </c>
      <c r="R73" s="388">
        <v>127</v>
      </c>
      <c r="S73" s="388">
        <v>169</v>
      </c>
      <c r="T73" s="388">
        <v>296</v>
      </c>
      <c r="U73" s="388">
        <v>995</v>
      </c>
      <c r="V73" s="388">
        <v>1343</v>
      </c>
      <c r="W73" s="388">
        <v>2338</v>
      </c>
      <c r="X73" s="388">
        <v>3541</v>
      </c>
      <c r="Y73" s="388">
        <v>3563</v>
      </c>
      <c r="Z73" s="388">
        <v>7104</v>
      </c>
      <c r="AA73" s="388">
        <v>336</v>
      </c>
      <c r="AB73" s="388">
        <v>229</v>
      </c>
      <c r="AC73" s="388">
        <v>565</v>
      </c>
      <c r="AD73" s="388">
        <v>21</v>
      </c>
      <c r="AE73" s="388">
        <v>7</v>
      </c>
      <c r="AF73" s="388">
        <v>28</v>
      </c>
      <c r="AG73" s="389"/>
    </row>
    <row r="74" spans="1:33" x14ac:dyDescent="0.35">
      <c r="A74" s="386" t="s">
        <v>318</v>
      </c>
      <c r="B74" s="387" t="s">
        <v>146</v>
      </c>
      <c r="C74" s="388">
        <v>2152</v>
      </c>
      <c r="D74" s="388">
        <v>2092</v>
      </c>
      <c r="E74" s="388">
        <v>4244</v>
      </c>
      <c r="F74" s="388">
        <v>1157</v>
      </c>
      <c r="G74" s="388">
        <v>1101</v>
      </c>
      <c r="H74" s="388">
        <v>2258</v>
      </c>
      <c r="I74" s="388">
        <v>826</v>
      </c>
      <c r="J74" s="388">
        <v>1163</v>
      </c>
      <c r="K74" s="388">
        <v>1989</v>
      </c>
      <c r="L74" s="388">
        <v>1184</v>
      </c>
      <c r="M74" s="388">
        <v>1344</v>
      </c>
      <c r="N74" s="388">
        <v>2528</v>
      </c>
      <c r="O74" s="388">
        <v>4704</v>
      </c>
      <c r="P74" s="388">
        <v>4346</v>
      </c>
      <c r="Q74" s="388">
        <v>9050</v>
      </c>
      <c r="R74" s="388">
        <v>32</v>
      </c>
      <c r="S74" s="388">
        <v>45</v>
      </c>
      <c r="T74" s="388">
        <v>77</v>
      </c>
      <c r="U74" s="388">
        <v>331</v>
      </c>
      <c r="V74" s="388">
        <v>475</v>
      </c>
      <c r="W74" s="388">
        <v>806</v>
      </c>
      <c r="X74" s="388">
        <v>1277</v>
      </c>
      <c r="Y74" s="388">
        <v>1319</v>
      </c>
      <c r="Z74" s="388">
        <v>2596</v>
      </c>
      <c r="AA74" s="388">
        <v>130</v>
      </c>
      <c r="AB74" s="388">
        <v>107</v>
      </c>
      <c r="AC74" s="388">
        <v>237</v>
      </c>
      <c r="AD74" s="388">
        <v>14</v>
      </c>
      <c r="AE74" s="388">
        <v>5</v>
      </c>
      <c r="AF74" s="388">
        <v>19</v>
      </c>
      <c r="AG74" s="389"/>
    </row>
    <row r="75" spans="1:33" x14ac:dyDescent="0.35">
      <c r="A75" s="386" t="s">
        <v>319</v>
      </c>
      <c r="B75" s="387" t="s">
        <v>149</v>
      </c>
      <c r="C75" s="388">
        <v>1921</v>
      </c>
      <c r="D75" s="388">
        <v>1829</v>
      </c>
      <c r="E75" s="388">
        <v>3750</v>
      </c>
      <c r="F75" s="388">
        <v>1140</v>
      </c>
      <c r="G75" s="388">
        <v>1026</v>
      </c>
      <c r="H75" s="388">
        <v>2166</v>
      </c>
      <c r="I75" s="388">
        <v>666</v>
      </c>
      <c r="J75" s="388">
        <v>910</v>
      </c>
      <c r="K75" s="388">
        <v>1576</v>
      </c>
      <c r="L75" s="388">
        <v>1130</v>
      </c>
      <c r="M75" s="388">
        <v>1212</v>
      </c>
      <c r="N75" s="388">
        <v>2342</v>
      </c>
      <c r="O75" s="388">
        <v>3934</v>
      </c>
      <c r="P75" s="388">
        <v>3635</v>
      </c>
      <c r="Q75" s="388">
        <v>7569</v>
      </c>
      <c r="R75" s="388">
        <v>32</v>
      </c>
      <c r="S75" s="388">
        <v>56</v>
      </c>
      <c r="T75" s="388">
        <v>88</v>
      </c>
      <c r="U75" s="388">
        <v>377</v>
      </c>
      <c r="V75" s="388">
        <v>602</v>
      </c>
      <c r="W75" s="388">
        <v>979</v>
      </c>
      <c r="X75" s="388">
        <v>1837</v>
      </c>
      <c r="Y75" s="388">
        <v>1825</v>
      </c>
      <c r="Z75" s="388">
        <v>3662</v>
      </c>
      <c r="AA75" s="388">
        <v>265</v>
      </c>
      <c r="AB75" s="388">
        <v>158</v>
      </c>
      <c r="AC75" s="388">
        <v>423</v>
      </c>
      <c r="AD75" s="388">
        <v>15</v>
      </c>
      <c r="AE75" s="388">
        <v>6</v>
      </c>
      <c r="AF75" s="388">
        <v>21</v>
      </c>
      <c r="AG75" s="389"/>
    </row>
    <row r="76" spans="1:33" ht="15" thickBot="1" x14ac:dyDescent="0.4">
      <c r="A76" s="394" t="s">
        <v>320</v>
      </c>
      <c r="B76" s="395" t="s">
        <v>151</v>
      </c>
      <c r="C76" s="396">
        <v>2710</v>
      </c>
      <c r="D76" s="396">
        <v>2631</v>
      </c>
      <c r="E76" s="396">
        <v>5341</v>
      </c>
      <c r="F76" s="396">
        <v>1427</v>
      </c>
      <c r="G76" s="396">
        <v>1305</v>
      </c>
      <c r="H76" s="396">
        <v>2732</v>
      </c>
      <c r="I76" s="396">
        <v>1050</v>
      </c>
      <c r="J76" s="396">
        <v>1543</v>
      </c>
      <c r="K76" s="396">
        <v>2593</v>
      </c>
      <c r="L76" s="396">
        <v>1472</v>
      </c>
      <c r="M76" s="396">
        <v>1695</v>
      </c>
      <c r="N76" s="396">
        <v>3167</v>
      </c>
      <c r="O76" s="396">
        <v>5778</v>
      </c>
      <c r="P76" s="396">
        <v>5055</v>
      </c>
      <c r="Q76" s="396">
        <v>10833</v>
      </c>
      <c r="R76" s="396">
        <v>44</v>
      </c>
      <c r="S76" s="396">
        <v>66</v>
      </c>
      <c r="T76" s="396">
        <v>110</v>
      </c>
      <c r="U76" s="396">
        <v>386</v>
      </c>
      <c r="V76" s="396">
        <v>529</v>
      </c>
      <c r="W76" s="396">
        <v>915</v>
      </c>
      <c r="X76" s="396">
        <v>1342</v>
      </c>
      <c r="Y76" s="396">
        <v>1413</v>
      </c>
      <c r="Z76" s="396">
        <v>2755</v>
      </c>
      <c r="AA76" s="396">
        <v>134</v>
      </c>
      <c r="AB76" s="396">
        <v>88</v>
      </c>
      <c r="AC76" s="396">
        <v>222</v>
      </c>
      <c r="AD76" s="396">
        <v>13</v>
      </c>
      <c r="AE76" s="396">
        <v>4</v>
      </c>
      <c r="AF76" s="396">
        <v>17</v>
      </c>
      <c r="AG76" s="397"/>
    </row>
  </sheetData>
  <mergeCells count="10">
    <mergeCell ref="U6:W6"/>
    <mergeCell ref="X6:Z6"/>
    <mergeCell ref="AA6:AC6"/>
    <mergeCell ref="AD6:AF6"/>
    <mergeCell ref="C6:E6"/>
    <mergeCell ref="F6:H6"/>
    <mergeCell ref="I6:K6"/>
    <mergeCell ref="L6:N6"/>
    <mergeCell ref="O6:Q6"/>
    <mergeCell ref="R6:T6"/>
  </mergeCells>
  <pageMargins left="0.78740157480314965" right="0.70866141732283472" top="0.11811023622047245" bottom="0.19685039370078741" header="0.31496062992125984" footer="0.31496062992125984"/>
  <pageSetup paperSize="9" scale="34" orientation="landscape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6EF70-9B6F-481E-ACCA-DE5CDF4E9850}">
  <sheetPr>
    <tabColor rgb="FF00B050"/>
  </sheetPr>
  <dimension ref="A1:LO74"/>
  <sheetViews>
    <sheetView view="pageBreakPreview" zoomScale="60" zoomScaleNormal="60" workbookViewId="0">
      <selection activeCell="H23" sqref="H23"/>
    </sheetView>
  </sheetViews>
  <sheetFormatPr defaultColWidth="8.7265625" defaultRowHeight="14.5" x14ac:dyDescent="0.35"/>
  <cols>
    <col min="1" max="1" width="6.7265625" style="294" customWidth="1"/>
    <col min="2" max="2" width="9.81640625" style="294" bestFit="1" customWidth="1"/>
    <col min="3" max="3" width="18.81640625" style="294" bestFit="1" customWidth="1"/>
    <col min="4" max="324" width="10.54296875" style="294" customWidth="1"/>
    <col min="325" max="327" width="14.453125" style="294" customWidth="1"/>
    <col min="328" max="16384" width="8.7265625" style="294"/>
  </cols>
  <sheetData>
    <row r="1" spans="1:327" s="289" customFormat="1" ht="22.5" x14ac:dyDescent="0.45">
      <c r="A1" s="288" t="s">
        <v>745</v>
      </c>
      <c r="B1" s="501"/>
      <c r="C1" s="501"/>
      <c r="D1" s="501"/>
      <c r="E1" s="501"/>
      <c r="F1" s="501"/>
      <c r="G1" s="501"/>
      <c r="H1" s="501"/>
      <c r="I1" s="501"/>
      <c r="J1" s="501"/>
      <c r="K1" s="501"/>
      <c r="L1" s="501"/>
      <c r="M1" s="501"/>
      <c r="N1" s="501"/>
      <c r="O1" s="501"/>
      <c r="P1" s="501"/>
      <c r="Q1" s="501"/>
      <c r="R1" s="501"/>
      <c r="S1" s="501"/>
      <c r="T1" s="501"/>
      <c r="U1" s="501"/>
      <c r="V1" s="501"/>
      <c r="W1" s="501"/>
      <c r="X1" s="501"/>
      <c r="Y1" s="501"/>
      <c r="Z1" s="501"/>
      <c r="AA1" s="501"/>
      <c r="AB1" s="501"/>
      <c r="AC1" s="501"/>
      <c r="AD1" s="501"/>
      <c r="AE1" s="501"/>
      <c r="AF1" s="501"/>
      <c r="AG1" s="501"/>
      <c r="AH1" s="501"/>
      <c r="AI1" s="501"/>
      <c r="AJ1" s="501"/>
      <c r="AK1" s="501"/>
      <c r="AM1" s="501"/>
      <c r="AP1" s="501"/>
      <c r="AS1" s="501"/>
      <c r="AV1" s="501"/>
      <c r="AY1" s="501"/>
      <c r="BB1" s="501"/>
      <c r="BE1" s="501"/>
      <c r="BH1" s="501"/>
      <c r="BK1" s="501"/>
      <c r="BN1" s="501"/>
      <c r="BQ1" s="501"/>
      <c r="BT1" s="501"/>
      <c r="BW1" s="501"/>
      <c r="BZ1" s="501"/>
      <c r="CC1" s="501"/>
      <c r="CF1" s="501"/>
      <c r="CI1" s="501"/>
      <c r="CL1" s="501"/>
      <c r="CO1" s="501"/>
      <c r="CR1" s="501"/>
      <c r="CU1" s="501"/>
      <c r="CX1" s="501"/>
      <c r="DA1" s="501"/>
      <c r="DD1" s="501"/>
      <c r="DG1" s="501"/>
      <c r="DJ1" s="501"/>
      <c r="DM1" s="501"/>
      <c r="DP1" s="501"/>
      <c r="DS1" s="501"/>
      <c r="DV1" s="501"/>
      <c r="DY1" s="501"/>
      <c r="EB1" s="501"/>
      <c r="EE1" s="501"/>
      <c r="EH1" s="501"/>
      <c r="EK1" s="501"/>
      <c r="EN1" s="501"/>
      <c r="EQ1" s="501"/>
      <c r="ET1" s="501"/>
      <c r="EW1" s="501"/>
      <c r="EZ1" s="501"/>
      <c r="FC1" s="501"/>
      <c r="FF1" s="501"/>
      <c r="FI1" s="501"/>
      <c r="FL1" s="501"/>
      <c r="FO1" s="501"/>
      <c r="FR1" s="501"/>
      <c r="FU1" s="501"/>
      <c r="FX1" s="501"/>
      <c r="GA1" s="501"/>
      <c r="GD1" s="501"/>
      <c r="GG1" s="501"/>
      <c r="GJ1" s="501"/>
      <c r="GM1" s="501"/>
      <c r="GP1" s="501"/>
      <c r="GS1" s="501"/>
      <c r="GV1" s="501"/>
      <c r="GY1" s="501"/>
      <c r="HB1" s="501"/>
      <c r="HE1" s="501"/>
      <c r="HH1" s="501"/>
      <c r="HK1" s="501"/>
      <c r="HN1" s="501"/>
      <c r="HQ1" s="501"/>
      <c r="HT1" s="501"/>
      <c r="HW1" s="501"/>
      <c r="HZ1" s="501"/>
      <c r="IC1" s="501"/>
      <c r="IF1" s="501"/>
      <c r="II1" s="501"/>
      <c r="IL1" s="501"/>
      <c r="IO1" s="501"/>
      <c r="IR1" s="501"/>
      <c r="IU1" s="501"/>
      <c r="IX1" s="501"/>
      <c r="JA1" s="501"/>
      <c r="JD1" s="501"/>
      <c r="JG1" s="501"/>
      <c r="JJ1" s="501"/>
      <c r="JM1" s="501"/>
      <c r="JP1" s="501"/>
      <c r="JS1" s="501"/>
      <c r="JV1" s="501"/>
      <c r="JY1" s="501"/>
      <c r="KB1" s="501"/>
      <c r="KE1" s="501"/>
      <c r="KH1" s="501"/>
      <c r="KK1" s="501"/>
      <c r="KL1" s="501"/>
      <c r="KM1" s="501"/>
      <c r="KN1" s="501"/>
      <c r="KO1" s="501"/>
      <c r="KP1" s="501"/>
      <c r="KQ1" s="501"/>
      <c r="KR1" s="501"/>
      <c r="KS1" s="501"/>
      <c r="KT1" s="501"/>
      <c r="KU1" s="501"/>
      <c r="KV1" s="501"/>
      <c r="KW1" s="501"/>
      <c r="KX1" s="501"/>
      <c r="KY1" s="501"/>
      <c r="KZ1" s="501"/>
      <c r="LA1" s="501"/>
      <c r="LB1" s="501"/>
      <c r="LC1" s="501"/>
      <c r="LD1" s="501"/>
      <c r="LE1" s="501"/>
      <c r="LF1" s="501"/>
      <c r="LG1" s="501"/>
      <c r="LH1" s="501"/>
      <c r="LI1" s="501"/>
      <c r="LL1" s="501"/>
    </row>
    <row r="2" spans="1:327" s="289" customFormat="1" ht="23" thickBot="1" x14ac:dyDescent="0.5">
      <c r="A2" s="288"/>
      <c r="B2" s="501"/>
      <c r="C2" s="501"/>
      <c r="D2" s="501"/>
      <c r="E2" s="501"/>
      <c r="F2" s="501"/>
      <c r="G2" s="501"/>
      <c r="H2" s="501"/>
      <c r="I2" s="501"/>
      <c r="J2" s="501"/>
      <c r="K2" s="501"/>
      <c r="L2" s="501"/>
      <c r="M2" s="501"/>
      <c r="N2" s="501" t="s">
        <v>157</v>
      </c>
      <c r="O2" s="501"/>
      <c r="P2" s="501"/>
      <c r="Q2" s="501"/>
      <c r="R2" s="501"/>
      <c r="S2" s="501"/>
      <c r="T2" s="501"/>
      <c r="U2" s="501"/>
      <c r="V2" s="501"/>
      <c r="W2" s="501"/>
      <c r="X2" s="501"/>
      <c r="Y2" s="501"/>
      <c r="Z2" s="501"/>
      <c r="AA2" s="501"/>
      <c r="AB2" s="501"/>
      <c r="AC2" s="501"/>
      <c r="AD2" s="501"/>
      <c r="AE2" s="501"/>
      <c r="AF2" s="501"/>
      <c r="AG2" s="501"/>
      <c r="AH2" s="501"/>
      <c r="AI2" s="501"/>
      <c r="AJ2" s="501"/>
      <c r="AK2" s="501"/>
      <c r="AM2" s="501"/>
      <c r="AP2" s="501"/>
      <c r="AS2" s="501"/>
      <c r="AV2" s="501"/>
      <c r="AY2" s="501"/>
      <c r="BB2" s="501"/>
      <c r="BE2" s="501"/>
      <c r="BH2" s="501"/>
      <c r="BK2" s="501"/>
      <c r="BN2" s="501"/>
      <c r="BQ2" s="501"/>
      <c r="BT2" s="501"/>
      <c r="BW2" s="501"/>
      <c r="BZ2" s="501"/>
      <c r="CC2" s="501"/>
      <c r="CF2" s="501"/>
      <c r="CI2" s="501"/>
      <c r="CL2" s="501"/>
      <c r="CO2" s="501"/>
      <c r="CR2" s="501"/>
      <c r="CU2" s="501"/>
      <c r="CX2" s="501"/>
      <c r="DA2" s="501"/>
      <c r="DD2" s="501"/>
      <c r="DG2" s="501"/>
      <c r="DJ2" s="501"/>
      <c r="DM2" s="501"/>
      <c r="DP2" s="501"/>
      <c r="DS2" s="501"/>
      <c r="DV2" s="501"/>
      <c r="DY2" s="501"/>
      <c r="EB2" s="501"/>
      <c r="EE2" s="501"/>
      <c r="EH2" s="501"/>
      <c r="EK2" s="501"/>
      <c r="EN2" s="501"/>
      <c r="EQ2" s="501"/>
      <c r="ET2" s="501"/>
      <c r="EW2" s="501"/>
      <c r="EZ2" s="501"/>
      <c r="FC2" s="501"/>
      <c r="FF2" s="501"/>
      <c r="FI2" s="501"/>
      <c r="FL2" s="501"/>
      <c r="FO2" s="501"/>
      <c r="FR2" s="501"/>
      <c r="FU2" s="501"/>
      <c r="FX2" s="501"/>
      <c r="GA2" s="501"/>
      <c r="GD2" s="501"/>
      <c r="GG2" s="501"/>
      <c r="GJ2" s="501"/>
      <c r="GM2" s="501"/>
      <c r="GP2" s="501"/>
      <c r="GS2" s="501"/>
      <c r="GV2" s="501"/>
      <c r="GY2" s="501"/>
      <c r="HB2" s="501"/>
      <c r="HE2" s="501"/>
      <c r="HH2" s="501"/>
      <c r="HK2" s="501"/>
      <c r="HN2" s="501"/>
      <c r="HQ2" s="501"/>
      <c r="HT2" s="501"/>
      <c r="HW2" s="501"/>
      <c r="HZ2" s="501"/>
      <c r="IC2" s="501"/>
      <c r="IF2" s="501"/>
      <c r="II2" s="501"/>
      <c r="IL2" s="501"/>
      <c r="IO2" s="501"/>
      <c r="IR2" s="501"/>
      <c r="IU2" s="501"/>
      <c r="IX2" s="501"/>
      <c r="JA2" s="501"/>
      <c r="JD2" s="501"/>
      <c r="JG2" s="501"/>
      <c r="JJ2" s="501"/>
      <c r="JM2" s="501"/>
      <c r="JP2" s="501"/>
      <c r="JS2" s="501"/>
      <c r="JV2" s="501"/>
      <c r="JY2" s="501"/>
      <c r="KB2" s="501"/>
      <c r="KE2" s="501"/>
      <c r="KH2" s="501"/>
      <c r="KK2" s="501"/>
      <c r="KL2" s="501"/>
      <c r="KM2" s="501"/>
      <c r="KN2" s="501"/>
      <c r="KO2" s="501"/>
      <c r="KP2" s="501"/>
      <c r="KQ2" s="501"/>
      <c r="KR2" s="501"/>
      <c r="KS2" s="501"/>
      <c r="KT2" s="501"/>
      <c r="KU2" s="501"/>
      <c r="KV2" s="501"/>
      <c r="KW2" s="501"/>
      <c r="KX2" s="501"/>
      <c r="KY2" s="501"/>
      <c r="KZ2" s="501"/>
      <c r="LA2" s="501"/>
      <c r="LB2" s="501"/>
      <c r="LC2" s="501"/>
      <c r="LD2" s="501"/>
      <c r="LE2" s="501"/>
      <c r="LF2" s="501"/>
      <c r="LG2" s="501"/>
      <c r="LH2" s="501"/>
      <c r="LI2" s="501"/>
      <c r="LL2" s="501"/>
    </row>
    <row r="3" spans="1:327" ht="70.5" thickBot="1" x14ac:dyDescent="0.4">
      <c r="A3" s="418" t="s">
        <v>746</v>
      </c>
      <c r="B3" s="420" t="s">
        <v>14</v>
      </c>
      <c r="C3" s="419" t="s">
        <v>15</v>
      </c>
      <c r="D3" s="418" t="s">
        <v>747</v>
      </c>
      <c r="E3" s="420" t="s">
        <v>748</v>
      </c>
      <c r="F3" s="421" t="s">
        <v>31</v>
      </c>
      <c r="G3" s="422" t="s">
        <v>749</v>
      </c>
      <c r="H3" s="420" t="s">
        <v>750</v>
      </c>
      <c r="I3" s="421" t="s">
        <v>31</v>
      </c>
      <c r="J3" s="420" t="s">
        <v>751</v>
      </c>
      <c r="K3" s="420" t="s">
        <v>752</v>
      </c>
      <c r="L3" s="421" t="s">
        <v>31</v>
      </c>
      <c r="M3" s="420" t="s">
        <v>753</v>
      </c>
      <c r="N3" s="420" t="s">
        <v>754</v>
      </c>
      <c r="O3" s="421" t="s">
        <v>31</v>
      </c>
      <c r="P3" s="420" t="s">
        <v>755</v>
      </c>
      <c r="Q3" s="420" t="s">
        <v>756</v>
      </c>
      <c r="R3" s="421" t="s">
        <v>31</v>
      </c>
      <c r="S3" s="420" t="s">
        <v>757</v>
      </c>
      <c r="T3" s="420" t="s">
        <v>758</v>
      </c>
      <c r="U3" s="421" t="s">
        <v>31</v>
      </c>
      <c r="V3" s="420" t="s">
        <v>759</v>
      </c>
      <c r="W3" s="420" t="s">
        <v>760</v>
      </c>
      <c r="X3" s="421" t="s">
        <v>31</v>
      </c>
      <c r="Y3" s="420" t="s">
        <v>761</v>
      </c>
      <c r="Z3" s="420" t="s">
        <v>762</v>
      </c>
      <c r="AA3" s="421" t="s">
        <v>31</v>
      </c>
      <c r="AB3" s="420" t="s">
        <v>763</v>
      </c>
      <c r="AC3" s="420" t="s">
        <v>764</v>
      </c>
      <c r="AD3" s="421" t="s">
        <v>31</v>
      </c>
      <c r="AE3" s="420" t="s">
        <v>765</v>
      </c>
      <c r="AF3" s="420" t="s">
        <v>766</v>
      </c>
      <c r="AG3" s="421" t="s">
        <v>31</v>
      </c>
      <c r="AH3" s="420" t="s">
        <v>767</v>
      </c>
      <c r="AI3" s="420" t="s">
        <v>768</v>
      </c>
      <c r="AJ3" s="421" t="s">
        <v>31</v>
      </c>
      <c r="AK3" s="420" t="s">
        <v>769</v>
      </c>
      <c r="AL3" s="420" t="s">
        <v>770</v>
      </c>
      <c r="AM3" s="421" t="s">
        <v>31</v>
      </c>
      <c r="AN3" s="420" t="s">
        <v>771</v>
      </c>
      <c r="AO3" s="420" t="s">
        <v>772</v>
      </c>
      <c r="AP3" s="421" t="s">
        <v>31</v>
      </c>
      <c r="AQ3" s="420" t="s">
        <v>773</v>
      </c>
      <c r="AR3" s="420" t="s">
        <v>774</v>
      </c>
      <c r="AS3" s="421" t="s">
        <v>31</v>
      </c>
      <c r="AT3" s="420" t="s">
        <v>775</v>
      </c>
      <c r="AU3" s="420" t="s">
        <v>776</v>
      </c>
      <c r="AV3" s="421" t="s">
        <v>31</v>
      </c>
      <c r="AW3" s="420" t="s">
        <v>777</v>
      </c>
      <c r="AX3" s="420" t="s">
        <v>778</v>
      </c>
      <c r="AY3" s="421" t="s">
        <v>31</v>
      </c>
      <c r="AZ3" s="420" t="s">
        <v>779</v>
      </c>
      <c r="BA3" s="420" t="s">
        <v>780</v>
      </c>
      <c r="BB3" s="421" t="s">
        <v>31</v>
      </c>
      <c r="BC3" s="420" t="s">
        <v>781</v>
      </c>
      <c r="BD3" s="420" t="s">
        <v>782</v>
      </c>
      <c r="BE3" s="421" t="s">
        <v>31</v>
      </c>
      <c r="BF3" s="420" t="s">
        <v>783</v>
      </c>
      <c r="BG3" s="420" t="s">
        <v>784</v>
      </c>
      <c r="BH3" s="421" t="s">
        <v>31</v>
      </c>
      <c r="BI3" s="420" t="s">
        <v>785</v>
      </c>
      <c r="BJ3" s="420" t="s">
        <v>786</v>
      </c>
      <c r="BK3" s="421" t="s">
        <v>31</v>
      </c>
      <c r="BL3" s="420" t="s">
        <v>787</v>
      </c>
      <c r="BM3" s="420" t="s">
        <v>788</v>
      </c>
      <c r="BN3" s="421" t="s">
        <v>31</v>
      </c>
      <c r="BO3" s="420" t="s">
        <v>789</v>
      </c>
      <c r="BP3" s="420" t="s">
        <v>790</v>
      </c>
      <c r="BQ3" s="421" t="s">
        <v>31</v>
      </c>
      <c r="BR3" s="420" t="s">
        <v>791</v>
      </c>
      <c r="BS3" s="420" t="s">
        <v>792</v>
      </c>
      <c r="BT3" s="421" t="s">
        <v>31</v>
      </c>
      <c r="BU3" s="420" t="s">
        <v>793</v>
      </c>
      <c r="BV3" s="420" t="s">
        <v>794</v>
      </c>
      <c r="BW3" s="421" t="s">
        <v>31</v>
      </c>
      <c r="BX3" s="420" t="s">
        <v>795</v>
      </c>
      <c r="BY3" s="420" t="s">
        <v>796</v>
      </c>
      <c r="BZ3" s="421" t="s">
        <v>31</v>
      </c>
      <c r="CA3" s="420" t="s">
        <v>797</v>
      </c>
      <c r="CB3" s="420" t="s">
        <v>798</v>
      </c>
      <c r="CC3" s="421" t="s">
        <v>31</v>
      </c>
      <c r="CD3" s="420" t="s">
        <v>799</v>
      </c>
      <c r="CE3" s="420" t="s">
        <v>800</v>
      </c>
      <c r="CF3" s="421" t="s">
        <v>31</v>
      </c>
      <c r="CG3" s="420" t="s">
        <v>801</v>
      </c>
      <c r="CH3" s="420" t="s">
        <v>802</v>
      </c>
      <c r="CI3" s="421" t="s">
        <v>31</v>
      </c>
      <c r="CJ3" s="420" t="s">
        <v>803</v>
      </c>
      <c r="CK3" s="420" t="s">
        <v>804</v>
      </c>
      <c r="CL3" s="421" t="s">
        <v>31</v>
      </c>
      <c r="CM3" s="420" t="s">
        <v>805</v>
      </c>
      <c r="CN3" s="420" t="s">
        <v>806</v>
      </c>
      <c r="CO3" s="421" t="s">
        <v>31</v>
      </c>
      <c r="CP3" s="420" t="s">
        <v>807</v>
      </c>
      <c r="CQ3" s="420" t="s">
        <v>808</v>
      </c>
      <c r="CR3" s="421" t="s">
        <v>31</v>
      </c>
      <c r="CS3" s="420" t="s">
        <v>809</v>
      </c>
      <c r="CT3" s="420" t="s">
        <v>810</v>
      </c>
      <c r="CU3" s="421" t="s">
        <v>31</v>
      </c>
      <c r="CV3" s="420" t="s">
        <v>811</v>
      </c>
      <c r="CW3" s="420" t="s">
        <v>812</v>
      </c>
      <c r="CX3" s="421" t="s">
        <v>31</v>
      </c>
      <c r="CY3" s="420" t="s">
        <v>813</v>
      </c>
      <c r="CZ3" s="420" t="s">
        <v>814</v>
      </c>
      <c r="DA3" s="421" t="s">
        <v>31</v>
      </c>
      <c r="DB3" s="420" t="s">
        <v>815</v>
      </c>
      <c r="DC3" s="420" t="s">
        <v>816</v>
      </c>
      <c r="DD3" s="421" t="s">
        <v>31</v>
      </c>
      <c r="DE3" s="420" t="s">
        <v>817</v>
      </c>
      <c r="DF3" s="420" t="s">
        <v>818</v>
      </c>
      <c r="DG3" s="421" t="s">
        <v>31</v>
      </c>
      <c r="DH3" s="420" t="s">
        <v>819</v>
      </c>
      <c r="DI3" s="420" t="s">
        <v>820</v>
      </c>
      <c r="DJ3" s="421" t="s">
        <v>31</v>
      </c>
      <c r="DK3" s="420" t="s">
        <v>821</v>
      </c>
      <c r="DL3" s="420" t="s">
        <v>822</v>
      </c>
      <c r="DM3" s="421" t="s">
        <v>31</v>
      </c>
      <c r="DN3" s="420" t="s">
        <v>823</v>
      </c>
      <c r="DO3" s="420" t="s">
        <v>824</v>
      </c>
      <c r="DP3" s="421" t="s">
        <v>31</v>
      </c>
      <c r="DQ3" s="420" t="s">
        <v>825</v>
      </c>
      <c r="DR3" s="420" t="s">
        <v>826</v>
      </c>
      <c r="DS3" s="421" t="s">
        <v>31</v>
      </c>
      <c r="DT3" s="420" t="s">
        <v>827</v>
      </c>
      <c r="DU3" s="420" t="s">
        <v>828</v>
      </c>
      <c r="DV3" s="421" t="s">
        <v>31</v>
      </c>
      <c r="DW3" s="420" t="s">
        <v>829</v>
      </c>
      <c r="DX3" s="420" t="s">
        <v>830</v>
      </c>
      <c r="DY3" s="421" t="s">
        <v>31</v>
      </c>
      <c r="DZ3" s="420" t="s">
        <v>831</v>
      </c>
      <c r="EA3" s="420" t="s">
        <v>832</v>
      </c>
      <c r="EB3" s="421" t="s">
        <v>31</v>
      </c>
      <c r="EC3" s="420" t="s">
        <v>833</v>
      </c>
      <c r="ED3" s="420" t="s">
        <v>834</v>
      </c>
      <c r="EE3" s="421" t="s">
        <v>31</v>
      </c>
      <c r="EF3" s="420" t="s">
        <v>835</v>
      </c>
      <c r="EG3" s="420" t="s">
        <v>836</v>
      </c>
      <c r="EH3" s="421" t="s">
        <v>31</v>
      </c>
      <c r="EI3" s="420" t="s">
        <v>837</v>
      </c>
      <c r="EJ3" s="420" t="s">
        <v>838</v>
      </c>
      <c r="EK3" s="421" t="s">
        <v>31</v>
      </c>
      <c r="EL3" s="420" t="s">
        <v>839</v>
      </c>
      <c r="EM3" s="420" t="s">
        <v>840</v>
      </c>
      <c r="EN3" s="421" t="s">
        <v>31</v>
      </c>
      <c r="EO3" s="420" t="s">
        <v>841</v>
      </c>
      <c r="EP3" s="420" t="s">
        <v>842</v>
      </c>
      <c r="EQ3" s="421" t="s">
        <v>31</v>
      </c>
      <c r="ER3" s="420" t="s">
        <v>843</v>
      </c>
      <c r="ES3" s="420" t="s">
        <v>844</v>
      </c>
      <c r="ET3" s="421" t="s">
        <v>31</v>
      </c>
      <c r="EU3" s="420" t="s">
        <v>845</v>
      </c>
      <c r="EV3" s="420" t="s">
        <v>846</v>
      </c>
      <c r="EW3" s="421" t="s">
        <v>31</v>
      </c>
      <c r="EX3" s="420" t="s">
        <v>847</v>
      </c>
      <c r="EY3" s="420" t="s">
        <v>848</v>
      </c>
      <c r="EZ3" s="421" t="s">
        <v>31</v>
      </c>
      <c r="FA3" s="420" t="s">
        <v>849</v>
      </c>
      <c r="FB3" s="420" t="s">
        <v>850</v>
      </c>
      <c r="FC3" s="421" t="s">
        <v>31</v>
      </c>
      <c r="FD3" s="420" t="s">
        <v>851</v>
      </c>
      <c r="FE3" s="420" t="s">
        <v>852</v>
      </c>
      <c r="FF3" s="421" t="s">
        <v>31</v>
      </c>
      <c r="FG3" s="420" t="s">
        <v>853</v>
      </c>
      <c r="FH3" s="420" t="s">
        <v>854</v>
      </c>
      <c r="FI3" s="421" t="s">
        <v>31</v>
      </c>
      <c r="FJ3" s="420" t="s">
        <v>855</v>
      </c>
      <c r="FK3" s="420" t="s">
        <v>856</v>
      </c>
      <c r="FL3" s="421" t="s">
        <v>31</v>
      </c>
      <c r="FM3" s="420" t="s">
        <v>857</v>
      </c>
      <c r="FN3" s="420" t="s">
        <v>858</v>
      </c>
      <c r="FO3" s="421" t="s">
        <v>31</v>
      </c>
      <c r="FP3" s="420" t="s">
        <v>859</v>
      </c>
      <c r="FQ3" s="420" t="s">
        <v>860</v>
      </c>
      <c r="FR3" s="421" t="s">
        <v>31</v>
      </c>
      <c r="FS3" s="420" t="s">
        <v>861</v>
      </c>
      <c r="FT3" s="420" t="s">
        <v>862</v>
      </c>
      <c r="FU3" s="421" t="s">
        <v>31</v>
      </c>
      <c r="FV3" s="420" t="s">
        <v>863</v>
      </c>
      <c r="FW3" s="420" t="s">
        <v>864</v>
      </c>
      <c r="FX3" s="421" t="s">
        <v>31</v>
      </c>
      <c r="FY3" s="420" t="s">
        <v>865</v>
      </c>
      <c r="FZ3" s="420" t="s">
        <v>866</v>
      </c>
      <c r="GA3" s="421" t="s">
        <v>31</v>
      </c>
      <c r="GB3" s="420" t="s">
        <v>867</v>
      </c>
      <c r="GC3" s="420" t="s">
        <v>868</v>
      </c>
      <c r="GD3" s="421" t="s">
        <v>31</v>
      </c>
      <c r="GE3" s="420" t="s">
        <v>869</v>
      </c>
      <c r="GF3" s="420" t="s">
        <v>870</v>
      </c>
      <c r="GG3" s="421" t="s">
        <v>31</v>
      </c>
      <c r="GH3" s="420" t="s">
        <v>871</v>
      </c>
      <c r="GI3" s="420" t="s">
        <v>872</v>
      </c>
      <c r="GJ3" s="421" t="s">
        <v>31</v>
      </c>
      <c r="GK3" s="420" t="s">
        <v>873</v>
      </c>
      <c r="GL3" s="420" t="s">
        <v>874</v>
      </c>
      <c r="GM3" s="421" t="s">
        <v>31</v>
      </c>
      <c r="GN3" s="420" t="s">
        <v>875</v>
      </c>
      <c r="GO3" s="420" t="s">
        <v>876</v>
      </c>
      <c r="GP3" s="421" t="s">
        <v>31</v>
      </c>
      <c r="GQ3" s="420" t="s">
        <v>877</v>
      </c>
      <c r="GR3" s="420" t="s">
        <v>878</v>
      </c>
      <c r="GS3" s="421" t="s">
        <v>31</v>
      </c>
      <c r="GT3" s="420" t="s">
        <v>879</v>
      </c>
      <c r="GU3" s="420" t="s">
        <v>880</v>
      </c>
      <c r="GV3" s="421" t="s">
        <v>31</v>
      </c>
      <c r="GW3" s="420" t="s">
        <v>881</v>
      </c>
      <c r="GX3" s="420" t="s">
        <v>882</v>
      </c>
      <c r="GY3" s="421" t="s">
        <v>31</v>
      </c>
      <c r="GZ3" s="420" t="s">
        <v>883</v>
      </c>
      <c r="HA3" s="420" t="s">
        <v>884</v>
      </c>
      <c r="HB3" s="421" t="s">
        <v>31</v>
      </c>
      <c r="HC3" s="420" t="s">
        <v>885</v>
      </c>
      <c r="HD3" s="420" t="s">
        <v>886</v>
      </c>
      <c r="HE3" s="421" t="s">
        <v>31</v>
      </c>
      <c r="HF3" s="420" t="s">
        <v>887</v>
      </c>
      <c r="HG3" s="420" t="s">
        <v>888</v>
      </c>
      <c r="HH3" s="421" t="s">
        <v>31</v>
      </c>
      <c r="HI3" s="420" t="s">
        <v>889</v>
      </c>
      <c r="HJ3" s="420" t="s">
        <v>890</v>
      </c>
      <c r="HK3" s="421" t="s">
        <v>31</v>
      </c>
      <c r="HL3" s="420" t="s">
        <v>891</v>
      </c>
      <c r="HM3" s="420" t="s">
        <v>892</v>
      </c>
      <c r="HN3" s="421" t="s">
        <v>31</v>
      </c>
      <c r="HO3" s="420" t="s">
        <v>893</v>
      </c>
      <c r="HP3" s="420" t="s">
        <v>894</v>
      </c>
      <c r="HQ3" s="421" t="s">
        <v>31</v>
      </c>
      <c r="HR3" s="420" t="s">
        <v>895</v>
      </c>
      <c r="HS3" s="420" t="s">
        <v>896</v>
      </c>
      <c r="HT3" s="421" t="s">
        <v>31</v>
      </c>
      <c r="HU3" s="420" t="s">
        <v>897</v>
      </c>
      <c r="HV3" s="420" t="s">
        <v>898</v>
      </c>
      <c r="HW3" s="421" t="s">
        <v>31</v>
      </c>
      <c r="HX3" s="420" t="s">
        <v>899</v>
      </c>
      <c r="HY3" s="420" t="s">
        <v>900</v>
      </c>
      <c r="HZ3" s="421" t="s">
        <v>31</v>
      </c>
      <c r="IA3" s="420" t="s">
        <v>901</v>
      </c>
      <c r="IB3" s="420" t="s">
        <v>902</v>
      </c>
      <c r="IC3" s="421" t="s">
        <v>31</v>
      </c>
      <c r="ID3" s="420" t="s">
        <v>903</v>
      </c>
      <c r="IE3" s="420" t="s">
        <v>904</v>
      </c>
      <c r="IF3" s="421" t="s">
        <v>31</v>
      </c>
      <c r="IG3" s="420" t="s">
        <v>905</v>
      </c>
      <c r="IH3" s="420" t="s">
        <v>906</v>
      </c>
      <c r="II3" s="421" t="s">
        <v>31</v>
      </c>
      <c r="IJ3" s="420" t="s">
        <v>907</v>
      </c>
      <c r="IK3" s="420" t="s">
        <v>908</v>
      </c>
      <c r="IL3" s="421" t="s">
        <v>31</v>
      </c>
      <c r="IM3" s="420" t="s">
        <v>909</v>
      </c>
      <c r="IN3" s="420" t="s">
        <v>910</v>
      </c>
      <c r="IO3" s="421" t="s">
        <v>31</v>
      </c>
      <c r="IP3" s="420" t="s">
        <v>911</v>
      </c>
      <c r="IQ3" s="420" t="s">
        <v>912</v>
      </c>
      <c r="IR3" s="421" t="s">
        <v>31</v>
      </c>
      <c r="IS3" s="420" t="s">
        <v>913</v>
      </c>
      <c r="IT3" s="420" t="s">
        <v>914</v>
      </c>
      <c r="IU3" s="421" t="s">
        <v>31</v>
      </c>
      <c r="IV3" s="420" t="s">
        <v>915</v>
      </c>
      <c r="IW3" s="420" t="s">
        <v>916</v>
      </c>
      <c r="IX3" s="421" t="s">
        <v>31</v>
      </c>
      <c r="IY3" s="420" t="s">
        <v>917</v>
      </c>
      <c r="IZ3" s="420" t="s">
        <v>918</v>
      </c>
      <c r="JA3" s="421" t="s">
        <v>31</v>
      </c>
      <c r="JB3" s="420" t="s">
        <v>919</v>
      </c>
      <c r="JC3" s="420" t="s">
        <v>920</v>
      </c>
      <c r="JD3" s="421" t="s">
        <v>31</v>
      </c>
      <c r="JE3" s="420" t="s">
        <v>921</v>
      </c>
      <c r="JF3" s="420" t="s">
        <v>922</v>
      </c>
      <c r="JG3" s="421" t="s">
        <v>31</v>
      </c>
      <c r="JH3" s="420" t="s">
        <v>923</v>
      </c>
      <c r="JI3" s="420" t="s">
        <v>924</v>
      </c>
      <c r="JJ3" s="421" t="s">
        <v>31</v>
      </c>
      <c r="JK3" s="420" t="s">
        <v>925</v>
      </c>
      <c r="JL3" s="420" t="s">
        <v>926</v>
      </c>
      <c r="JM3" s="421" t="s">
        <v>31</v>
      </c>
      <c r="JN3" s="420" t="s">
        <v>927</v>
      </c>
      <c r="JO3" s="420" t="s">
        <v>928</v>
      </c>
      <c r="JP3" s="421" t="s">
        <v>31</v>
      </c>
      <c r="JQ3" s="420" t="s">
        <v>929</v>
      </c>
      <c r="JR3" s="420" t="s">
        <v>930</v>
      </c>
      <c r="JS3" s="421" t="s">
        <v>31</v>
      </c>
      <c r="JT3" s="420" t="s">
        <v>931</v>
      </c>
      <c r="JU3" s="420" t="s">
        <v>932</v>
      </c>
      <c r="JV3" s="421" t="s">
        <v>31</v>
      </c>
      <c r="JW3" s="420" t="s">
        <v>933</v>
      </c>
      <c r="JX3" s="420" t="s">
        <v>934</v>
      </c>
      <c r="JY3" s="421" t="s">
        <v>31</v>
      </c>
      <c r="JZ3" s="420" t="s">
        <v>935</v>
      </c>
      <c r="KA3" s="420" t="s">
        <v>936</v>
      </c>
      <c r="KB3" s="421" t="s">
        <v>31</v>
      </c>
      <c r="KC3" s="420" t="s">
        <v>937</v>
      </c>
      <c r="KD3" s="420" t="s">
        <v>938</v>
      </c>
      <c r="KE3" s="421" t="s">
        <v>31</v>
      </c>
      <c r="KF3" s="420" t="s">
        <v>939</v>
      </c>
      <c r="KG3" s="420" t="s">
        <v>940</v>
      </c>
      <c r="KH3" s="421" t="s">
        <v>31</v>
      </c>
      <c r="KI3" s="420" t="s">
        <v>941</v>
      </c>
      <c r="KJ3" s="420" t="s">
        <v>942</v>
      </c>
      <c r="KK3" s="421" t="s">
        <v>31</v>
      </c>
      <c r="KL3" s="419" t="s">
        <v>943</v>
      </c>
      <c r="KM3" s="419" t="s">
        <v>944</v>
      </c>
      <c r="KN3" s="419" t="s">
        <v>31</v>
      </c>
      <c r="KO3" s="419" t="s">
        <v>945</v>
      </c>
      <c r="KP3" s="419" t="s">
        <v>946</v>
      </c>
      <c r="KQ3" s="419" t="s">
        <v>31</v>
      </c>
      <c r="KR3" s="419" t="s">
        <v>947</v>
      </c>
      <c r="KS3" s="419" t="s">
        <v>948</v>
      </c>
      <c r="KT3" s="419" t="s">
        <v>31</v>
      </c>
      <c r="KU3" s="419" t="s">
        <v>949</v>
      </c>
      <c r="KV3" s="419" t="s">
        <v>950</v>
      </c>
      <c r="KW3" s="419" t="s">
        <v>31</v>
      </c>
      <c r="KX3" s="419" t="s">
        <v>951</v>
      </c>
      <c r="KY3" s="419" t="s">
        <v>952</v>
      </c>
      <c r="KZ3" s="419" t="s">
        <v>31</v>
      </c>
      <c r="LA3" s="419" t="s">
        <v>953</v>
      </c>
      <c r="LB3" s="419" t="s">
        <v>954</v>
      </c>
      <c r="LC3" s="419" t="s">
        <v>31</v>
      </c>
      <c r="LD3" s="419" t="s">
        <v>955</v>
      </c>
      <c r="LE3" s="419" t="s">
        <v>956</v>
      </c>
      <c r="LF3" s="419" t="s">
        <v>31</v>
      </c>
      <c r="LG3" s="419" t="s">
        <v>957</v>
      </c>
      <c r="LH3" s="419" t="s">
        <v>958</v>
      </c>
      <c r="LI3" s="419" t="s">
        <v>31</v>
      </c>
      <c r="LJ3" s="420" t="s">
        <v>428</v>
      </c>
      <c r="LK3" s="420" t="s">
        <v>429</v>
      </c>
      <c r="LL3" s="421" t="s">
        <v>31</v>
      </c>
    </row>
    <row r="4" spans="1:327" ht="15" thickBot="1" x14ac:dyDescent="0.4">
      <c r="A4" s="678">
        <v>2</v>
      </c>
      <c r="B4" s="679" t="s">
        <v>251</v>
      </c>
      <c r="C4" s="424" t="s">
        <v>22</v>
      </c>
      <c r="D4" s="680">
        <v>279231</v>
      </c>
      <c r="E4" s="680">
        <v>253945</v>
      </c>
      <c r="F4" s="681">
        <f>D4+E4</f>
        <v>533176</v>
      </c>
      <c r="G4" s="680">
        <v>238</v>
      </c>
      <c r="H4" s="680">
        <v>462978</v>
      </c>
      <c r="I4" s="681">
        <f>G4+H4</f>
        <v>463216</v>
      </c>
      <c r="J4" s="680">
        <v>328986</v>
      </c>
      <c r="K4" s="680">
        <v>284108</v>
      </c>
      <c r="L4" s="681">
        <f>J4+K4</f>
        <v>613094</v>
      </c>
      <c r="M4" s="680">
        <v>15845</v>
      </c>
      <c r="N4" s="680">
        <v>6415</v>
      </c>
      <c r="O4" s="681">
        <f>M4+N4</f>
        <v>22260</v>
      </c>
      <c r="P4" s="680">
        <v>21556</v>
      </c>
      <c r="Q4" s="680">
        <v>18575</v>
      </c>
      <c r="R4" s="681">
        <f>P4+Q4</f>
        <v>40131</v>
      </c>
      <c r="S4" s="680">
        <v>6700</v>
      </c>
      <c r="T4" s="680">
        <v>515</v>
      </c>
      <c r="U4" s="681">
        <f>S4+T4</f>
        <v>7215</v>
      </c>
      <c r="V4" s="680">
        <v>3858</v>
      </c>
      <c r="W4" s="680">
        <v>370</v>
      </c>
      <c r="X4" s="681">
        <f>V4+W4</f>
        <v>4228</v>
      </c>
      <c r="Y4" s="680">
        <v>7021</v>
      </c>
      <c r="Z4" s="680">
        <v>1807</v>
      </c>
      <c r="AA4" s="681">
        <f>Y4+Z4</f>
        <v>8828</v>
      </c>
      <c r="AB4" s="680">
        <v>2329</v>
      </c>
      <c r="AC4" s="680">
        <v>546</v>
      </c>
      <c r="AD4" s="681">
        <f>AB4+AC4</f>
        <v>2875</v>
      </c>
      <c r="AE4" s="680">
        <v>104</v>
      </c>
      <c r="AF4" s="680">
        <v>11</v>
      </c>
      <c r="AG4" s="681">
        <f>AE4+AF4</f>
        <v>115</v>
      </c>
      <c r="AH4" s="680">
        <v>66</v>
      </c>
      <c r="AI4" s="680">
        <v>0</v>
      </c>
      <c r="AJ4" s="681">
        <f>AH4+AI4</f>
        <v>66</v>
      </c>
      <c r="AK4" s="680">
        <v>2201</v>
      </c>
      <c r="AL4" s="680">
        <v>377</v>
      </c>
      <c r="AM4" s="681">
        <f>AK4+AL4</f>
        <v>2578</v>
      </c>
      <c r="AN4" s="680">
        <v>673</v>
      </c>
      <c r="AO4" s="680">
        <v>22</v>
      </c>
      <c r="AP4" s="681">
        <f>AN4+AO4</f>
        <v>695</v>
      </c>
      <c r="AQ4" s="680">
        <v>1534</v>
      </c>
      <c r="AR4" s="680">
        <v>23</v>
      </c>
      <c r="AS4" s="681">
        <f>AQ4+AR4</f>
        <v>1557</v>
      </c>
      <c r="AT4" s="680">
        <v>404669</v>
      </c>
      <c r="AU4" s="680">
        <v>203320</v>
      </c>
      <c r="AV4" s="681">
        <f>AT4+AU4</f>
        <v>607989</v>
      </c>
      <c r="AW4" s="680">
        <v>8982</v>
      </c>
      <c r="AX4" s="680">
        <v>4629</v>
      </c>
      <c r="AY4" s="681">
        <f>AW4+AX4</f>
        <v>13611</v>
      </c>
      <c r="AZ4" s="680">
        <v>594</v>
      </c>
      <c r="BA4" s="680">
        <v>383</v>
      </c>
      <c r="BB4" s="681">
        <f>AZ4+BA4</f>
        <v>977</v>
      </c>
      <c r="BC4" s="680">
        <v>2596</v>
      </c>
      <c r="BD4" s="680">
        <v>1634</v>
      </c>
      <c r="BE4" s="681">
        <f>BC4+BD4</f>
        <v>4230</v>
      </c>
      <c r="BF4" s="680">
        <v>36078</v>
      </c>
      <c r="BG4" s="680">
        <v>1706</v>
      </c>
      <c r="BH4" s="681">
        <f>BF4+BG4</f>
        <v>37784</v>
      </c>
      <c r="BI4" s="680">
        <v>1300</v>
      </c>
      <c r="BJ4" s="680">
        <v>144</v>
      </c>
      <c r="BK4" s="681">
        <f>BI4+BJ4</f>
        <v>1444</v>
      </c>
      <c r="BL4" s="680">
        <v>27</v>
      </c>
      <c r="BM4" s="680">
        <v>1</v>
      </c>
      <c r="BN4" s="681">
        <f>BL4+BM4</f>
        <v>28</v>
      </c>
      <c r="BO4" s="680">
        <v>37</v>
      </c>
      <c r="BP4" s="680">
        <v>5</v>
      </c>
      <c r="BQ4" s="681">
        <f>BO4+BP4</f>
        <v>42</v>
      </c>
      <c r="BR4" s="680">
        <v>19</v>
      </c>
      <c r="BS4" s="680">
        <v>613</v>
      </c>
      <c r="BT4" s="681">
        <f>BR4+BS4</f>
        <v>632</v>
      </c>
      <c r="BU4" s="680">
        <v>22</v>
      </c>
      <c r="BV4" s="680">
        <v>0</v>
      </c>
      <c r="BW4" s="681">
        <f>BU4+BV4</f>
        <v>22</v>
      </c>
      <c r="BX4" s="680">
        <v>80</v>
      </c>
      <c r="BY4" s="680">
        <v>2</v>
      </c>
      <c r="BZ4" s="681">
        <f>BX4+BY4</f>
        <v>82</v>
      </c>
      <c r="CA4" s="680">
        <v>321</v>
      </c>
      <c r="CB4" s="680">
        <v>0</v>
      </c>
      <c r="CC4" s="681">
        <f>CA4+CB4</f>
        <v>321</v>
      </c>
      <c r="CD4" s="680">
        <v>119</v>
      </c>
      <c r="CE4" s="680">
        <v>0</v>
      </c>
      <c r="CF4" s="681">
        <f>CD4+CE4</f>
        <v>119</v>
      </c>
      <c r="CG4" s="680">
        <v>9</v>
      </c>
      <c r="CH4" s="680">
        <v>0</v>
      </c>
      <c r="CI4" s="681">
        <f>CG4+CH4</f>
        <v>9</v>
      </c>
      <c r="CJ4" s="680">
        <v>92</v>
      </c>
      <c r="CK4" s="680">
        <v>1</v>
      </c>
      <c r="CL4" s="681">
        <f>CJ4+CK4</f>
        <v>93</v>
      </c>
      <c r="CM4" s="680">
        <v>192</v>
      </c>
      <c r="CN4" s="680">
        <v>152</v>
      </c>
      <c r="CO4" s="681">
        <f>CM4+CN4</f>
        <v>344</v>
      </c>
      <c r="CP4" s="680">
        <v>8</v>
      </c>
      <c r="CQ4" s="680">
        <v>2</v>
      </c>
      <c r="CR4" s="681">
        <f>CP4+CQ4</f>
        <v>10</v>
      </c>
      <c r="CS4" s="680">
        <v>7</v>
      </c>
      <c r="CT4" s="680">
        <v>77</v>
      </c>
      <c r="CU4" s="681">
        <f>CS4+CT4</f>
        <v>84</v>
      </c>
      <c r="CV4" s="680">
        <v>3</v>
      </c>
      <c r="CW4" s="680">
        <v>11</v>
      </c>
      <c r="CX4" s="681">
        <f>CV4+CW4</f>
        <v>14</v>
      </c>
      <c r="CY4" s="680">
        <v>14</v>
      </c>
      <c r="CZ4" s="680">
        <v>63</v>
      </c>
      <c r="DA4" s="681">
        <f>CY4+CZ4</f>
        <v>77</v>
      </c>
      <c r="DB4" s="680">
        <v>540</v>
      </c>
      <c r="DC4" s="680">
        <v>1</v>
      </c>
      <c r="DD4" s="681">
        <f>DB4+DC4</f>
        <v>541</v>
      </c>
      <c r="DE4" s="680">
        <v>508</v>
      </c>
      <c r="DF4" s="680">
        <v>107</v>
      </c>
      <c r="DG4" s="681">
        <f>DE4+DF4</f>
        <v>615</v>
      </c>
      <c r="DH4" s="680">
        <v>16</v>
      </c>
      <c r="DI4" s="680">
        <v>2</v>
      </c>
      <c r="DJ4" s="681">
        <f>DH4+DI4</f>
        <v>18</v>
      </c>
      <c r="DK4" s="680">
        <v>4</v>
      </c>
      <c r="DL4" s="680">
        <v>12</v>
      </c>
      <c r="DM4" s="681">
        <f>DK4+DL4</f>
        <v>16</v>
      </c>
      <c r="DN4" s="680">
        <v>3</v>
      </c>
      <c r="DO4" s="680">
        <v>11</v>
      </c>
      <c r="DP4" s="681">
        <f>DN4+DO4</f>
        <v>14</v>
      </c>
      <c r="DQ4" s="680">
        <v>7</v>
      </c>
      <c r="DR4" s="680">
        <v>11</v>
      </c>
      <c r="DS4" s="681">
        <f>DQ4+DR4</f>
        <v>18</v>
      </c>
      <c r="DT4" s="680">
        <v>27</v>
      </c>
      <c r="DU4" s="680">
        <v>0</v>
      </c>
      <c r="DV4" s="681">
        <f>DT4+DU4</f>
        <v>27</v>
      </c>
      <c r="DW4" s="680">
        <v>475</v>
      </c>
      <c r="DX4" s="680">
        <v>169</v>
      </c>
      <c r="DY4" s="681">
        <f>DW4+DX4</f>
        <v>644</v>
      </c>
      <c r="DZ4" s="680">
        <v>23</v>
      </c>
      <c r="EA4" s="680">
        <v>1</v>
      </c>
      <c r="EB4" s="681">
        <f>DZ4+EA4</f>
        <v>24</v>
      </c>
      <c r="EC4" s="680">
        <v>869</v>
      </c>
      <c r="ED4" s="680">
        <v>153</v>
      </c>
      <c r="EE4" s="681">
        <f>EC4+ED4</f>
        <v>1022</v>
      </c>
      <c r="EF4" s="680">
        <v>192</v>
      </c>
      <c r="EG4" s="680">
        <v>42</v>
      </c>
      <c r="EH4" s="681">
        <f>EF4+EG4</f>
        <v>234</v>
      </c>
      <c r="EI4" s="680">
        <v>30</v>
      </c>
      <c r="EJ4" s="680">
        <v>27</v>
      </c>
      <c r="EK4" s="681">
        <f>EI4+EJ4</f>
        <v>57</v>
      </c>
      <c r="EL4" s="680">
        <v>4</v>
      </c>
      <c r="EM4" s="680">
        <v>0</v>
      </c>
      <c r="EN4" s="681">
        <f>EL4+EM4</f>
        <v>4</v>
      </c>
      <c r="EO4" s="680">
        <v>11</v>
      </c>
      <c r="EP4" s="680">
        <v>2</v>
      </c>
      <c r="EQ4" s="681">
        <f>EO4+EP4</f>
        <v>13</v>
      </c>
      <c r="ER4" s="680">
        <v>3</v>
      </c>
      <c r="ES4" s="680">
        <v>0</v>
      </c>
      <c r="ET4" s="681">
        <f>ER4+ES4</f>
        <v>3</v>
      </c>
      <c r="EU4" s="680">
        <v>1</v>
      </c>
      <c r="EV4" s="680">
        <v>2</v>
      </c>
      <c r="EW4" s="681">
        <f>EU4+EV4</f>
        <v>3</v>
      </c>
      <c r="EX4" s="680">
        <v>0</v>
      </c>
      <c r="EY4" s="680">
        <v>0</v>
      </c>
      <c r="EZ4" s="681">
        <f>EX4+EY4</f>
        <v>0</v>
      </c>
      <c r="FA4" s="680">
        <v>0</v>
      </c>
      <c r="FB4" s="680">
        <v>0</v>
      </c>
      <c r="FC4" s="681">
        <f>FA4+FB4</f>
        <v>0</v>
      </c>
      <c r="FD4" s="680">
        <v>5</v>
      </c>
      <c r="FE4" s="680">
        <v>0</v>
      </c>
      <c r="FF4" s="681">
        <f>FD4+FE4</f>
        <v>5</v>
      </c>
      <c r="FG4" s="680">
        <v>0</v>
      </c>
      <c r="FH4" s="680">
        <v>0</v>
      </c>
      <c r="FI4" s="681">
        <f>FG4+FH4</f>
        <v>0</v>
      </c>
      <c r="FJ4" s="680">
        <v>0</v>
      </c>
      <c r="FK4" s="680">
        <v>0</v>
      </c>
      <c r="FL4" s="681">
        <f>FJ4+FK4</f>
        <v>0</v>
      </c>
      <c r="FM4" s="680">
        <v>0</v>
      </c>
      <c r="FN4" s="680">
        <v>0</v>
      </c>
      <c r="FO4" s="681">
        <f>FM4+FN4</f>
        <v>0</v>
      </c>
      <c r="FP4" s="680">
        <v>1</v>
      </c>
      <c r="FQ4" s="680">
        <v>0</v>
      </c>
      <c r="FR4" s="681">
        <f>FP4+FQ4</f>
        <v>1</v>
      </c>
      <c r="FS4" s="680">
        <v>0</v>
      </c>
      <c r="FT4" s="680">
        <v>0</v>
      </c>
      <c r="FU4" s="681">
        <f>FS4+FT4</f>
        <v>0</v>
      </c>
      <c r="FV4" s="680">
        <v>0</v>
      </c>
      <c r="FW4" s="680">
        <v>0</v>
      </c>
      <c r="FX4" s="681">
        <f>FV4+FW4</f>
        <v>0</v>
      </c>
      <c r="FY4" s="680">
        <v>1</v>
      </c>
      <c r="FZ4" s="680">
        <v>0</v>
      </c>
      <c r="GA4" s="681">
        <f>FY4+FZ4</f>
        <v>1</v>
      </c>
      <c r="GB4" s="680">
        <v>1</v>
      </c>
      <c r="GC4" s="680">
        <v>0</v>
      </c>
      <c r="GD4" s="681">
        <f>GB4+GC4</f>
        <v>1</v>
      </c>
      <c r="GE4" s="680">
        <v>1</v>
      </c>
      <c r="GF4" s="680">
        <v>1</v>
      </c>
      <c r="GG4" s="681">
        <f>GE4+GF4</f>
        <v>2</v>
      </c>
      <c r="GH4" s="680">
        <v>29</v>
      </c>
      <c r="GI4" s="680">
        <v>4</v>
      </c>
      <c r="GJ4" s="681">
        <f>GH4+GI4</f>
        <v>33</v>
      </c>
      <c r="GK4" s="680">
        <v>1232</v>
      </c>
      <c r="GL4" s="680">
        <v>1131</v>
      </c>
      <c r="GM4" s="681">
        <f>GK4+GL4</f>
        <v>2363</v>
      </c>
      <c r="GN4" s="680">
        <v>6966</v>
      </c>
      <c r="GO4" s="680">
        <v>18350</v>
      </c>
      <c r="GP4" s="681">
        <f>GN4+GO4</f>
        <v>25316</v>
      </c>
      <c r="GQ4" s="680">
        <v>269</v>
      </c>
      <c r="GR4" s="680">
        <v>9</v>
      </c>
      <c r="GS4" s="681">
        <f>GQ4+GR4</f>
        <v>278</v>
      </c>
      <c r="GT4" s="680">
        <v>600</v>
      </c>
      <c r="GU4" s="680">
        <v>108</v>
      </c>
      <c r="GV4" s="681">
        <f>GT4+GU4</f>
        <v>708</v>
      </c>
      <c r="GW4" s="680">
        <v>65</v>
      </c>
      <c r="GX4" s="680">
        <v>108</v>
      </c>
      <c r="GY4" s="681">
        <f>GW4+GX4</f>
        <v>173</v>
      </c>
      <c r="GZ4" s="680">
        <v>134</v>
      </c>
      <c r="HA4" s="680">
        <v>48</v>
      </c>
      <c r="HB4" s="681">
        <f>GZ4+HA4</f>
        <v>182</v>
      </c>
      <c r="HC4" s="680">
        <v>54</v>
      </c>
      <c r="HD4" s="680">
        <v>39</v>
      </c>
      <c r="HE4" s="681">
        <f>HC4+HD4</f>
        <v>93</v>
      </c>
      <c r="HF4" s="680">
        <v>254</v>
      </c>
      <c r="HG4" s="680">
        <v>65</v>
      </c>
      <c r="HH4" s="681">
        <f>HF4+HG4</f>
        <v>319</v>
      </c>
      <c r="HI4" s="680">
        <v>1416</v>
      </c>
      <c r="HJ4" s="680">
        <v>3315</v>
      </c>
      <c r="HK4" s="681">
        <f>HI4+HJ4</f>
        <v>4731</v>
      </c>
      <c r="HL4" s="680">
        <v>0</v>
      </c>
      <c r="HM4" s="680">
        <v>1849</v>
      </c>
      <c r="HN4" s="681">
        <f>HL4+HM4</f>
        <v>1849</v>
      </c>
      <c r="HO4" s="680">
        <v>401</v>
      </c>
      <c r="HP4" s="680">
        <v>3056</v>
      </c>
      <c r="HQ4" s="681">
        <f>HO4+HP4</f>
        <v>3457</v>
      </c>
      <c r="HR4" s="680">
        <v>62</v>
      </c>
      <c r="HS4" s="680">
        <v>364</v>
      </c>
      <c r="HT4" s="681">
        <f>HR4+HS4</f>
        <v>426</v>
      </c>
      <c r="HU4" s="680">
        <v>8</v>
      </c>
      <c r="HV4" s="680">
        <v>76</v>
      </c>
      <c r="HW4" s="681">
        <f>HU4+HV4</f>
        <v>84</v>
      </c>
      <c r="HX4" s="680">
        <v>3</v>
      </c>
      <c r="HY4" s="680">
        <v>4</v>
      </c>
      <c r="HZ4" s="681">
        <f>HX4+HY4</f>
        <v>7</v>
      </c>
      <c r="IA4" s="680">
        <v>3</v>
      </c>
      <c r="IB4" s="680">
        <v>6</v>
      </c>
      <c r="IC4" s="681">
        <f>IA4+IB4</f>
        <v>9</v>
      </c>
      <c r="ID4" s="680">
        <v>1011</v>
      </c>
      <c r="IE4" s="680">
        <v>7</v>
      </c>
      <c r="IF4" s="681">
        <f>ID4+IE4</f>
        <v>1018</v>
      </c>
      <c r="IG4" s="680">
        <v>39</v>
      </c>
      <c r="IH4" s="680">
        <v>18</v>
      </c>
      <c r="II4" s="681">
        <f>IG4+IH4</f>
        <v>57</v>
      </c>
      <c r="IJ4" s="680">
        <v>3912</v>
      </c>
      <c r="IK4" s="680">
        <v>3</v>
      </c>
      <c r="IL4" s="681">
        <f>IJ4+IK4</f>
        <v>3915</v>
      </c>
      <c r="IM4" s="680">
        <v>11</v>
      </c>
      <c r="IN4" s="680">
        <v>4</v>
      </c>
      <c r="IO4" s="681">
        <f>IM4+IN4</f>
        <v>15</v>
      </c>
      <c r="IP4" s="680">
        <v>6</v>
      </c>
      <c r="IQ4" s="680">
        <v>2</v>
      </c>
      <c r="IR4" s="681">
        <f>IP4+IQ4</f>
        <v>8</v>
      </c>
      <c r="IS4" s="680">
        <v>7835</v>
      </c>
      <c r="IT4" s="680">
        <v>2288</v>
      </c>
      <c r="IU4" s="681">
        <f>IS4+IT4</f>
        <v>10123</v>
      </c>
      <c r="IV4" s="680">
        <v>41</v>
      </c>
      <c r="IW4" s="680">
        <v>9</v>
      </c>
      <c r="IX4" s="681">
        <f>IV4+IW4</f>
        <v>50</v>
      </c>
      <c r="IY4" s="680">
        <v>3</v>
      </c>
      <c r="IZ4" s="680">
        <v>0</v>
      </c>
      <c r="JA4" s="681">
        <f>IY4+IZ4</f>
        <v>3</v>
      </c>
      <c r="JB4" s="680">
        <v>3</v>
      </c>
      <c r="JC4" s="680">
        <v>45</v>
      </c>
      <c r="JD4" s="681">
        <f>JB4+JC4</f>
        <v>48</v>
      </c>
      <c r="JE4" s="680">
        <v>148155</v>
      </c>
      <c r="JF4" s="680">
        <v>32496</v>
      </c>
      <c r="JG4" s="681">
        <f>JE4+JF4</f>
        <v>180651</v>
      </c>
      <c r="JH4" s="680">
        <v>45</v>
      </c>
      <c r="JI4" s="680">
        <v>34</v>
      </c>
      <c r="JJ4" s="681">
        <f>JH4+JI4</f>
        <v>79</v>
      </c>
      <c r="JK4" s="680">
        <v>3</v>
      </c>
      <c r="JL4" s="680">
        <v>1</v>
      </c>
      <c r="JM4" s="681">
        <f>JK4+JL4</f>
        <v>4</v>
      </c>
      <c r="JN4" s="680">
        <v>9</v>
      </c>
      <c r="JO4" s="680">
        <v>3</v>
      </c>
      <c r="JP4" s="681">
        <f>JN4+JO4</f>
        <v>12</v>
      </c>
      <c r="JQ4" s="680">
        <v>2</v>
      </c>
      <c r="JR4" s="680">
        <v>0</v>
      </c>
      <c r="JS4" s="681">
        <f>JQ4+JR4</f>
        <v>2</v>
      </c>
      <c r="JT4" s="680">
        <v>1</v>
      </c>
      <c r="JU4" s="680">
        <v>1</v>
      </c>
      <c r="JV4" s="681">
        <f>JT4+JU4</f>
        <v>2</v>
      </c>
      <c r="JW4" s="680">
        <v>2</v>
      </c>
      <c r="JX4" s="680">
        <v>1</v>
      </c>
      <c r="JY4" s="681">
        <f>JW4+JX4</f>
        <v>3</v>
      </c>
      <c r="JZ4" s="680">
        <v>0</v>
      </c>
      <c r="KA4" s="680">
        <v>0</v>
      </c>
      <c r="KB4" s="681">
        <f>JZ4+KA4</f>
        <v>0</v>
      </c>
      <c r="KC4" s="680">
        <v>0</v>
      </c>
      <c r="KD4" s="680">
        <v>0</v>
      </c>
      <c r="KE4" s="681">
        <f>KC4+KD4</f>
        <v>0</v>
      </c>
      <c r="KF4" s="680">
        <v>4</v>
      </c>
      <c r="KG4" s="680">
        <v>1</v>
      </c>
      <c r="KH4" s="681">
        <f>KF4+KG4</f>
        <v>5</v>
      </c>
      <c r="KI4" s="680">
        <v>0</v>
      </c>
      <c r="KJ4" s="680">
        <v>0</v>
      </c>
      <c r="KK4" s="681">
        <f>KI4+KJ4</f>
        <v>0</v>
      </c>
      <c r="KL4" s="681">
        <v>0</v>
      </c>
      <c r="KM4" s="681">
        <v>0</v>
      </c>
      <c r="KN4" s="681">
        <f>KL4+KM4</f>
        <v>0</v>
      </c>
      <c r="KO4" s="681">
        <v>0</v>
      </c>
      <c r="KP4" s="681">
        <v>0</v>
      </c>
      <c r="KQ4" s="681">
        <f>KO4+KP4</f>
        <v>0</v>
      </c>
      <c r="KR4" s="681">
        <v>0</v>
      </c>
      <c r="KS4" s="681">
        <v>0</v>
      </c>
      <c r="KT4" s="681">
        <f>KR4+KS4</f>
        <v>0</v>
      </c>
      <c r="KU4" s="681">
        <v>0</v>
      </c>
      <c r="KV4" s="681">
        <v>0</v>
      </c>
      <c r="KW4" s="681">
        <f>KU4+KV4</f>
        <v>0</v>
      </c>
      <c r="KX4" s="681">
        <v>0</v>
      </c>
      <c r="KY4" s="681">
        <v>0</v>
      </c>
      <c r="KZ4" s="681">
        <f>KX4+KY4</f>
        <v>0</v>
      </c>
      <c r="LA4" s="681">
        <v>0</v>
      </c>
      <c r="LB4" s="681">
        <v>0</v>
      </c>
      <c r="LC4" s="681">
        <f>LA4+LB4</f>
        <v>0</v>
      </c>
      <c r="LD4" s="681">
        <v>0</v>
      </c>
      <c r="LE4" s="681">
        <v>0</v>
      </c>
      <c r="LF4" s="681">
        <f>LD4+LE4</f>
        <v>0</v>
      </c>
      <c r="LG4" s="681">
        <v>0</v>
      </c>
      <c r="LH4" s="681">
        <v>0</v>
      </c>
      <c r="LI4" s="681">
        <f>LG4+LH4</f>
        <v>0</v>
      </c>
      <c r="LJ4" s="680">
        <v>11</v>
      </c>
      <c r="LK4" s="680">
        <v>5</v>
      </c>
      <c r="LL4" s="682">
        <f>LJ4+LK4</f>
        <v>16</v>
      </c>
      <c r="LM4" s="683">
        <f>F4+I4+L4+O4+R4+U4+X4+AA4+AD4+AG4+AJ4+AM4+AP4+AS4+AV4+AY4+BB4+BE4+BH4+BK4+BN4+BQ4+BT4+BW4+BZ4+CC4+CF4+CI4+CL4+CO4+CR4+CU4+CX4+DA4+DD4+DG4+DJ4+DM4+DP4+DS4+DV4+DY4+EB4+EE4+EH4+EK4+EN4+EQ4+ET4+EW4+EZ4+FC4+FF4+FI4+FL4+FO4+FR4+FU4+FX4+GA4+GD4+GG4+GJ4+GM4+GP4+GS4+GV4+GY4+HB4+HE4+HH4+HK4+HN4+HQ4+HT4+HW4+HZ4+IC4+IF4+II4+IL4+IO4+IR4+IU4+IX4+JA4+JD4+JG4+JJ4+JM4+JP4+JS4+JV4+JY4+KB4+KE4+KH4+KK4+LL4</f>
        <v>2607248</v>
      </c>
      <c r="LN4" s="684"/>
      <c r="LO4" s="684"/>
    </row>
    <row r="5" spans="1:327" x14ac:dyDescent="0.35">
      <c r="A5" s="685">
        <v>3</v>
      </c>
      <c r="B5" s="371" t="s">
        <v>253</v>
      </c>
      <c r="C5" s="428" t="s">
        <v>20</v>
      </c>
      <c r="D5" s="305">
        <v>30755</v>
      </c>
      <c r="E5" s="305">
        <v>27690</v>
      </c>
      <c r="F5" s="686">
        <f t="shared" ref="F5:F68" si="0">D5+E5</f>
        <v>58445</v>
      </c>
      <c r="G5" s="305">
        <v>28</v>
      </c>
      <c r="H5" s="305">
        <v>47912</v>
      </c>
      <c r="I5" s="686">
        <f t="shared" ref="I5:I68" si="1">G5+H5</f>
        <v>47940</v>
      </c>
      <c r="J5" s="305">
        <v>33341</v>
      </c>
      <c r="K5" s="305">
        <v>28889</v>
      </c>
      <c r="L5" s="686">
        <f t="shared" ref="L5:L68" si="2">J5+K5</f>
        <v>62230</v>
      </c>
      <c r="M5" s="305">
        <v>2178</v>
      </c>
      <c r="N5" s="305">
        <v>805</v>
      </c>
      <c r="O5" s="686">
        <f t="shared" ref="O5:O68" si="3">M5+N5</f>
        <v>2983</v>
      </c>
      <c r="P5" s="305">
        <v>2544</v>
      </c>
      <c r="Q5" s="305">
        <v>2271</v>
      </c>
      <c r="R5" s="686">
        <f t="shared" ref="R5:R68" si="4">P5+Q5</f>
        <v>4815</v>
      </c>
      <c r="S5" s="305">
        <v>225</v>
      </c>
      <c r="T5" s="305">
        <v>18</v>
      </c>
      <c r="U5" s="686">
        <f t="shared" ref="U5:U68" si="5">S5+T5</f>
        <v>243</v>
      </c>
      <c r="V5" s="305">
        <v>308</v>
      </c>
      <c r="W5" s="305">
        <v>20</v>
      </c>
      <c r="X5" s="686">
        <f t="shared" ref="X5:X68" si="6">V5+W5</f>
        <v>328</v>
      </c>
      <c r="Y5" s="305">
        <v>522</v>
      </c>
      <c r="Z5" s="305">
        <v>167</v>
      </c>
      <c r="AA5" s="686">
        <f t="shared" ref="AA5:AA68" si="7">Y5+Z5</f>
        <v>689</v>
      </c>
      <c r="AB5" s="305">
        <v>121</v>
      </c>
      <c r="AC5" s="305">
        <v>50</v>
      </c>
      <c r="AD5" s="686">
        <f t="shared" ref="AD5:AD68" si="8">AB5+AC5</f>
        <v>171</v>
      </c>
      <c r="AE5" s="305">
        <v>5</v>
      </c>
      <c r="AF5" s="305">
        <v>0</v>
      </c>
      <c r="AG5" s="686">
        <f t="shared" ref="AG5:AG68" si="9">AE5+AF5</f>
        <v>5</v>
      </c>
      <c r="AH5" s="305">
        <v>4</v>
      </c>
      <c r="AI5" s="305">
        <v>0</v>
      </c>
      <c r="AJ5" s="686">
        <f t="shared" ref="AJ5:AJ68" si="10">AH5+AI5</f>
        <v>4</v>
      </c>
      <c r="AK5" s="305">
        <v>28</v>
      </c>
      <c r="AL5" s="305">
        <v>8</v>
      </c>
      <c r="AM5" s="686">
        <f t="shared" ref="AM5:AM68" si="11">AK5+AL5</f>
        <v>36</v>
      </c>
      <c r="AN5" s="305">
        <v>33</v>
      </c>
      <c r="AO5" s="305">
        <v>2</v>
      </c>
      <c r="AP5" s="686">
        <f t="shared" ref="AP5:AP68" si="12">AN5+AO5</f>
        <v>35</v>
      </c>
      <c r="AQ5" s="305">
        <v>91</v>
      </c>
      <c r="AR5" s="305">
        <v>3</v>
      </c>
      <c r="AS5" s="686">
        <f t="shared" ref="AS5:AS68" si="13">AQ5+AR5</f>
        <v>94</v>
      </c>
      <c r="AT5" s="305">
        <v>41114</v>
      </c>
      <c r="AU5" s="305">
        <v>22782</v>
      </c>
      <c r="AV5" s="686">
        <f t="shared" ref="AV5:AV68" si="14">AT5+AU5</f>
        <v>63896</v>
      </c>
      <c r="AW5" s="305">
        <v>1010</v>
      </c>
      <c r="AX5" s="305">
        <v>486</v>
      </c>
      <c r="AY5" s="686">
        <f t="shared" ref="AY5:AY68" si="15">AW5+AX5</f>
        <v>1496</v>
      </c>
      <c r="AZ5" s="305">
        <v>88</v>
      </c>
      <c r="BA5" s="305">
        <v>61</v>
      </c>
      <c r="BB5" s="686">
        <f t="shared" ref="BB5:BB68" si="16">AZ5+BA5</f>
        <v>149</v>
      </c>
      <c r="BC5" s="305">
        <v>401</v>
      </c>
      <c r="BD5" s="305">
        <v>262</v>
      </c>
      <c r="BE5" s="686">
        <f t="shared" ref="BE5:BE68" si="17">BC5+BD5</f>
        <v>663</v>
      </c>
      <c r="BF5" s="305">
        <v>3659</v>
      </c>
      <c r="BG5" s="305">
        <v>209</v>
      </c>
      <c r="BH5" s="686">
        <f t="shared" ref="BH5:BH68" si="18">BF5+BG5</f>
        <v>3868</v>
      </c>
      <c r="BI5" s="305">
        <v>63</v>
      </c>
      <c r="BJ5" s="305">
        <v>12</v>
      </c>
      <c r="BK5" s="686">
        <f t="shared" ref="BK5:BK68" si="19">BI5+BJ5</f>
        <v>75</v>
      </c>
      <c r="BL5" s="305">
        <v>0</v>
      </c>
      <c r="BM5" s="305">
        <v>0</v>
      </c>
      <c r="BN5" s="686">
        <f t="shared" ref="BN5:BN68" si="20">BL5+BM5</f>
        <v>0</v>
      </c>
      <c r="BO5" s="305">
        <v>1</v>
      </c>
      <c r="BP5" s="305">
        <v>1</v>
      </c>
      <c r="BQ5" s="686">
        <f t="shared" ref="BQ5:BQ68" si="21">BO5+BP5</f>
        <v>2</v>
      </c>
      <c r="BR5" s="305">
        <v>1</v>
      </c>
      <c r="BS5" s="305">
        <v>81</v>
      </c>
      <c r="BT5" s="686">
        <f t="shared" ref="BT5:BT68" si="22">BR5+BS5</f>
        <v>82</v>
      </c>
      <c r="BU5" s="305">
        <v>5</v>
      </c>
      <c r="BV5" s="305">
        <v>0</v>
      </c>
      <c r="BW5" s="686">
        <f t="shared" ref="BW5:BW68" si="23">BU5+BV5</f>
        <v>5</v>
      </c>
      <c r="BX5" s="305">
        <v>9</v>
      </c>
      <c r="BY5" s="305">
        <v>2</v>
      </c>
      <c r="BZ5" s="686">
        <f t="shared" ref="BZ5:BZ68" si="24">BX5+BY5</f>
        <v>11</v>
      </c>
      <c r="CA5" s="305">
        <v>45</v>
      </c>
      <c r="CB5" s="305">
        <v>0</v>
      </c>
      <c r="CC5" s="686">
        <f t="shared" ref="CC5:CC68" si="25">CA5+CB5</f>
        <v>45</v>
      </c>
      <c r="CD5" s="305">
        <v>9</v>
      </c>
      <c r="CE5" s="305">
        <v>0</v>
      </c>
      <c r="CF5" s="686">
        <f t="shared" ref="CF5:CF68" si="26">CD5+CE5</f>
        <v>9</v>
      </c>
      <c r="CG5" s="305">
        <v>0</v>
      </c>
      <c r="CH5" s="305">
        <v>0</v>
      </c>
      <c r="CI5" s="686">
        <f t="shared" ref="CI5:CI68" si="27">CG5+CH5</f>
        <v>0</v>
      </c>
      <c r="CJ5" s="305">
        <v>17</v>
      </c>
      <c r="CK5" s="305">
        <v>0</v>
      </c>
      <c r="CL5" s="686">
        <f t="shared" ref="CL5:CL68" si="28">CJ5+CK5</f>
        <v>17</v>
      </c>
      <c r="CM5" s="305">
        <v>27</v>
      </c>
      <c r="CN5" s="305">
        <v>28</v>
      </c>
      <c r="CO5" s="686">
        <f t="shared" ref="CO5:CO68" si="29">CM5+CN5</f>
        <v>55</v>
      </c>
      <c r="CP5" s="305">
        <v>1</v>
      </c>
      <c r="CQ5" s="305">
        <v>1</v>
      </c>
      <c r="CR5" s="686">
        <f t="shared" ref="CR5:CR68" si="30">CP5+CQ5</f>
        <v>2</v>
      </c>
      <c r="CS5" s="305">
        <v>1</v>
      </c>
      <c r="CT5" s="305">
        <v>21</v>
      </c>
      <c r="CU5" s="686">
        <f t="shared" ref="CU5:CU68" si="31">CS5+CT5</f>
        <v>22</v>
      </c>
      <c r="CV5" s="305">
        <v>0</v>
      </c>
      <c r="CW5" s="305">
        <v>1</v>
      </c>
      <c r="CX5" s="686">
        <f t="shared" ref="CX5:CX68" si="32">CV5+CW5</f>
        <v>1</v>
      </c>
      <c r="CY5" s="305">
        <v>4</v>
      </c>
      <c r="CZ5" s="305">
        <v>8</v>
      </c>
      <c r="DA5" s="686">
        <f t="shared" ref="DA5:DA68" si="33">CY5+CZ5</f>
        <v>12</v>
      </c>
      <c r="DB5" s="305">
        <v>81</v>
      </c>
      <c r="DC5" s="305">
        <v>0</v>
      </c>
      <c r="DD5" s="686">
        <f t="shared" ref="DD5:DD68" si="34">DB5+DC5</f>
        <v>81</v>
      </c>
      <c r="DE5" s="305">
        <v>56</v>
      </c>
      <c r="DF5" s="305">
        <v>9</v>
      </c>
      <c r="DG5" s="686">
        <f t="shared" ref="DG5:DG68" si="35">DE5+DF5</f>
        <v>65</v>
      </c>
      <c r="DH5" s="305">
        <v>5</v>
      </c>
      <c r="DI5" s="305">
        <v>1</v>
      </c>
      <c r="DJ5" s="686">
        <f t="shared" ref="DJ5:DJ68" si="36">DH5+DI5</f>
        <v>6</v>
      </c>
      <c r="DK5" s="305">
        <v>0</v>
      </c>
      <c r="DL5" s="305">
        <v>4</v>
      </c>
      <c r="DM5" s="686">
        <f t="shared" ref="DM5:DM68" si="37">DK5+DL5</f>
        <v>4</v>
      </c>
      <c r="DN5" s="305">
        <v>0</v>
      </c>
      <c r="DO5" s="305">
        <v>3</v>
      </c>
      <c r="DP5" s="686">
        <f t="shared" ref="DP5:DP68" si="38">DN5+DO5</f>
        <v>3</v>
      </c>
      <c r="DQ5" s="305">
        <v>2</v>
      </c>
      <c r="DR5" s="305">
        <v>2</v>
      </c>
      <c r="DS5" s="686">
        <f t="shared" ref="DS5:DS68" si="39">DQ5+DR5</f>
        <v>4</v>
      </c>
      <c r="DT5" s="305">
        <v>6</v>
      </c>
      <c r="DU5" s="305">
        <v>0</v>
      </c>
      <c r="DV5" s="686">
        <f t="shared" ref="DV5:DV68" si="40">DT5+DU5</f>
        <v>6</v>
      </c>
      <c r="DW5" s="305">
        <v>59</v>
      </c>
      <c r="DX5" s="305">
        <v>28</v>
      </c>
      <c r="DY5" s="686">
        <f t="shared" ref="DY5:DY68" si="41">DW5+DX5</f>
        <v>87</v>
      </c>
      <c r="DZ5" s="305">
        <v>4</v>
      </c>
      <c r="EA5" s="305">
        <v>0</v>
      </c>
      <c r="EB5" s="686">
        <f t="shared" ref="EB5:EB68" si="42">DZ5+EA5</f>
        <v>4</v>
      </c>
      <c r="EC5" s="305">
        <v>84</v>
      </c>
      <c r="ED5" s="305">
        <v>18</v>
      </c>
      <c r="EE5" s="686">
        <f t="shared" ref="EE5:EE68" si="43">EC5+ED5</f>
        <v>102</v>
      </c>
      <c r="EF5" s="305">
        <v>24</v>
      </c>
      <c r="EG5" s="305">
        <v>6</v>
      </c>
      <c r="EH5" s="686">
        <f t="shared" ref="EH5:EH68" si="44">EF5+EG5</f>
        <v>30</v>
      </c>
      <c r="EI5" s="305">
        <v>4</v>
      </c>
      <c r="EJ5" s="305">
        <v>7</v>
      </c>
      <c r="EK5" s="686">
        <f t="shared" ref="EK5:EK68" si="45">EI5+EJ5</f>
        <v>11</v>
      </c>
      <c r="EL5" s="305">
        <v>0</v>
      </c>
      <c r="EM5" s="305">
        <v>0</v>
      </c>
      <c r="EN5" s="686">
        <f t="shared" ref="EN5:EN68" si="46">EL5+EM5</f>
        <v>0</v>
      </c>
      <c r="EO5" s="305">
        <v>0</v>
      </c>
      <c r="EP5" s="305">
        <v>0</v>
      </c>
      <c r="EQ5" s="686">
        <f t="shared" ref="EQ5:EQ68" si="47">EO5+EP5</f>
        <v>0</v>
      </c>
      <c r="ER5" s="305">
        <v>0</v>
      </c>
      <c r="ES5" s="305">
        <v>0</v>
      </c>
      <c r="ET5" s="686">
        <f t="shared" ref="ET5:ET68" si="48">ER5+ES5</f>
        <v>0</v>
      </c>
      <c r="EU5" s="305">
        <v>0</v>
      </c>
      <c r="EV5" s="305">
        <v>0</v>
      </c>
      <c r="EW5" s="686">
        <f t="shared" ref="EW5:EW68" si="49">EU5+EV5</f>
        <v>0</v>
      </c>
      <c r="EX5" s="305">
        <v>0</v>
      </c>
      <c r="EY5" s="305">
        <v>0</v>
      </c>
      <c r="EZ5" s="686">
        <f t="shared" ref="EZ5:EZ68" si="50">EX5+EY5</f>
        <v>0</v>
      </c>
      <c r="FA5" s="305">
        <v>0</v>
      </c>
      <c r="FB5" s="305">
        <v>0</v>
      </c>
      <c r="FC5" s="686">
        <f t="shared" ref="FC5:FC68" si="51">FA5+FB5</f>
        <v>0</v>
      </c>
      <c r="FD5" s="305">
        <v>0</v>
      </c>
      <c r="FE5" s="305">
        <v>0</v>
      </c>
      <c r="FF5" s="686">
        <f t="shared" ref="FF5:FF68" si="52">FD5+FE5</f>
        <v>0</v>
      </c>
      <c r="FG5" s="305">
        <v>0</v>
      </c>
      <c r="FH5" s="305">
        <v>0</v>
      </c>
      <c r="FI5" s="686">
        <f t="shared" ref="FI5:FI68" si="53">FG5+FH5</f>
        <v>0</v>
      </c>
      <c r="FJ5" s="305">
        <v>0</v>
      </c>
      <c r="FK5" s="305">
        <v>0</v>
      </c>
      <c r="FL5" s="686">
        <f t="shared" ref="FL5:FL68" si="54">FJ5+FK5</f>
        <v>0</v>
      </c>
      <c r="FM5" s="305">
        <v>0</v>
      </c>
      <c r="FN5" s="305">
        <v>0</v>
      </c>
      <c r="FO5" s="686">
        <f t="shared" ref="FO5:FO68" si="55">FM5+FN5</f>
        <v>0</v>
      </c>
      <c r="FP5" s="305">
        <v>0</v>
      </c>
      <c r="FQ5" s="305">
        <v>0</v>
      </c>
      <c r="FR5" s="686">
        <f t="shared" ref="FR5:FR68" si="56">FP5+FQ5</f>
        <v>0</v>
      </c>
      <c r="FS5" s="305">
        <v>0</v>
      </c>
      <c r="FT5" s="305">
        <v>0</v>
      </c>
      <c r="FU5" s="686">
        <f t="shared" ref="FU5:FU68" si="57">FS5+FT5</f>
        <v>0</v>
      </c>
      <c r="FV5" s="305">
        <v>0</v>
      </c>
      <c r="FW5" s="305">
        <v>0</v>
      </c>
      <c r="FX5" s="686">
        <f t="shared" ref="FX5:FX68" si="58">FV5+FW5</f>
        <v>0</v>
      </c>
      <c r="FY5" s="305">
        <v>1</v>
      </c>
      <c r="FZ5" s="305">
        <v>0</v>
      </c>
      <c r="GA5" s="686">
        <f t="shared" ref="GA5:GA68" si="59">FY5+FZ5</f>
        <v>1</v>
      </c>
      <c r="GB5" s="305">
        <v>0</v>
      </c>
      <c r="GC5" s="305">
        <v>0</v>
      </c>
      <c r="GD5" s="686">
        <f t="shared" ref="GD5:GD68" si="60">GB5+GC5</f>
        <v>0</v>
      </c>
      <c r="GE5" s="305">
        <v>0</v>
      </c>
      <c r="GF5" s="305">
        <v>0</v>
      </c>
      <c r="GG5" s="686">
        <f t="shared" ref="GG5:GG68" si="61">GE5+GF5</f>
        <v>0</v>
      </c>
      <c r="GH5" s="305">
        <v>2</v>
      </c>
      <c r="GI5" s="305">
        <v>0</v>
      </c>
      <c r="GJ5" s="686">
        <f t="shared" ref="GJ5:GJ68" si="62">GH5+GI5</f>
        <v>2</v>
      </c>
      <c r="GK5" s="305">
        <v>134</v>
      </c>
      <c r="GL5" s="305">
        <v>128</v>
      </c>
      <c r="GM5" s="686">
        <f t="shared" ref="GM5:GM68" si="63">GK5+GL5</f>
        <v>262</v>
      </c>
      <c r="GN5" s="305">
        <v>706</v>
      </c>
      <c r="GO5" s="305">
        <v>1961</v>
      </c>
      <c r="GP5" s="686">
        <f t="shared" ref="GP5:GP68" si="64">GN5+GO5</f>
        <v>2667</v>
      </c>
      <c r="GQ5" s="305">
        <v>6</v>
      </c>
      <c r="GR5" s="305">
        <v>0</v>
      </c>
      <c r="GS5" s="686">
        <f t="shared" ref="GS5:GS68" si="65">GQ5+GR5</f>
        <v>6</v>
      </c>
      <c r="GT5" s="305">
        <v>50</v>
      </c>
      <c r="GU5" s="305">
        <v>13</v>
      </c>
      <c r="GV5" s="686">
        <f t="shared" ref="GV5:GV68" si="66">GT5+GU5</f>
        <v>63</v>
      </c>
      <c r="GW5" s="305">
        <v>7</v>
      </c>
      <c r="GX5" s="305">
        <v>6</v>
      </c>
      <c r="GY5" s="686">
        <f t="shared" ref="GY5:GY68" si="67">GW5+GX5</f>
        <v>13</v>
      </c>
      <c r="GZ5" s="305">
        <v>12</v>
      </c>
      <c r="HA5" s="305">
        <v>4</v>
      </c>
      <c r="HB5" s="686">
        <f t="shared" ref="HB5:HB68" si="68">GZ5+HA5</f>
        <v>16</v>
      </c>
      <c r="HC5" s="305">
        <v>7</v>
      </c>
      <c r="HD5" s="305">
        <v>3</v>
      </c>
      <c r="HE5" s="686">
        <f t="shared" ref="HE5:HE68" si="69">HC5+HD5</f>
        <v>10</v>
      </c>
      <c r="HF5" s="305">
        <v>25</v>
      </c>
      <c r="HG5" s="305">
        <v>9</v>
      </c>
      <c r="HH5" s="686">
        <f t="shared" ref="HH5:HH68" si="70">HF5+HG5</f>
        <v>34</v>
      </c>
      <c r="HI5" s="305">
        <v>147</v>
      </c>
      <c r="HJ5" s="305">
        <v>294</v>
      </c>
      <c r="HK5" s="686">
        <f t="shared" ref="HK5:HK68" si="71">HI5+HJ5</f>
        <v>441</v>
      </c>
      <c r="HL5" s="305">
        <v>0</v>
      </c>
      <c r="HM5" s="305">
        <v>206</v>
      </c>
      <c r="HN5" s="686">
        <f t="shared" ref="HN5:HN68" si="72">HL5+HM5</f>
        <v>206</v>
      </c>
      <c r="HO5" s="305">
        <v>32</v>
      </c>
      <c r="HP5" s="305">
        <v>373</v>
      </c>
      <c r="HQ5" s="686">
        <f t="shared" ref="HQ5:HQ68" si="73">HO5+HP5</f>
        <v>405</v>
      </c>
      <c r="HR5" s="305">
        <v>10</v>
      </c>
      <c r="HS5" s="305">
        <v>48</v>
      </c>
      <c r="HT5" s="686">
        <f t="shared" ref="HT5:HT68" si="74">HR5+HS5</f>
        <v>58</v>
      </c>
      <c r="HU5" s="305">
        <v>2</v>
      </c>
      <c r="HV5" s="305">
        <v>3</v>
      </c>
      <c r="HW5" s="686">
        <f t="shared" ref="HW5:HW68" si="75">HU5+HV5</f>
        <v>5</v>
      </c>
      <c r="HX5" s="305">
        <v>0</v>
      </c>
      <c r="HY5" s="305">
        <v>0</v>
      </c>
      <c r="HZ5" s="686">
        <f t="shared" ref="HZ5:HZ68" si="76">HX5+HY5</f>
        <v>0</v>
      </c>
      <c r="IA5" s="305">
        <v>1</v>
      </c>
      <c r="IB5" s="305">
        <v>1</v>
      </c>
      <c r="IC5" s="686">
        <f t="shared" ref="IC5:IC68" si="77">IA5+IB5</f>
        <v>2</v>
      </c>
      <c r="ID5" s="305">
        <v>123</v>
      </c>
      <c r="IE5" s="305">
        <v>0</v>
      </c>
      <c r="IF5" s="686">
        <f t="shared" ref="IF5:IF68" si="78">ID5+IE5</f>
        <v>123</v>
      </c>
      <c r="IG5" s="305">
        <v>1</v>
      </c>
      <c r="IH5" s="305">
        <v>4</v>
      </c>
      <c r="II5" s="686">
        <f t="shared" ref="II5:II68" si="79">IG5+IH5</f>
        <v>5</v>
      </c>
      <c r="IJ5" s="305">
        <v>442</v>
      </c>
      <c r="IK5" s="305">
        <v>0</v>
      </c>
      <c r="IL5" s="686">
        <f t="shared" ref="IL5:IL68" si="80">IJ5+IK5</f>
        <v>442</v>
      </c>
      <c r="IM5" s="305">
        <v>4</v>
      </c>
      <c r="IN5" s="305">
        <v>2</v>
      </c>
      <c r="IO5" s="686">
        <f t="shared" ref="IO5:IO68" si="81">IM5+IN5</f>
        <v>6</v>
      </c>
      <c r="IP5" s="305">
        <v>0</v>
      </c>
      <c r="IQ5" s="305">
        <v>0</v>
      </c>
      <c r="IR5" s="686">
        <f t="shared" ref="IR5:IR68" si="82">IP5+IQ5</f>
        <v>0</v>
      </c>
      <c r="IS5" s="305">
        <v>1170</v>
      </c>
      <c r="IT5" s="305">
        <v>376</v>
      </c>
      <c r="IU5" s="686">
        <f t="shared" ref="IU5:IU68" si="83">IS5+IT5</f>
        <v>1546</v>
      </c>
      <c r="IV5" s="305">
        <v>4</v>
      </c>
      <c r="IW5" s="305">
        <v>3</v>
      </c>
      <c r="IX5" s="686">
        <f t="shared" ref="IX5:IX68" si="84">IV5+IW5</f>
        <v>7</v>
      </c>
      <c r="IY5" s="305">
        <v>0</v>
      </c>
      <c r="IZ5" s="305">
        <v>0</v>
      </c>
      <c r="JA5" s="686">
        <f t="shared" ref="JA5:JA68" si="85">IY5+IZ5</f>
        <v>0</v>
      </c>
      <c r="JB5" s="305">
        <v>1</v>
      </c>
      <c r="JC5" s="305">
        <v>0</v>
      </c>
      <c r="JD5" s="686">
        <f t="shared" ref="JD5:JD68" si="86">JB5+JC5</f>
        <v>1</v>
      </c>
      <c r="JE5" s="305">
        <v>17413</v>
      </c>
      <c r="JF5" s="305">
        <v>3736</v>
      </c>
      <c r="JG5" s="686">
        <f t="shared" ref="JG5:JG68" si="87">JE5+JF5</f>
        <v>21149</v>
      </c>
      <c r="JH5" s="305">
        <v>5</v>
      </c>
      <c r="JI5" s="305">
        <v>0</v>
      </c>
      <c r="JJ5" s="686">
        <f t="shared" ref="JJ5:JJ68" si="88">JH5+JI5</f>
        <v>5</v>
      </c>
      <c r="JK5" s="305">
        <v>0</v>
      </c>
      <c r="JL5" s="305">
        <v>0</v>
      </c>
      <c r="JM5" s="686">
        <f t="shared" ref="JM5:JM68" si="89">JK5+JL5</f>
        <v>0</v>
      </c>
      <c r="JN5" s="305">
        <v>1</v>
      </c>
      <c r="JO5" s="305">
        <v>1</v>
      </c>
      <c r="JP5" s="686">
        <f t="shared" ref="JP5:JP68" si="90">JN5+JO5</f>
        <v>2</v>
      </c>
      <c r="JQ5" s="305">
        <v>0</v>
      </c>
      <c r="JR5" s="305">
        <v>0</v>
      </c>
      <c r="JS5" s="686">
        <f t="shared" ref="JS5:JS68" si="91">JQ5+JR5</f>
        <v>0</v>
      </c>
      <c r="JT5" s="305">
        <v>0</v>
      </c>
      <c r="JU5" s="305">
        <v>0</v>
      </c>
      <c r="JV5" s="686">
        <f t="shared" ref="JV5:JV68" si="92">JT5+JU5</f>
        <v>0</v>
      </c>
      <c r="JW5" s="305">
        <v>0</v>
      </c>
      <c r="JX5" s="305">
        <v>1</v>
      </c>
      <c r="JY5" s="686">
        <f t="shared" ref="JY5:JY68" si="93">JW5+JX5</f>
        <v>1</v>
      </c>
      <c r="JZ5" s="305">
        <v>0</v>
      </c>
      <c r="KA5" s="305">
        <v>0</v>
      </c>
      <c r="KB5" s="686">
        <f t="shared" ref="KB5:KB68" si="94">JZ5+KA5</f>
        <v>0</v>
      </c>
      <c r="KC5" s="305">
        <v>0</v>
      </c>
      <c r="KD5" s="305">
        <v>0</v>
      </c>
      <c r="KE5" s="686">
        <f t="shared" ref="KE5:KE68" si="95">KC5+KD5</f>
        <v>0</v>
      </c>
      <c r="KF5" s="305">
        <v>0</v>
      </c>
      <c r="KG5" s="305">
        <v>0</v>
      </c>
      <c r="KH5" s="686">
        <f t="shared" ref="KH5:KH68" si="96">KF5+KG5</f>
        <v>0</v>
      </c>
      <c r="KI5" s="305">
        <v>0</v>
      </c>
      <c r="KJ5" s="305">
        <v>0</v>
      </c>
      <c r="KK5" s="686">
        <f t="shared" ref="KK5:KK68" si="97">KI5+KJ5</f>
        <v>0</v>
      </c>
      <c r="KL5" s="686">
        <v>0</v>
      </c>
      <c r="KM5" s="686">
        <v>0</v>
      </c>
      <c r="KN5" s="686">
        <f t="shared" ref="KN5:KN68" si="98">KL5+KM5</f>
        <v>0</v>
      </c>
      <c r="KO5" s="686">
        <v>0</v>
      </c>
      <c r="KP5" s="686">
        <v>0</v>
      </c>
      <c r="KQ5" s="686">
        <f t="shared" ref="KQ5:KQ68" si="99">KO5+KP5</f>
        <v>0</v>
      </c>
      <c r="KR5" s="686">
        <v>0</v>
      </c>
      <c r="KS5" s="686">
        <v>0</v>
      </c>
      <c r="KT5" s="686">
        <f t="shared" ref="KT5:KT68" si="100">KR5+KS5</f>
        <v>0</v>
      </c>
      <c r="KU5" s="686">
        <v>0</v>
      </c>
      <c r="KV5" s="686">
        <v>0</v>
      </c>
      <c r="KW5" s="686">
        <f t="shared" ref="KW5:KW68" si="101">KU5+KV5</f>
        <v>0</v>
      </c>
      <c r="KX5" s="686">
        <v>0</v>
      </c>
      <c r="KY5" s="686">
        <v>0</v>
      </c>
      <c r="KZ5" s="686">
        <f t="shared" ref="KZ5:KZ68" si="102">KX5+KY5</f>
        <v>0</v>
      </c>
      <c r="LA5" s="686">
        <v>0</v>
      </c>
      <c r="LB5" s="686">
        <v>0</v>
      </c>
      <c r="LC5" s="686">
        <f t="shared" ref="LC5:LC68" si="103">LA5+LB5</f>
        <v>0</v>
      </c>
      <c r="LD5" s="686">
        <v>0</v>
      </c>
      <c r="LE5" s="686">
        <v>0</v>
      </c>
      <c r="LF5" s="686">
        <f t="shared" ref="LF5:LF68" si="104">LD5+LE5</f>
        <v>0</v>
      </c>
      <c r="LG5" s="686">
        <v>0</v>
      </c>
      <c r="LH5" s="686">
        <v>0</v>
      </c>
      <c r="LI5" s="686">
        <f t="shared" ref="LI5:LI68" si="105">LG5+LH5</f>
        <v>0</v>
      </c>
      <c r="LJ5" s="305">
        <v>1</v>
      </c>
      <c r="LK5" s="305">
        <v>1</v>
      </c>
      <c r="LL5" s="687">
        <f t="shared" ref="LL5:LL68" si="106">LJ5+LK5</f>
        <v>2</v>
      </c>
    </row>
    <row r="6" spans="1:327" x14ac:dyDescent="0.35">
      <c r="A6" s="688">
        <v>4</v>
      </c>
      <c r="B6" s="375" t="s">
        <v>254</v>
      </c>
      <c r="C6" s="431" t="s">
        <v>19</v>
      </c>
      <c r="D6" s="312">
        <v>7208</v>
      </c>
      <c r="E6" s="312">
        <v>6592</v>
      </c>
      <c r="F6" s="622">
        <f t="shared" si="0"/>
        <v>13800</v>
      </c>
      <c r="G6" s="312">
        <v>9</v>
      </c>
      <c r="H6" s="312">
        <v>11545</v>
      </c>
      <c r="I6" s="622">
        <f t="shared" si="1"/>
        <v>11554</v>
      </c>
      <c r="J6" s="312">
        <v>8431</v>
      </c>
      <c r="K6" s="312">
        <v>7167</v>
      </c>
      <c r="L6" s="622">
        <f t="shared" si="2"/>
        <v>15598</v>
      </c>
      <c r="M6" s="312">
        <v>480</v>
      </c>
      <c r="N6" s="312">
        <v>179</v>
      </c>
      <c r="O6" s="622">
        <f t="shared" si="3"/>
        <v>659</v>
      </c>
      <c r="P6" s="312">
        <v>604</v>
      </c>
      <c r="Q6" s="312">
        <v>548</v>
      </c>
      <c r="R6" s="622">
        <f t="shared" si="4"/>
        <v>1152</v>
      </c>
      <c r="S6" s="312">
        <v>41</v>
      </c>
      <c r="T6" s="312">
        <v>5</v>
      </c>
      <c r="U6" s="622">
        <f t="shared" si="5"/>
        <v>46</v>
      </c>
      <c r="V6" s="312">
        <v>64</v>
      </c>
      <c r="W6" s="312">
        <v>3</v>
      </c>
      <c r="X6" s="622">
        <f t="shared" si="6"/>
        <v>67</v>
      </c>
      <c r="Y6" s="312">
        <v>138</v>
      </c>
      <c r="Z6" s="312">
        <v>40</v>
      </c>
      <c r="AA6" s="622">
        <f t="shared" si="7"/>
        <v>178</v>
      </c>
      <c r="AB6" s="312">
        <v>23</v>
      </c>
      <c r="AC6" s="312">
        <v>15</v>
      </c>
      <c r="AD6" s="622">
        <f t="shared" si="8"/>
        <v>38</v>
      </c>
      <c r="AE6" s="312">
        <v>2</v>
      </c>
      <c r="AF6" s="312">
        <v>0</v>
      </c>
      <c r="AG6" s="622">
        <f t="shared" si="9"/>
        <v>2</v>
      </c>
      <c r="AH6" s="312">
        <v>0</v>
      </c>
      <c r="AI6" s="312">
        <v>0</v>
      </c>
      <c r="AJ6" s="622">
        <f t="shared" si="10"/>
        <v>0</v>
      </c>
      <c r="AK6" s="312">
        <v>10</v>
      </c>
      <c r="AL6" s="312">
        <v>4</v>
      </c>
      <c r="AM6" s="622">
        <f t="shared" si="11"/>
        <v>14</v>
      </c>
      <c r="AN6" s="312">
        <v>7</v>
      </c>
      <c r="AO6" s="312">
        <v>1</v>
      </c>
      <c r="AP6" s="622">
        <f t="shared" si="12"/>
        <v>8</v>
      </c>
      <c r="AQ6" s="312">
        <v>11</v>
      </c>
      <c r="AR6" s="312">
        <v>0</v>
      </c>
      <c r="AS6" s="622">
        <f t="shared" si="13"/>
        <v>11</v>
      </c>
      <c r="AT6" s="312">
        <v>9508</v>
      </c>
      <c r="AU6" s="312">
        <v>5363</v>
      </c>
      <c r="AV6" s="622">
        <f t="shared" si="14"/>
        <v>14871</v>
      </c>
      <c r="AW6" s="312">
        <v>301</v>
      </c>
      <c r="AX6" s="312">
        <v>131</v>
      </c>
      <c r="AY6" s="622">
        <f t="shared" si="15"/>
        <v>432</v>
      </c>
      <c r="AZ6" s="312">
        <v>27</v>
      </c>
      <c r="BA6" s="312">
        <v>10</v>
      </c>
      <c r="BB6" s="622">
        <f t="shared" si="16"/>
        <v>37</v>
      </c>
      <c r="BC6" s="312">
        <v>102</v>
      </c>
      <c r="BD6" s="312">
        <v>67</v>
      </c>
      <c r="BE6" s="622">
        <f t="shared" si="17"/>
        <v>169</v>
      </c>
      <c r="BF6" s="312">
        <v>860</v>
      </c>
      <c r="BG6" s="312">
        <v>47</v>
      </c>
      <c r="BH6" s="622">
        <f t="shared" si="18"/>
        <v>907</v>
      </c>
      <c r="BI6" s="312">
        <v>13</v>
      </c>
      <c r="BJ6" s="312">
        <v>3</v>
      </c>
      <c r="BK6" s="622">
        <f t="shared" si="19"/>
        <v>16</v>
      </c>
      <c r="BL6" s="312">
        <v>0</v>
      </c>
      <c r="BM6" s="312">
        <v>0</v>
      </c>
      <c r="BN6" s="622">
        <f t="shared" si="20"/>
        <v>0</v>
      </c>
      <c r="BO6" s="312">
        <v>0</v>
      </c>
      <c r="BP6" s="312">
        <v>0</v>
      </c>
      <c r="BQ6" s="622">
        <f t="shared" si="21"/>
        <v>0</v>
      </c>
      <c r="BR6" s="312">
        <v>0</v>
      </c>
      <c r="BS6" s="312">
        <v>27</v>
      </c>
      <c r="BT6" s="622">
        <f t="shared" si="22"/>
        <v>27</v>
      </c>
      <c r="BU6" s="312">
        <v>0</v>
      </c>
      <c r="BV6" s="312">
        <v>0</v>
      </c>
      <c r="BW6" s="622">
        <f t="shared" si="23"/>
        <v>0</v>
      </c>
      <c r="BX6" s="312">
        <v>1</v>
      </c>
      <c r="BY6" s="312">
        <v>1</v>
      </c>
      <c r="BZ6" s="622">
        <f t="shared" si="24"/>
        <v>2</v>
      </c>
      <c r="CA6" s="312">
        <v>15</v>
      </c>
      <c r="CB6" s="312">
        <v>0</v>
      </c>
      <c r="CC6" s="622">
        <f t="shared" si="25"/>
        <v>15</v>
      </c>
      <c r="CD6" s="312">
        <v>2</v>
      </c>
      <c r="CE6" s="312">
        <v>0</v>
      </c>
      <c r="CF6" s="622">
        <f t="shared" si="26"/>
        <v>2</v>
      </c>
      <c r="CG6" s="312">
        <v>0</v>
      </c>
      <c r="CH6" s="312">
        <v>0</v>
      </c>
      <c r="CI6" s="622">
        <f t="shared" si="27"/>
        <v>0</v>
      </c>
      <c r="CJ6" s="312">
        <v>7</v>
      </c>
      <c r="CK6" s="312">
        <v>0</v>
      </c>
      <c r="CL6" s="622">
        <f t="shared" si="28"/>
        <v>7</v>
      </c>
      <c r="CM6" s="312">
        <v>8</v>
      </c>
      <c r="CN6" s="312">
        <v>4</v>
      </c>
      <c r="CO6" s="622">
        <f t="shared" si="29"/>
        <v>12</v>
      </c>
      <c r="CP6" s="312">
        <v>1</v>
      </c>
      <c r="CQ6" s="312">
        <v>0</v>
      </c>
      <c r="CR6" s="622">
        <f t="shared" si="30"/>
        <v>1</v>
      </c>
      <c r="CS6" s="312">
        <v>0</v>
      </c>
      <c r="CT6" s="312">
        <v>2</v>
      </c>
      <c r="CU6" s="622">
        <f t="shared" si="31"/>
        <v>2</v>
      </c>
      <c r="CV6" s="312">
        <v>0</v>
      </c>
      <c r="CW6" s="312">
        <v>0</v>
      </c>
      <c r="CX6" s="622">
        <f t="shared" si="32"/>
        <v>0</v>
      </c>
      <c r="CY6" s="312">
        <v>1</v>
      </c>
      <c r="CZ6" s="312">
        <v>2</v>
      </c>
      <c r="DA6" s="622">
        <f t="shared" si="33"/>
        <v>3</v>
      </c>
      <c r="DB6" s="312">
        <v>26</v>
      </c>
      <c r="DC6" s="312">
        <v>0</v>
      </c>
      <c r="DD6" s="622">
        <f t="shared" si="34"/>
        <v>26</v>
      </c>
      <c r="DE6" s="312">
        <v>16</v>
      </c>
      <c r="DF6" s="312">
        <v>2</v>
      </c>
      <c r="DG6" s="622">
        <f t="shared" si="35"/>
        <v>18</v>
      </c>
      <c r="DH6" s="312">
        <v>0</v>
      </c>
      <c r="DI6" s="312">
        <v>0</v>
      </c>
      <c r="DJ6" s="622">
        <f t="shared" si="36"/>
        <v>0</v>
      </c>
      <c r="DK6" s="312">
        <v>0</v>
      </c>
      <c r="DL6" s="312">
        <v>1</v>
      </c>
      <c r="DM6" s="622">
        <f t="shared" si="37"/>
        <v>1</v>
      </c>
      <c r="DN6" s="312">
        <v>0</v>
      </c>
      <c r="DO6" s="312">
        <v>2</v>
      </c>
      <c r="DP6" s="622">
        <f t="shared" si="38"/>
        <v>2</v>
      </c>
      <c r="DQ6" s="312">
        <v>1</v>
      </c>
      <c r="DR6" s="312">
        <v>1</v>
      </c>
      <c r="DS6" s="622">
        <f t="shared" si="39"/>
        <v>2</v>
      </c>
      <c r="DT6" s="312">
        <v>4</v>
      </c>
      <c r="DU6" s="312">
        <v>0</v>
      </c>
      <c r="DV6" s="622">
        <f t="shared" si="40"/>
        <v>4</v>
      </c>
      <c r="DW6" s="312">
        <v>11</v>
      </c>
      <c r="DX6" s="312">
        <v>8</v>
      </c>
      <c r="DY6" s="622">
        <f t="shared" si="41"/>
        <v>19</v>
      </c>
      <c r="DZ6" s="312">
        <v>1</v>
      </c>
      <c r="EA6" s="312">
        <v>0</v>
      </c>
      <c r="EB6" s="622">
        <f t="shared" si="42"/>
        <v>1</v>
      </c>
      <c r="EC6" s="312">
        <v>10</v>
      </c>
      <c r="ED6" s="312">
        <v>6</v>
      </c>
      <c r="EE6" s="622">
        <f t="shared" si="43"/>
        <v>16</v>
      </c>
      <c r="EF6" s="312">
        <v>10</v>
      </c>
      <c r="EG6" s="312">
        <v>1</v>
      </c>
      <c r="EH6" s="622">
        <f t="shared" si="44"/>
        <v>11</v>
      </c>
      <c r="EI6" s="312">
        <v>3</v>
      </c>
      <c r="EJ6" s="312">
        <v>2</v>
      </c>
      <c r="EK6" s="622">
        <f t="shared" si="45"/>
        <v>5</v>
      </c>
      <c r="EL6" s="312">
        <v>0</v>
      </c>
      <c r="EM6" s="312">
        <v>0</v>
      </c>
      <c r="EN6" s="622">
        <f t="shared" si="46"/>
        <v>0</v>
      </c>
      <c r="EO6" s="312">
        <v>0</v>
      </c>
      <c r="EP6" s="312">
        <v>0</v>
      </c>
      <c r="EQ6" s="622">
        <f t="shared" si="47"/>
        <v>0</v>
      </c>
      <c r="ER6" s="312">
        <v>0</v>
      </c>
      <c r="ES6" s="312">
        <v>0</v>
      </c>
      <c r="ET6" s="622">
        <f t="shared" si="48"/>
        <v>0</v>
      </c>
      <c r="EU6" s="312">
        <v>0</v>
      </c>
      <c r="EV6" s="312">
        <v>0</v>
      </c>
      <c r="EW6" s="622">
        <f t="shared" si="49"/>
        <v>0</v>
      </c>
      <c r="EX6" s="312">
        <v>0</v>
      </c>
      <c r="EY6" s="312">
        <v>0</v>
      </c>
      <c r="EZ6" s="622">
        <f t="shared" si="50"/>
        <v>0</v>
      </c>
      <c r="FA6" s="312">
        <v>0</v>
      </c>
      <c r="FB6" s="312">
        <v>0</v>
      </c>
      <c r="FC6" s="622">
        <f t="shared" si="51"/>
        <v>0</v>
      </c>
      <c r="FD6" s="312">
        <v>0</v>
      </c>
      <c r="FE6" s="312">
        <v>0</v>
      </c>
      <c r="FF6" s="622">
        <f t="shared" si="52"/>
        <v>0</v>
      </c>
      <c r="FG6" s="312">
        <v>0</v>
      </c>
      <c r="FH6" s="312">
        <v>0</v>
      </c>
      <c r="FI6" s="622">
        <f t="shared" si="53"/>
        <v>0</v>
      </c>
      <c r="FJ6" s="312">
        <v>0</v>
      </c>
      <c r="FK6" s="312">
        <v>0</v>
      </c>
      <c r="FL6" s="622">
        <f t="shared" si="54"/>
        <v>0</v>
      </c>
      <c r="FM6" s="312">
        <v>0</v>
      </c>
      <c r="FN6" s="312">
        <v>0</v>
      </c>
      <c r="FO6" s="622">
        <f t="shared" si="55"/>
        <v>0</v>
      </c>
      <c r="FP6" s="312">
        <v>0</v>
      </c>
      <c r="FQ6" s="312">
        <v>0</v>
      </c>
      <c r="FR6" s="622">
        <f t="shared" si="56"/>
        <v>0</v>
      </c>
      <c r="FS6" s="312">
        <v>0</v>
      </c>
      <c r="FT6" s="312">
        <v>0</v>
      </c>
      <c r="FU6" s="622">
        <f t="shared" si="57"/>
        <v>0</v>
      </c>
      <c r="FV6" s="312">
        <v>0</v>
      </c>
      <c r="FW6" s="312">
        <v>0</v>
      </c>
      <c r="FX6" s="622">
        <f t="shared" si="58"/>
        <v>0</v>
      </c>
      <c r="FY6" s="312">
        <v>0</v>
      </c>
      <c r="FZ6" s="312">
        <v>0</v>
      </c>
      <c r="GA6" s="622">
        <f t="shared" si="59"/>
        <v>0</v>
      </c>
      <c r="GB6" s="312">
        <v>0</v>
      </c>
      <c r="GC6" s="312">
        <v>0</v>
      </c>
      <c r="GD6" s="622">
        <f t="shared" si="60"/>
        <v>0</v>
      </c>
      <c r="GE6" s="312">
        <v>0</v>
      </c>
      <c r="GF6" s="312">
        <v>0</v>
      </c>
      <c r="GG6" s="622">
        <f t="shared" si="61"/>
        <v>0</v>
      </c>
      <c r="GH6" s="312">
        <v>0</v>
      </c>
      <c r="GI6" s="312">
        <v>0</v>
      </c>
      <c r="GJ6" s="622">
        <f t="shared" si="62"/>
        <v>0</v>
      </c>
      <c r="GK6" s="312">
        <v>34</v>
      </c>
      <c r="GL6" s="312">
        <v>30</v>
      </c>
      <c r="GM6" s="622">
        <f t="shared" si="63"/>
        <v>64</v>
      </c>
      <c r="GN6" s="312">
        <v>152</v>
      </c>
      <c r="GO6" s="312">
        <v>420</v>
      </c>
      <c r="GP6" s="622">
        <f t="shared" si="64"/>
        <v>572</v>
      </c>
      <c r="GQ6" s="312">
        <v>0</v>
      </c>
      <c r="GR6" s="312">
        <v>0</v>
      </c>
      <c r="GS6" s="622">
        <f t="shared" si="65"/>
        <v>0</v>
      </c>
      <c r="GT6" s="312">
        <v>16</v>
      </c>
      <c r="GU6" s="312">
        <v>3</v>
      </c>
      <c r="GV6" s="622">
        <f t="shared" si="66"/>
        <v>19</v>
      </c>
      <c r="GW6" s="312">
        <v>2</v>
      </c>
      <c r="GX6" s="312">
        <v>3</v>
      </c>
      <c r="GY6" s="622">
        <f t="shared" si="67"/>
        <v>5</v>
      </c>
      <c r="GZ6" s="312">
        <v>2</v>
      </c>
      <c r="HA6" s="312">
        <v>3</v>
      </c>
      <c r="HB6" s="622">
        <f t="shared" si="68"/>
        <v>5</v>
      </c>
      <c r="HC6" s="312">
        <v>0</v>
      </c>
      <c r="HD6" s="312">
        <v>0</v>
      </c>
      <c r="HE6" s="622">
        <f t="shared" si="69"/>
        <v>0</v>
      </c>
      <c r="HF6" s="312">
        <v>6</v>
      </c>
      <c r="HG6" s="312">
        <v>4</v>
      </c>
      <c r="HH6" s="622">
        <f t="shared" si="70"/>
        <v>10</v>
      </c>
      <c r="HI6" s="312">
        <v>44</v>
      </c>
      <c r="HJ6" s="312">
        <v>86</v>
      </c>
      <c r="HK6" s="622">
        <f t="shared" si="71"/>
        <v>130</v>
      </c>
      <c r="HL6" s="312">
        <v>0</v>
      </c>
      <c r="HM6" s="312">
        <v>47</v>
      </c>
      <c r="HN6" s="622">
        <f t="shared" si="72"/>
        <v>47</v>
      </c>
      <c r="HO6" s="312">
        <v>7</v>
      </c>
      <c r="HP6" s="312">
        <v>78</v>
      </c>
      <c r="HQ6" s="622">
        <f t="shared" si="73"/>
        <v>85</v>
      </c>
      <c r="HR6" s="312">
        <v>0</v>
      </c>
      <c r="HS6" s="312">
        <v>13</v>
      </c>
      <c r="HT6" s="622">
        <f t="shared" si="74"/>
        <v>13</v>
      </c>
      <c r="HU6" s="312">
        <v>0</v>
      </c>
      <c r="HV6" s="312">
        <v>0</v>
      </c>
      <c r="HW6" s="622">
        <f t="shared" si="75"/>
        <v>0</v>
      </c>
      <c r="HX6" s="312">
        <v>0</v>
      </c>
      <c r="HY6" s="312">
        <v>0</v>
      </c>
      <c r="HZ6" s="622">
        <f t="shared" si="76"/>
        <v>0</v>
      </c>
      <c r="IA6" s="312">
        <v>1</v>
      </c>
      <c r="IB6" s="312">
        <v>0</v>
      </c>
      <c r="IC6" s="622">
        <f t="shared" si="77"/>
        <v>1</v>
      </c>
      <c r="ID6" s="312">
        <v>29</v>
      </c>
      <c r="IE6" s="312">
        <v>0</v>
      </c>
      <c r="IF6" s="622">
        <f t="shared" si="78"/>
        <v>29</v>
      </c>
      <c r="IG6" s="312">
        <v>0</v>
      </c>
      <c r="IH6" s="312">
        <v>1</v>
      </c>
      <c r="II6" s="622">
        <f t="shared" si="79"/>
        <v>1</v>
      </c>
      <c r="IJ6" s="312">
        <v>104</v>
      </c>
      <c r="IK6" s="312">
        <v>0</v>
      </c>
      <c r="IL6" s="622">
        <f t="shared" si="80"/>
        <v>104</v>
      </c>
      <c r="IM6" s="312">
        <v>1</v>
      </c>
      <c r="IN6" s="312">
        <v>0</v>
      </c>
      <c r="IO6" s="622">
        <f t="shared" si="81"/>
        <v>1</v>
      </c>
      <c r="IP6" s="312">
        <v>0</v>
      </c>
      <c r="IQ6" s="312">
        <v>0</v>
      </c>
      <c r="IR6" s="622">
        <f t="shared" si="82"/>
        <v>0</v>
      </c>
      <c r="IS6" s="312">
        <v>247</v>
      </c>
      <c r="IT6" s="312">
        <v>80</v>
      </c>
      <c r="IU6" s="622">
        <f t="shared" si="83"/>
        <v>327</v>
      </c>
      <c r="IV6" s="312">
        <v>0</v>
      </c>
      <c r="IW6" s="312">
        <v>0</v>
      </c>
      <c r="IX6" s="622">
        <f t="shared" si="84"/>
        <v>0</v>
      </c>
      <c r="IY6" s="312">
        <v>0</v>
      </c>
      <c r="IZ6" s="312">
        <v>0</v>
      </c>
      <c r="JA6" s="622">
        <f t="shared" si="85"/>
        <v>0</v>
      </c>
      <c r="JB6" s="312">
        <v>0</v>
      </c>
      <c r="JC6" s="312">
        <v>0</v>
      </c>
      <c r="JD6" s="622">
        <f t="shared" si="86"/>
        <v>0</v>
      </c>
      <c r="JE6" s="312">
        <v>4361</v>
      </c>
      <c r="JF6" s="312">
        <v>873</v>
      </c>
      <c r="JG6" s="622">
        <f t="shared" si="87"/>
        <v>5234</v>
      </c>
      <c r="JH6" s="312">
        <v>0</v>
      </c>
      <c r="JI6" s="312">
        <v>0</v>
      </c>
      <c r="JJ6" s="622">
        <f t="shared" si="88"/>
        <v>0</v>
      </c>
      <c r="JK6" s="312">
        <v>0</v>
      </c>
      <c r="JL6" s="312">
        <v>0</v>
      </c>
      <c r="JM6" s="622">
        <f t="shared" si="89"/>
        <v>0</v>
      </c>
      <c r="JN6" s="312">
        <v>0</v>
      </c>
      <c r="JO6" s="312">
        <v>0</v>
      </c>
      <c r="JP6" s="622">
        <f t="shared" si="90"/>
        <v>0</v>
      </c>
      <c r="JQ6" s="312">
        <v>0</v>
      </c>
      <c r="JR6" s="312">
        <v>0</v>
      </c>
      <c r="JS6" s="622">
        <f t="shared" si="91"/>
        <v>0</v>
      </c>
      <c r="JT6" s="312">
        <v>0</v>
      </c>
      <c r="JU6" s="312">
        <v>0</v>
      </c>
      <c r="JV6" s="622">
        <f t="shared" si="92"/>
        <v>0</v>
      </c>
      <c r="JW6" s="312">
        <v>0</v>
      </c>
      <c r="JX6" s="312">
        <v>0</v>
      </c>
      <c r="JY6" s="622">
        <f t="shared" si="93"/>
        <v>0</v>
      </c>
      <c r="JZ6" s="312">
        <v>0</v>
      </c>
      <c r="KA6" s="312">
        <v>0</v>
      </c>
      <c r="KB6" s="622">
        <f t="shared" si="94"/>
        <v>0</v>
      </c>
      <c r="KC6" s="312">
        <v>0</v>
      </c>
      <c r="KD6" s="312">
        <v>0</v>
      </c>
      <c r="KE6" s="622">
        <f t="shared" si="95"/>
        <v>0</v>
      </c>
      <c r="KF6" s="312">
        <v>0</v>
      </c>
      <c r="KG6" s="312">
        <v>0</v>
      </c>
      <c r="KH6" s="622">
        <f t="shared" si="96"/>
        <v>0</v>
      </c>
      <c r="KI6" s="312">
        <v>0</v>
      </c>
      <c r="KJ6" s="312">
        <v>0</v>
      </c>
      <c r="KK6" s="622">
        <f t="shared" si="97"/>
        <v>0</v>
      </c>
      <c r="KL6" s="622">
        <v>0</v>
      </c>
      <c r="KM6" s="622">
        <v>0</v>
      </c>
      <c r="KN6" s="622">
        <f t="shared" si="98"/>
        <v>0</v>
      </c>
      <c r="KO6" s="622">
        <v>0</v>
      </c>
      <c r="KP6" s="622">
        <v>0</v>
      </c>
      <c r="KQ6" s="622">
        <f t="shared" si="99"/>
        <v>0</v>
      </c>
      <c r="KR6" s="622">
        <v>0</v>
      </c>
      <c r="KS6" s="622">
        <v>0</v>
      </c>
      <c r="KT6" s="622">
        <f t="shared" si="100"/>
        <v>0</v>
      </c>
      <c r="KU6" s="622">
        <v>0</v>
      </c>
      <c r="KV6" s="622">
        <v>0</v>
      </c>
      <c r="KW6" s="622">
        <f t="shared" si="101"/>
        <v>0</v>
      </c>
      <c r="KX6" s="622">
        <v>0</v>
      </c>
      <c r="KY6" s="622">
        <v>0</v>
      </c>
      <c r="KZ6" s="622">
        <f t="shared" si="102"/>
        <v>0</v>
      </c>
      <c r="LA6" s="622">
        <v>0</v>
      </c>
      <c r="LB6" s="622">
        <v>0</v>
      </c>
      <c r="LC6" s="622">
        <f t="shared" si="103"/>
        <v>0</v>
      </c>
      <c r="LD6" s="622">
        <v>0</v>
      </c>
      <c r="LE6" s="622">
        <v>0</v>
      </c>
      <c r="LF6" s="622">
        <f t="shared" si="104"/>
        <v>0</v>
      </c>
      <c r="LG6" s="622">
        <v>0</v>
      </c>
      <c r="LH6" s="622">
        <v>0</v>
      </c>
      <c r="LI6" s="622">
        <f t="shared" si="105"/>
        <v>0</v>
      </c>
      <c r="LJ6" s="312">
        <v>1</v>
      </c>
      <c r="LK6" s="312">
        <v>0</v>
      </c>
      <c r="LL6" s="689">
        <f t="shared" si="106"/>
        <v>1</v>
      </c>
    </row>
    <row r="7" spans="1:327" x14ac:dyDescent="0.35">
      <c r="A7" s="688">
        <v>4</v>
      </c>
      <c r="B7" s="375" t="s">
        <v>255</v>
      </c>
      <c r="C7" s="431" t="s">
        <v>23</v>
      </c>
      <c r="D7" s="312">
        <v>7426</v>
      </c>
      <c r="E7" s="312">
        <v>6673</v>
      </c>
      <c r="F7" s="622">
        <f t="shared" si="0"/>
        <v>14099</v>
      </c>
      <c r="G7" s="312">
        <v>6</v>
      </c>
      <c r="H7" s="312">
        <v>11663</v>
      </c>
      <c r="I7" s="622">
        <f t="shared" si="1"/>
        <v>11669</v>
      </c>
      <c r="J7" s="312">
        <v>8112</v>
      </c>
      <c r="K7" s="312">
        <v>7010</v>
      </c>
      <c r="L7" s="622">
        <f t="shared" si="2"/>
        <v>15122</v>
      </c>
      <c r="M7" s="312">
        <v>379</v>
      </c>
      <c r="N7" s="312">
        <v>140</v>
      </c>
      <c r="O7" s="622">
        <f t="shared" si="3"/>
        <v>519</v>
      </c>
      <c r="P7" s="312">
        <v>532</v>
      </c>
      <c r="Q7" s="312">
        <v>474</v>
      </c>
      <c r="R7" s="622">
        <f t="shared" si="4"/>
        <v>1006</v>
      </c>
      <c r="S7" s="312">
        <v>39</v>
      </c>
      <c r="T7" s="312">
        <v>1</v>
      </c>
      <c r="U7" s="622">
        <f t="shared" si="5"/>
        <v>40</v>
      </c>
      <c r="V7" s="312">
        <v>67</v>
      </c>
      <c r="W7" s="312">
        <v>5</v>
      </c>
      <c r="X7" s="622">
        <f t="shared" si="6"/>
        <v>72</v>
      </c>
      <c r="Y7" s="312">
        <v>169</v>
      </c>
      <c r="Z7" s="312">
        <v>50</v>
      </c>
      <c r="AA7" s="622">
        <f t="shared" si="7"/>
        <v>219</v>
      </c>
      <c r="AB7" s="312">
        <v>40</v>
      </c>
      <c r="AC7" s="312">
        <v>12</v>
      </c>
      <c r="AD7" s="622">
        <f t="shared" si="8"/>
        <v>52</v>
      </c>
      <c r="AE7" s="312">
        <v>2</v>
      </c>
      <c r="AF7" s="312">
        <v>0</v>
      </c>
      <c r="AG7" s="622">
        <f t="shared" si="9"/>
        <v>2</v>
      </c>
      <c r="AH7" s="312">
        <v>1</v>
      </c>
      <c r="AI7" s="312">
        <v>0</v>
      </c>
      <c r="AJ7" s="622">
        <f t="shared" si="10"/>
        <v>1</v>
      </c>
      <c r="AK7" s="312">
        <v>5</v>
      </c>
      <c r="AL7" s="312">
        <v>2</v>
      </c>
      <c r="AM7" s="622">
        <f t="shared" si="11"/>
        <v>7</v>
      </c>
      <c r="AN7" s="312">
        <v>8</v>
      </c>
      <c r="AO7" s="312">
        <v>0</v>
      </c>
      <c r="AP7" s="622">
        <f t="shared" si="12"/>
        <v>8</v>
      </c>
      <c r="AQ7" s="312">
        <v>19</v>
      </c>
      <c r="AR7" s="312">
        <v>0</v>
      </c>
      <c r="AS7" s="622">
        <f t="shared" si="13"/>
        <v>19</v>
      </c>
      <c r="AT7" s="312">
        <v>9498</v>
      </c>
      <c r="AU7" s="312">
        <v>5146</v>
      </c>
      <c r="AV7" s="622">
        <f t="shared" si="14"/>
        <v>14644</v>
      </c>
      <c r="AW7" s="312">
        <v>159</v>
      </c>
      <c r="AX7" s="312">
        <v>93</v>
      </c>
      <c r="AY7" s="622">
        <f t="shared" si="15"/>
        <v>252</v>
      </c>
      <c r="AZ7" s="312">
        <v>20</v>
      </c>
      <c r="BA7" s="312">
        <v>14</v>
      </c>
      <c r="BB7" s="622">
        <f t="shared" si="16"/>
        <v>34</v>
      </c>
      <c r="BC7" s="312">
        <v>109</v>
      </c>
      <c r="BD7" s="312">
        <v>64</v>
      </c>
      <c r="BE7" s="622">
        <f t="shared" si="17"/>
        <v>173</v>
      </c>
      <c r="BF7" s="312">
        <v>995</v>
      </c>
      <c r="BG7" s="312">
        <v>68</v>
      </c>
      <c r="BH7" s="622">
        <f t="shared" si="18"/>
        <v>1063</v>
      </c>
      <c r="BI7" s="312">
        <v>15</v>
      </c>
      <c r="BJ7" s="312">
        <v>3</v>
      </c>
      <c r="BK7" s="622">
        <f t="shared" si="19"/>
        <v>18</v>
      </c>
      <c r="BL7" s="312">
        <v>0</v>
      </c>
      <c r="BM7" s="312">
        <v>0</v>
      </c>
      <c r="BN7" s="622">
        <f t="shared" si="20"/>
        <v>0</v>
      </c>
      <c r="BO7" s="312">
        <v>0</v>
      </c>
      <c r="BP7" s="312">
        <v>0</v>
      </c>
      <c r="BQ7" s="622">
        <f t="shared" si="21"/>
        <v>0</v>
      </c>
      <c r="BR7" s="312">
        <v>1</v>
      </c>
      <c r="BS7" s="312">
        <v>17</v>
      </c>
      <c r="BT7" s="622">
        <f t="shared" si="22"/>
        <v>18</v>
      </c>
      <c r="BU7" s="312">
        <v>3</v>
      </c>
      <c r="BV7" s="312">
        <v>0</v>
      </c>
      <c r="BW7" s="622">
        <f t="shared" si="23"/>
        <v>3</v>
      </c>
      <c r="BX7" s="312">
        <v>3</v>
      </c>
      <c r="BY7" s="312">
        <v>1</v>
      </c>
      <c r="BZ7" s="622">
        <f t="shared" si="24"/>
        <v>4</v>
      </c>
      <c r="CA7" s="312">
        <v>3</v>
      </c>
      <c r="CB7" s="312">
        <v>0</v>
      </c>
      <c r="CC7" s="622">
        <f t="shared" si="25"/>
        <v>3</v>
      </c>
      <c r="CD7" s="312">
        <v>4</v>
      </c>
      <c r="CE7" s="312">
        <v>0</v>
      </c>
      <c r="CF7" s="622">
        <f t="shared" si="26"/>
        <v>4</v>
      </c>
      <c r="CG7" s="312">
        <v>0</v>
      </c>
      <c r="CH7" s="312">
        <v>0</v>
      </c>
      <c r="CI7" s="622">
        <f t="shared" si="27"/>
        <v>0</v>
      </c>
      <c r="CJ7" s="312">
        <v>3</v>
      </c>
      <c r="CK7" s="312">
        <v>0</v>
      </c>
      <c r="CL7" s="622">
        <f t="shared" si="28"/>
        <v>3</v>
      </c>
      <c r="CM7" s="312">
        <v>2</v>
      </c>
      <c r="CN7" s="312">
        <v>4</v>
      </c>
      <c r="CO7" s="622">
        <f t="shared" si="29"/>
        <v>6</v>
      </c>
      <c r="CP7" s="312">
        <v>0</v>
      </c>
      <c r="CQ7" s="312">
        <v>0</v>
      </c>
      <c r="CR7" s="622">
        <f t="shared" si="30"/>
        <v>0</v>
      </c>
      <c r="CS7" s="312">
        <v>0</v>
      </c>
      <c r="CT7" s="312">
        <v>2</v>
      </c>
      <c r="CU7" s="622">
        <f t="shared" si="31"/>
        <v>2</v>
      </c>
      <c r="CV7" s="312">
        <v>0</v>
      </c>
      <c r="CW7" s="312">
        <v>1</v>
      </c>
      <c r="CX7" s="622">
        <f t="shared" si="32"/>
        <v>1</v>
      </c>
      <c r="CY7" s="312">
        <v>0</v>
      </c>
      <c r="CZ7" s="312">
        <v>2</v>
      </c>
      <c r="DA7" s="622">
        <f t="shared" si="33"/>
        <v>2</v>
      </c>
      <c r="DB7" s="312">
        <v>12</v>
      </c>
      <c r="DC7" s="312">
        <v>0</v>
      </c>
      <c r="DD7" s="622">
        <f t="shared" si="34"/>
        <v>12</v>
      </c>
      <c r="DE7" s="312">
        <v>15</v>
      </c>
      <c r="DF7" s="312">
        <v>1</v>
      </c>
      <c r="DG7" s="622">
        <f t="shared" si="35"/>
        <v>16</v>
      </c>
      <c r="DH7" s="312">
        <v>0</v>
      </c>
      <c r="DI7" s="312">
        <v>1</v>
      </c>
      <c r="DJ7" s="622">
        <f t="shared" si="36"/>
        <v>1</v>
      </c>
      <c r="DK7" s="312">
        <v>0</v>
      </c>
      <c r="DL7" s="312">
        <v>1</v>
      </c>
      <c r="DM7" s="622">
        <f t="shared" si="37"/>
        <v>1</v>
      </c>
      <c r="DN7" s="312">
        <v>0</v>
      </c>
      <c r="DO7" s="312">
        <v>0</v>
      </c>
      <c r="DP7" s="622">
        <f t="shared" si="38"/>
        <v>0</v>
      </c>
      <c r="DQ7" s="312">
        <v>0</v>
      </c>
      <c r="DR7" s="312">
        <v>1</v>
      </c>
      <c r="DS7" s="622">
        <f t="shared" si="39"/>
        <v>1</v>
      </c>
      <c r="DT7" s="312">
        <v>1</v>
      </c>
      <c r="DU7" s="312">
        <v>0</v>
      </c>
      <c r="DV7" s="622">
        <f t="shared" si="40"/>
        <v>1</v>
      </c>
      <c r="DW7" s="312">
        <v>17</v>
      </c>
      <c r="DX7" s="312">
        <v>5</v>
      </c>
      <c r="DY7" s="622">
        <f t="shared" si="41"/>
        <v>22</v>
      </c>
      <c r="DZ7" s="312">
        <v>3</v>
      </c>
      <c r="EA7" s="312">
        <v>0</v>
      </c>
      <c r="EB7" s="622">
        <f t="shared" si="42"/>
        <v>3</v>
      </c>
      <c r="EC7" s="312">
        <v>17</v>
      </c>
      <c r="ED7" s="312">
        <v>4</v>
      </c>
      <c r="EE7" s="622">
        <f t="shared" si="43"/>
        <v>21</v>
      </c>
      <c r="EF7" s="312">
        <v>6</v>
      </c>
      <c r="EG7" s="312">
        <v>3</v>
      </c>
      <c r="EH7" s="622">
        <f t="shared" si="44"/>
        <v>9</v>
      </c>
      <c r="EI7" s="312">
        <v>0</v>
      </c>
      <c r="EJ7" s="312">
        <v>3</v>
      </c>
      <c r="EK7" s="622">
        <f t="shared" si="45"/>
        <v>3</v>
      </c>
      <c r="EL7" s="312">
        <v>0</v>
      </c>
      <c r="EM7" s="312">
        <v>0</v>
      </c>
      <c r="EN7" s="622">
        <f t="shared" si="46"/>
        <v>0</v>
      </c>
      <c r="EO7" s="312">
        <v>0</v>
      </c>
      <c r="EP7" s="312">
        <v>0</v>
      </c>
      <c r="EQ7" s="622">
        <f t="shared" si="47"/>
        <v>0</v>
      </c>
      <c r="ER7" s="312">
        <v>0</v>
      </c>
      <c r="ES7" s="312">
        <v>0</v>
      </c>
      <c r="ET7" s="622">
        <f t="shared" si="48"/>
        <v>0</v>
      </c>
      <c r="EU7" s="312">
        <v>0</v>
      </c>
      <c r="EV7" s="312">
        <v>0</v>
      </c>
      <c r="EW7" s="622">
        <f t="shared" si="49"/>
        <v>0</v>
      </c>
      <c r="EX7" s="312">
        <v>0</v>
      </c>
      <c r="EY7" s="312">
        <v>0</v>
      </c>
      <c r="EZ7" s="622">
        <f t="shared" si="50"/>
        <v>0</v>
      </c>
      <c r="FA7" s="312">
        <v>0</v>
      </c>
      <c r="FB7" s="312">
        <v>0</v>
      </c>
      <c r="FC7" s="622">
        <f t="shared" si="51"/>
        <v>0</v>
      </c>
      <c r="FD7" s="312">
        <v>0</v>
      </c>
      <c r="FE7" s="312">
        <v>0</v>
      </c>
      <c r="FF7" s="622">
        <f t="shared" si="52"/>
        <v>0</v>
      </c>
      <c r="FG7" s="312">
        <v>0</v>
      </c>
      <c r="FH7" s="312">
        <v>0</v>
      </c>
      <c r="FI7" s="622">
        <f t="shared" si="53"/>
        <v>0</v>
      </c>
      <c r="FJ7" s="312">
        <v>0</v>
      </c>
      <c r="FK7" s="312">
        <v>0</v>
      </c>
      <c r="FL7" s="622">
        <f t="shared" si="54"/>
        <v>0</v>
      </c>
      <c r="FM7" s="312">
        <v>0</v>
      </c>
      <c r="FN7" s="312">
        <v>0</v>
      </c>
      <c r="FO7" s="622">
        <f t="shared" si="55"/>
        <v>0</v>
      </c>
      <c r="FP7" s="312">
        <v>0</v>
      </c>
      <c r="FQ7" s="312">
        <v>0</v>
      </c>
      <c r="FR7" s="622">
        <f t="shared" si="56"/>
        <v>0</v>
      </c>
      <c r="FS7" s="312">
        <v>0</v>
      </c>
      <c r="FT7" s="312">
        <v>0</v>
      </c>
      <c r="FU7" s="622">
        <f t="shared" si="57"/>
        <v>0</v>
      </c>
      <c r="FV7" s="312">
        <v>0</v>
      </c>
      <c r="FW7" s="312">
        <v>0</v>
      </c>
      <c r="FX7" s="622">
        <f t="shared" si="58"/>
        <v>0</v>
      </c>
      <c r="FY7" s="312">
        <v>0</v>
      </c>
      <c r="FZ7" s="312">
        <v>0</v>
      </c>
      <c r="GA7" s="622">
        <f t="shared" si="59"/>
        <v>0</v>
      </c>
      <c r="GB7" s="312">
        <v>0</v>
      </c>
      <c r="GC7" s="312">
        <v>0</v>
      </c>
      <c r="GD7" s="622">
        <f t="shared" si="60"/>
        <v>0</v>
      </c>
      <c r="GE7" s="312">
        <v>0</v>
      </c>
      <c r="GF7" s="312">
        <v>0</v>
      </c>
      <c r="GG7" s="622">
        <f t="shared" si="61"/>
        <v>0</v>
      </c>
      <c r="GH7" s="312">
        <v>2</v>
      </c>
      <c r="GI7" s="312">
        <v>0</v>
      </c>
      <c r="GJ7" s="622">
        <f t="shared" si="62"/>
        <v>2</v>
      </c>
      <c r="GK7" s="312">
        <v>38</v>
      </c>
      <c r="GL7" s="312">
        <v>28</v>
      </c>
      <c r="GM7" s="622">
        <f t="shared" si="63"/>
        <v>66</v>
      </c>
      <c r="GN7" s="312">
        <v>163</v>
      </c>
      <c r="GO7" s="312">
        <v>420</v>
      </c>
      <c r="GP7" s="622">
        <f t="shared" si="64"/>
        <v>583</v>
      </c>
      <c r="GQ7" s="312">
        <v>3</v>
      </c>
      <c r="GR7" s="312">
        <v>0</v>
      </c>
      <c r="GS7" s="622">
        <f t="shared" si="65"/>
        <v>3</v>
      </c>
      <c r="GT7" s="312">
        <v>10</v>
      </c>
      <c r="GU7" s="312">
        <v>3</v>
      </c>
      <c r="GV7" s="622">
        <f t="shared" si="66"/>
        <v>13</v>
      </c>
      <c r="GW7" s="312">
        <v>1</v>
      </c>
      <c r="GX7" s="312">
        <v>2</v>
      </c>
      <c r="GY7" s="622">
        <f t="shared" si="67"/>
        <v>3</v>
      </c>
      <c r="GZ7" s="312">
        <v>2</v>
      </c>
      <c r="HA7" s="312">
        <v>0</v>
      </c>
      <c r="HB7" s="622">
        <f t="shared" si="68"/>
        <v>2</v>
      </c>
      <c r="HC7" s="312">
        <v>2</v>
      </c>
      <c r="HD7" s="312">
        <v>0</v>
      </c>
      <c r="HE7" s="622">
        <f t="shared" si="69"/>
        <v>2</v>
      </c>
      <c r="HF7" s="312">
        <v>6</v>
      </c>
      <c r="HG7" s="312">
        <v>0</v>
      </c>
      <c r="HH7" s="622">
        <f t="shared" si="70"/>
        <v>6</v>
      </c>
      <c r="HI7" s="312">
        <v>41</v>
      </c>
      <c r="HJ7" s="312">
        <v>71</v>
      </c>
      <c r="HK7" s="622">
        <f t="shared" si="71"/>
        <v>112</v>
      </c>
      <c r="HL7" s="312">
        <v>0</v>
      </c>
      <c r="HM7" s="312">
        <v>42</v>
      </c>
      <c r="HN7" s="622">
        <f t="shared" si="72"/>
        <v>42</v>
      </c>
      <c r="HO7" s="312">
        <v>13</v>
      </c>
      <c r="HP7" s="312">
        <v>84</v>
      </c>
      <c r="HQ7" s="622">
        <f t="shared" si="73"/>
        <v>97</v>
      </c>
      <c r="HR7" s="312">
        <v>4</v>
      </c>
      <c r="HS7" s="312">
        <v>10</v>
      </c>
      <c r="HT7" s="622">
        <f t="shared" si="74"/>
        <v>14</v>
      </c>
      <c r="HU7" s="312">
        <v>1</v>
      </c>
      <c r="HV7" s="312">
        <v>2</v>
      </c>
      <c r="HW7" s="622">
        <f t="shared" si="75"/>
        <v>3</v>
      </c>
      <c r="HX7" s="312">
        <v>0</v>
      </c>
      <c r="HY7" s="312">
        <v>0</v>
      </c>
      <c r="HZ7" s="622">
        <f t="shared" si="76"/>
        <v>0</v>
      </c>
      <c r="IA7" s="312">
        <v>0</v>
      </c>
      <c r="IB7" s="312">
        <v>0</v>
      </c>
      <c r="IC7" s="622">
        <f t="shared" si="77"/>
        <v>0</v>
      </c>
      <c r="ID7" s="312">
        <v>18</v>
      </c>
      <c r="IE7" s="312">
        <v>0</v>
      </c>
      <c r="IF7" s="622">
        <f t="shared" si="78"/>
        <v>18</v>
      </c>
      <c r="IG7" s="312">
        <v>0</v>
      </c>
      <c r="IH7" s="312">
        <v>2</v>
      </c>
      <c r="II7" s="622">
        <f t="shared" si="79"/>
        <v>2</v>
      </c>
      <c r="IJ7" s="312">
        <v>110</v>
      </c>
      <c r="IK7" s="312">
        <v>0</v>
      </c>
      <c r="IL7" s="622">
        <f t="shared" si="80"/>
        <v>110</v>
      </c>
      <c r="IM7" s="312">
        <v>0</v>
      </c>
      <c r="IN7" s="312">
        <v>1</v>
      </c>
      <c r="IO7" s="622">
        <f t="shared" si="81"/>
        <v>1</v>
      </c>
      <c r="IP7" s="312">
        <v>0</v>
      </c>
      <c r="IQ7" s="312">
        <v>0</v>
      </c>
      <c r="IR7" s="622">
        <f t="shared" si="82"/>
        <v>0</v>
      </c>
      <c r="IS7" s="312">
        <v>321</v>
      </c>
      <c r="IT7" s="312">
        <v>90</v>
      </c>
      <c r="IU7" s="622">
        <f t="shared" si="83"/>
        <v>411</v>
      </c>
      <c r="IV7" s="312">
        <v>1</v>
      </c>
      <c r="IW7" s="312">
        <v>3</v>
      </c>
      <c r="IX7" s="622">
        <f t="shared" si="84"/>
        <v>4</v>
      </c>
      <c r="IY7" s="312">
        <v>0</v>
      </c>
      <c r="IZ7" s="312">
        <v>0</v>
      </c>
      <c r="JA7" s="622">
        <f t="shared" si="85"/>
        <v>0</v>
      </c>
      <c r="JB7" s="312">
        <v>0</v>
      </c>
      <c r="JC7" s="312">
        <v>0</v>
      </c>
      <c r="JD7" s="622">
        <f t="shared" si="86"/>
        <v>0</v>
      </c>
      <c r="JE7" s="312">
        <v>4988</v>
      </c>
      <c r="JF7" s="312">
        <v>1117</v>
      </c>
      <c r="JG7" s="622">
        <f t="shared" si="87"/>
        <v>6105</v>
      </c>
      <c r="JH7" s="312">
        <v>4</v>
      </c>
      <c r="JI7" s="312">
        <v>0</v>
      </c>
      <c r="JJ7" s="622">
        <f t="shared" si="88"/>
        <v>4</v>
      </c>
      <c r="JK7" s="312">
        <v>0</v>
      </c>
      <c r="JL7" s="312">
        <v>0</v>
      </c>
      <c r="JM7" s="622">
        <f t="shared" si="89"/>
        <v>0</v>
      </c>
      <c r="JN7" s="312">
        <v>1</v>
      </c>
      <c r="JO7" s="312">
        <v>0</v>
      </c>
      <c r="JP7" s="622">
        <f t="shared" si="90"/>
        <v>1</v>
      </c>
      <c r="JQ7" s="312">
        <v>0</v>
      </c>
      <c r="JR7" s="312">
        <v>0</v>
      </c>
      <c r="JS7" s="622">
        <f t="shared" si="91"/>
        <v>0</v>
      </c>
      <c r="JT7" s="312">
        <v>0</v>
      </c>
      <c r="JU7" s="312">
        <v>0</v>
      </c>
      <c r="JV7" s="622">
        <f t="shared" si="92"/>
        <v>0</v>
      </c>
      <c r="JW7" s="312">
        <v>0</v>
      </c>
      <c r="JX7" s="312">
        <v>0</v>
      </c>
      <c r="JY7" s="622">
        <f t="shared" si="93"/>
        <v>0</v>
      </c>
      <c r="JZ7" s="312">
        <v>0</v>
      </c>
      <c r="KA7" s="312">
        <v>0</v>
      </c>
      <c r="KB7" s="622">
        <f t="shared" si="94"/>
        <v>0</v>
      </c>
      <c r="KC7" s="312">
        <v>0</v>
      </c>
      <c r="KD7" s="312">
        <v>0</v>
      </c>
      <c r="KE7" s="622">
        <f t="shared" si="95"/>
        <v>0</v>
      </c>
      <c r="KF7" s="312">
        <v>0</v>
      </c>
      <c r="KG7" s="312">
        <v>0</v>
      </c>
      <c r="KH7" s="622">
        <f t="shared" si="96"/>
        <v>0</v>
      </c>
      <c r="KI7" s="312">
        <v>0</v>
      </c>
      <c r="KJ7" s="312">
        <v>0</v>
      </c>
      <c r="KK7" s="622">
        <f t="shared" si="97"/>
        <v>0</v>
      </c>
      <c r="KL7" s="622">
        <v>0</v>
      </c>
      <c r="KM7" s="622">
        <v>0</v>
      </c>
      <c r="KN7" s="622">
        <f t="shared" si="98"/>
        <v>0</v>
      </c>
      <c r="KO7" s="622">
        <v>0</v>
      </c>
      <c r="KP7" s="622">
        <v>0</v>
      </c>
      <c r="KQ7" s="622">
        <f t="shared" si="99"/>
        <v>0</v>
      </c>
      <c r="KR7" s="622">
        <v>0</v>
      </c>
      <c r="KS7" s="622">
        <v>0</v>
      </c>
      <c r="KT7" s="622">
        <f t="shared" si="100"/>
        <v>0</v>
      </c>
      <c r="KU7" s="622">
        <v>0</v>
      </c>
      <c r="KV7" s="622">
        <v>0</v>
      </c>
      <c r="KW7" s="622">
        <f t="shared" si="101"/>
        <v>0</v>
      </c>
      <c r="KX7" s="622">
        <v>0</v>
      </c>
      <c r="KY7" s="622">
        <v>0</v>
      </c>
      <c r="KZ7" s="622">
        <f t="shared" si="102"/>
        <v>0</v>
      </c>
      <c r="LA7" s="622">
        <v>0</v>
      </c>
      <c r="LB7" s="622">
        <v>0</v>
      </c>
      <c r="LC7" s="622">
        <f t="shared" si="103"/>
        <v>0</v>
      </c>
      <c r="LD7" s="622">
        <v>0</v>
      </c>
      <c r="LE7" s="622">
        <v>0</v>
      </c>
      <c r="LF7" s="622">
        <f t="shared" si="104"/>
        <v>0</v>
      </c>
      <c r="LG7" s="622">
        <v>0</v>
      </c>
      <c r="LH7" s="622">
        <v>0</v>
      </c>
      <c r="LI7" s="622">
        <f t="shared" si="105"/>
        <v>0</v>
      </c>
      <c r="LJ7" s="312">
        <v>0</v>
      </c>
      <c r="LK7" s="312">
        <v>0</v>
      </c>
      <c r="LL7" s="689">
        <f t="shared" si="106"/>
        <v>0</v>
      </c>
    </row>
    <row r="8" spans="1:327" x14ac:dyDescent="0.35">
      <c r="A8" s="688">
        <v>4</v>
      </c>
      <c r="B8" s="375" t="s">
        <v>256</v>
      </c>
      <c r="C8" s="431" t="s">
        <v>25</v>
      </c>
      <c r="D8" s="312">
        <v>8351</v>
      </c>
      <c r="E8" s="312">
        <v>7615</v>
      </c>
      <c r="F8" s="622">
        <f t="shared" si="0"/>
        <v>15966</v>
      </c>
      <c r="G8" s="312">
        <v>5</v>
      </c>
      <c r="H8" s="312">
        <v>13482</v>
      </c>
      <c r="I8" s="622">
        <f t="shared" si="1"/>
        <v>13487</v>
      </c>
      <c r="J8" s="312">
        <v>9135</v>
      </c>
      <c r="K8" s="312">
        <v>8008</v>
      </c>
      <c r="L8" s="622">
        <f t="shared" si="2"/>
        <v>17143</v>
      </c>
      <c r="M8" s="312">
        <v>615</v>
      </c>
      <c r="N8" s="312">
        <v>236</v>
      </c>
      <c r="O8" s="622">
        <f t="shared" si="3"/>
        <v>851</v>
      </c>
      <c r="P8" s="312">
        <v>647</v>
      </c>
      <c r="Q8" s="312">
        <v>631</v>
      </c>
      <c r="R8" s="622">
        <f t="shared" si="4"/>
        <v>1278</v>
      </c>
      <c r="S8" s="312">
        <v>71</v>
      </c>
      <c r="T8" s="312">
        <v>5</v>
      </c>
      <c r="U8" s="622">
        <f t="shared" si="5"/>
        <v>76</v>
      </c>
      <c r="V8" s="312">
        <v>90</v>
      </c>
      <c r="W8" s="312">
        <v>6</v>
      </c>
      <c r="X8" s="622">
        <f t="shared" si="6"/>
        <v>96</v>
      </c>
      <c r="Y8" s="312">
        <v>141</v>
      </c>
      <c r="Z8" s="312">
        <v>39</v>
      </c>
      <c r="AA8" s="622">
        <f t="shared" si="7"/>
        <v>180</v>
      </c>
      <c r="AB8" s="312">
        <v>38</v>
      </c>
      <c r="AC8" s="312">
        <v>15</v>
      </c>
      <c r="AD8" s="622">
        <f t="shared" si="8"/>
        <v>53</v>
      </c>
      <c r="AE8" s="312">
        <v>1</v>
      </c>
      <c r="AF8" s="312">
        <v>0</v>
      </c>
      <c r="AG8" s="622">
        <f t="shared" si="9"/>
        <v>1</v>
      </c>
      <c r="AH8" s="312">
        <v>3</v>
      </c>
      <c r="AI8" s="312">
        <v>0</v>
      </c>
      <c r="AJ8" s="622">
        <f t="shared" si="10"/>
        <v>3</v>
      </c>
      <c r="AK8" s="312">
        <v>9</v>
      </c>
      <c r="AL8" s="312">
        <v>1</v>
      </c>
      <c r="AM8" s="622">
        <f t="shared" si="11"/>
        <v>10</v>
      </c>
      <c r="AN8" s="312">
        <v>11</v>
      </c>
      <c r="AO8" s="312">
        <v>0</v>
      </c>
      <c r="AP8" s="622">
        <f t="shared" si="12"/>
        <v>11</v>
      </c>
      <c r="AQ8" s="312">
        <v>29</v>
      </c>
      <c r="AR8" s="312">
        <v>1</v>
      </c>
      <c r="AS8" s="622">
        <f t="shared" si="13"/>
        <v>30</v>
      </c>
      <c r="AT8" s="312">
        <v>11098</v>
      </c>
      <c r="AU8" s="312">
        <v>6240</v>
      </c>
      <c r="AV8" s="622">
        <f t="shared" si="14"/>
        <v>17338</v>
      </c>
      <c r="AW8" s="312">
        <v>285</v>
      </c>
      <c r="AX8" s="312">
        <v>147</v>
      </c>
      <c r="AY8" s="622">
        <f t="shared" si="15"/>
        <v>432</v>
      </c>
      <c r="AZ8" s="312">
        <v>24</v>
      </c>
      <c r="BA8" s="312">
        <v>21</v>
      </c>
      <c r="BB8" s="622">
        <f t="shared" si="16"/>
        <v>45</v>
      </c>
      <c r="BC8" s="312">
        <v>99</v>
      </c>
      <c r="BD8" s="312">
        <v>75</v>
      </c>
      <c r="BE8" s="622">
        <f t="shared" si="17"/>
        <v>174</v>
      </c>
      <c r="BF8" s="312">
        <v>1057</v>
      </c>
      <c r="BG8" s="312">
        <v>55</v>
      </c>
      <c r="BH8" s="622">
        <f t="shared" si="18"/>
        <v>1112</v>
      </c>
      <c r="BI8" s="312">
        <v>21</v>
      </c>
      <c r="BJ8" s="312">
        <v>0</v>
      </c>
      <c r="BK8" s="622">
        <f t="shared" si="19"/>
        <v>21</v>
      </c>
      <c r="BL8" s="312">
        <v>0</v>
      </c>
      <c r="BM8" s="312">
        <v>0</v>
      </c>
      <c r="BN8" s="622">
        <f t="shared" si="20"/>
        <v>0</v>
      </c>
      <c r="BO8" s="312">
        <v>1</v>
      </c>
      <c r="BP8" s="312">
        <v>0</v>
      </c>
      <c r="BQ8" s="622">
        <f t="shared" si="21"/>
        <v>1</v>
      </c>
      <c r="BR8" s="312">
        <v>0</v>
      </c>
      <c r="BS8" s="312">
        <v>21</v>
      </c>
      <c r="BT8" s="622">
        <f t="shared" si="22"/>
        <v>21</v>
      </c>
      <c r="BU8" s="312">
        <v>1</v>
      </c>
      <c r="BV8" s="312">
        <v>0</v>
      </c>
      <c r="BW8" s="622">
        <f t="shared" si="23"/>
        <v>1</v>
      </c>
      <c r="BX8" s="312">
        <v>2</v>
      </c>
      <c r="BY8" s="312">
        <v>0</v>
      </c>
      <c r="BZ8" s="622">
        <f t="shared" si="24"/>
        <v>2</v>
      </c>
      <c r="CA8" s="312">
        <v>17</v>
      </c>
      <c r="CB8" s="312">
        <v>0</v>
      </c>
      <c r="CC8" s="622">
        <f t="shared" si="25"/>
        <v>17</v>
      </c>
      <c r="CD8" s="312">
        <v>1</v>
      </c>
      <c r="CE8" s="312">
        <v>0</v>
      </c>
      <c r="CF8" s="622">
        <f t="shared" si="26"/>
        <v>1</v>
      </c>
      <c r="CG8" s="312">
        <v>0</v>
      </c>
      <c r="CH8" s="312">
        <v>0</v>
      </c>
      <c r="CI8" s="622">
        <f t="shared" si="27"/>
        <v>0</v>
      </c>
      <c r="CJ8" s="312">
        <v>3</v>
      </c>
      <c r="CK8" s="312">
        <v>0</v>
      </c>
      <c r="CL8" s="622">
        <f t="shared" si="28"/>
        <v>3</v>
      </c>
      <c r="CM8" s="312">
        <v>8</v>
      </c>
      <c r="CN8" s="312">
        <v>8</v>
      </c>
      <c r="CO8" s="622">
        <f t="shared" si="29"/>
        <v>16</v>
      </c>
      <c r="CP8" s="312">
        <v>0</v>
      </c>
      <c r="CQ8" s="312">
        <v>0</v>
      </c>
      <c r="CR8" s="622">
        <f t="shared" si="30"/>
        <v>0</v>
      </c>
      <c r="CS8" s="312">
        <v>1</v>
      </c>
      <c r="CT8" s="312">
        <v>9</v>
      </c>
      <c r="CU8" s="622">
        <f t="shared" si="31"/>
        <v>10</v>
      </c>
      <c r="CV8" s="312">
        <v>0</v>
      </c>
      <c r="CW8" s="312">
        <v>0</v>
      </c>
      <c r="CX8" s="622">
        <f t="shared" si="32"/>
        <v>0</v>
      </c>
      <c r="CY8" s="312">
        <v>1</v>
      </c>
      <c r="CZ8" s="312">
        <v>3</v>
      </c>
      <c r="DA8" s="622">
        <f t="shared" si="33"/>
        <v>4</v>
      </c>
      <c r="DB8" s="312">
        <v>18</v>
      </c>
      <c r="DC8" s="312">
        <v>0</v>
      </c>
      <c r="DD8" s="622">
        <f t="shared" si="34"/>
        <v>18</v>
      </c>
      <c r="DE8" s="312">
        <v>14</v>
      </c>
      <c r="DF8" s="312">
        <v>4</v>
      </c>
      <c r="DG8" s="622">
        <f t="shared" si="35"/>
        <v>18</v>
      </c>
      <c r="DH8" s="312">
        <v>3</v>
      </c>
      <c r="DI8" s="312">
        <v>0</v>
      </c>
      <c r="DJ8" s="622">
        <f t="shared" si="36"/>
        <v>3</v>
      </c>
      <c r="DK8" s="312">
        <v>0</v>
      </c>
      <c r="DL8" s="312">
        <v>1</v>
      </c>
      <c r="DM8" s="622">
        <f t="shared" si="37"/>
        <v>1</v>
      </c>
      <c r="DN8" s="312">
        <v>0</v>
      </c>
      <c r="DO8" s="312">
        <v>0</v>
      </c>
      <c r="DP8" s="622">
        <f t="shared" si="38"/>
        <v>0</v>
      </c>
      <c r="DQ8" s="312">
        <v>1</v>
      </c>
      <c r="DR8" s="312">
        <v>0</v>
      </c>
      <c r="DS8" s="622">
        <f t="shared" si="39"/>
        <v>1</v>
      </c>
      <c r="DT8" s="312">
        <v>1</v>
      </c>
      <c r="DU8" s="312">
        <v>0</v>
      </c>
      <c r="DV8" s="622">
        <f t="shared" si="40"/>
        <v>1</v>
      </c>
      <c r="DW8" s="312">
        <v>23</v>
      </c>
      <c r="DX8" s="312">
        <v>10</v>
      </c>
      <c r="DY8" s="622">
        <f t="shared" si="41"/>
        <v>33</v>
      </c>
      <c r="DZ8" s="312">
        <v>0</v>
      </c>
      <c r="EA8" s="312">
        <v>0</v>
      </c>
      <c r="EB8" s="622">
        <f t="shared" si="42"/>
        <v>0</v>
      </c>
      <c r="EC8" s="312">
        <v>26</v>
      </c>
      <c r="ED8" s="312">
        <v>5</v>
      </c>
      <c r="EE8" s="622">
        <f t="shared" si="43"/>
        <v>31</v>
      </c>
      <c r="EF8" s="312">
        <v>4</v>
      </c>
      <c r="EG8" s="312">
        <v>1</v>
      </c>
      <c r="EH8" s="622">
        <f t="shared" si="44"/>
        <v>5</v>
      </c>
      <c r="EI8" s="312">
        <v>0</v>
      </c>
      <c r="EJ8" s="312">
        <v>0</v>
      </c>
      <c r="EK8" s="622">
        <f t="shared" si="45"/>
        <v>0</v>
      </c>
      <c r="EL8" s="312">
        <v>0</v>
      </c>
      <c r="EM8" s="312">
        <v>0</v>
      </c>
      <c r="EN8" s="622">
        <f t="shared" si="46"/>
        <v>0</v>
      </c>
      <c r="EO8" s="312">
        <v>0</v>
      </c>
      <c r="EP8" s="312">
        <v>0</v>
      </c>
      <c r="EQ8" s="622">
        <f t="shared" si="47"/>
        <v>0</v>
      </c>
      <c r="ER8" s="312">
        <v>0</v>
      </c>
      <c r="ES8" s="312">
        <v>0</v>
      </c>
      <c r="ET8" s="622">
        <f t="shared" si="48"/>
        <v>0</v>
      </c>
      <c r="EU8" s="312">
        <v>0</v>
      </c>
      <c r="EV8" s="312">
        <v>0</v>
      </c>
      <c r="EW8" s="622">
        <f t="shared" si="49"/>
        <v>0</v>
      </c>
      <c r="EX8" s="312">
        <v>0</v>
      </c>
      <c r="EY8" s="312">
        <v>0</v>
      </c>
      <c r="EZ8" s="622">
        <f t="shared" si="50"/>
        <v>0</v>
      </c>
      <c r="FA8" s="312">
        <v>0</v>
      </c>
      <c r="FB8" s="312">
        <v>0</v>
      </c>
      <c r="FC8" s="622">
        <f t="shared" si="51"/>
        <v>0</v>
      </c>
      <c r="FD8" s="312">
        <v>0</v>
      </c>
      <c r="FE8" s="312">
        <v>0</v>
      </c>
      <c r="FF8" s="622">
        <f t="shared" si="52"/>
        <v>0</v>
      </c>
      <c r="FG8" s="312">
        <v>0</v>
      </c>
      <c r="FH8" s="312">
        <v>0</v>
      </c>
      <c r="FI8" s="622">
        <f t="shared" si="53"/>
        <v>0</v>
      </c>
      <c r="FJ8" s="312">
        <v>0</v>
      </c>
      <c r="FK8" s="312">
        <v>0</v>
      </c>
      <c r="FL8" s="622">
        <f t="shared" si="54"/>
        <v>0</v>
      </c>
      <c r="FM8" s="312">
        <v>0</v>
      </c>
      <c r="FN8" s="312">
        <v>0</v>
      </c>
      <c r="FO8" s="622">
        <f t="shared" si="55"/>
        <v>0</v>
      </c>
      <c r="FP8" s="312">
        <v>0</v>
      </c>
      <c r="FQ8" s="312">
        <v>0</v>
      </c>
      <c r="FR8" s="622">
        <f t="shared" si="56"/>
        <v>0</v>
      </c>
      <c r="FS8" s="312">
        <v>0</v>
      </c>
      <c r="FT8" s="312">
        <v>0</v>
      </c>
      <c r="FU8" s="622">
        <f t="shared" si="57"/>
        <v>0</v>
      </c>
      <c r="FV8" s="312">
        <v>0</v>
      </c>
      <c r="FW8" s="312">
        <v>0</v>
      </c>
      <c r="FX8" s="622">
        <f t="shared" si="58"/>
        <v>0</v>
      </c>
      <c r="FY8" s="312">
        <v>1</v>
      </c>
      <c r="FZ8" s="312">
        <v>0</v>
      </c>
      <c r="GA8" s="622">
        <f t="shared" si="59"/>
        <v>1</v>
      </c>
      <c r="GB8" s="312">
        <v>0</v>
      </c>
      <c r="GC8" s="312">
        <v>0</v>
      </c>
      <c r="GD8" s="622">
        <f t="shared" si="60"/>
        <v>0</v>
      </c>
      <c r="GE8" s="312">
        <v>0</v>
      </c>
      <c r="GF8" s="312">
        <v>0</v>
      </c>
      <c r="GG8" s="622">
        <f t="shared" si="61"/>
        <v>0</v>
      </c>
      <c r="GH8" s="312">
        <v>0</v>
      </c>
      <c r="GI8" s="312">
        <v>0</v>
      </c>
      <c r="GJ8" s="622">
        <f t="shared" si="62"/>
        <v>0</v>
      </c>
      <c r="GK8" s="312">
        <v>37</v>
      </c>
      <c r="GL8" s="312">
        <v>39</v>
      </c>
      <c r="GM8" s="622">
        <f t="shared" si="63"/>
        <v>76</v>
      </c>
      <c r="GN8" s="312">
        <v>180</v>
      </c>
      <c r="GO8" s="312">
        <v>531</v>
      </c>
      <c r="GP8" s="622">
        <f t="shared" si="64"/>
        <v>711</v>
      </c>
      <c r="GQ8" s="312">
        <v>2</v>
      </c>
      <c r="GR8" s="312">
        <v>0</v>
      </c>
      <c r="GS8" s="622">
        <f t="shared" si="65"/>
        <v>2</v>
      </c>
      <c r="GT8" s="312">
        <v>14</v>
      </c>
      <c r="GU8" s="312">
        <v>5</v>
      </c>
      <c r="GV8" s="622">
        <f t="shared" si="66"/>
        <v>19</v>
      </c>
      <c r="GW8" s="312">
        <v>2</v>
      </c>
      <c r="GX8" s="312">
        <v>0</v>
      </c>
      <c r="GY8" s="622">
        <f t="shared" si="67"/>
        <v>2</v>
      </c>
      <c r="GZ8" s="312">
        <v>4</v>
      </c>
      <c r="HA8" s="312">
        <v>1</v>
      </c>
      <c r="HB8" s="622">
        <f t="shared" si="68"/>
        <v>5</v>
      </c>
      <c r="HC8" s="312">
        <v>2</v>
      </c>
      <c r="HD8" s="312">
        <v>2</v>
      </c>
      <c r="HE8" s="622">
        <f t="shared" si="69"/>
        <v>4</v>
      </c>
      <c r="HF8" s="312">
        <v>8</v>
      </c>
      <c r="HG8" s="312">
        <v>4</v>
      </c>
      <c r="HH8" s="622">
        <f t="shared" si="70"/>
        <v>12</v>
      </c>
      <c r="HI8" s="312">
        <v>40</v>
      </c>
      <c r="HJ8" s="312">
        <v>86</v>
      </c>
      <c r="HK8" s="622">
        <f t="shared" si="71"/>
        <v>126</v>
      </c>
      <c r="HL8" s="312">
        <v>0</v>
      </c>
      <c r="HM8" s="312">
        <v>61</v>
      </c>
      <c r="HN8" s="622">
        <f t="shared" si="72"/>
        <v>61</v>
      </c>
      <c r="HO8" s="312">
        <v>7</v>
      </c>
      <c r="HP8" s="312">
        <v>110</v>
      </c>
      <c r="HQ8" s="622">
        <f t="shared" si="73"/>
        <v>117</v>
      </c>
      <c r="HR8" s="312">
        <v>4</v>
      </c>
      <c r="HS8" s="312">
        <v>10</v>
      </c>
      <c r="HT8" s="622">
        <f t="shared" si="74"/>
        <v>14</v>
      </c>
      <c r="HU8" s="312">
        <v>1</v>
      </c>
      <c r="HV8" s="312">
        <v>1</v>
      </c>
      <c r="HW8" s="622">
        <f t="shared" si="75"/>
        <v>2</v>
      </c>
      <c r="HX8" s="312">
        <v>0</v>
      </c>
      <c r="HY8" s="312">
        <v>0</v>
      </c>
      <c r="HZ8" s="622">
        <f t="shared" si="76"/>
        <v>0</v>
      </c>
      <c r="IA8" s="312">
        <v>0</v>
      </c>
      <c r="IB8" s="312">
        <v>0</v>
      </c>
      <c r="IC8" s="622">
        <f t="shared" si="77"/>
        <v>0</v>
      </c>
      <c r="ID8" s="312">
        <v>34</v>
      </c>
      <c r="IE8" s="312">
        <v>0</v>
      </c>
      <c r="IF8" s="622">
        <f t="shared" si="78"/>
        <v>34</v>
      </c>
      <c r="IG8" s="312">
        <v>1</v>
      </c>
      <c r="IH8" s="312">
        <v>0</v>
      </c>
      <c r="II8" s="622">
        <f t="shared" si="79"/>
        <v>1</v>
      </c>
      <c r="IJ8" s="312">
        <v>150</v>
      </c>
      <c r="IK8" s="312">
        <v>0</v>
      </c>
      <c r="IL8" s="622">
        <f t="shared" si="80"/>
        <v>150</v>
      </c>
      <c r="IM8" s="312">
        <v>2</v>
      </c>
      <c r="IN8" s="312">
        <v>1</v>
      </c>
      <c r="IO8" s="622">
        <f t="shared" si="81"/>
        <v>3</v>
      </c>
      <c r="IP8" s="312">
        <v>0</v>
      </c>
      <c r="IQ8" s="312">
        <v>0</v>
      </c>
      <c r="IR8" s="622">
        <f t="shared" si="82"/>
        <v>0</v>
      </c>
      <c r="IS8" s="312">
        <v>424</v>
      </c>
      <c r="IT8" s="312">
        <v>110</v>
      </c>
      <c r="IU8" s="622">
        <f t="shared" si="83"/>
        <v>534</v>
      </c>
      <c r="IV8" s="312">
        <v>1</v>
      </c>
      <c r="IW8" s="312">
        <v>0</v>
      </c>
      <c r="IX8" s="622">
        <f t="shared" si="84"/>
        <v>1</v>
      </c>
      <c r="IY8" s="312">
        <v>0</v>
      </c>
      <c r="IZ8" s="312">
        <v>0</v>
      </c>
      <c r="JA8" s="622">
        <f t="shared" si="85"/>
        <v>0</v>
      </c>
      <c r="JB8" s="312">
        <v>1</v>
      </c>
      <c r="JC8" s="312">
        <v>0</v>
      </c>
      <c r="JD8" s="622">
        <f t="shared" si="86"/>
        <v>1</v>
      </c>
      <c r="JE8" s="312">
        <v>5152</v>
      </c>
      <c r="JF8" s="312">
        <v>994</v>
      </c>
      <c r="JG8" s="622">
        <f t="shared" si="87"/>
        <v>6146</v>
      </c>
      <c r="JH8" s="312">
        <v>0</v>
      </c>
      <c r="JI8" s="312">
        <v>0</v>
      </c>
      <c r="JJ8" s="622">
        <f t="shared" si="88"/>
        <v>0</v>
      </c>
      <c r="JK8" s="312">
        <v>0</v>
      </c>
      <c r="JL8" s="312">
        <v>0</v>
      </c>
      <c r="JM8" s="622">
        <f t="shared" si="89"/>
        <v>0</v>
      </c>
      <c r="JN8" s="312">
        <v>0</v>
      </c>
      <c r="JO8" s="312">
        <v>0</v>
      </c>
      <c r="JP8" s="622">
        <f t="shared" si="90"/>
        <v>0</v>
      </c>
      <c r="JQ8" s="312">
        <v>0</v>
      </c>
      <c r="JR8" s="312">
        <v>0</v>
      </c>
      <c r="JS8" s="622">
        <f t="shared" si="91"/>
        <v>0</v>
      </c>
      <c r="JT8" s="312">
        <v>0</v>
      </c>
      <c r="JU8" s="312">
        <v>0</v>
      </c>
      <c r="JV8" s="622">
        <f t="shared" si="92"/>
        <v>0</v>
      </c>
      <c r="JW8" s="312">
        <v>0</v>
      </c>
      <c r="JX8" s="312">
        <v>1</v>
      </c>
      <c r="JY8" s="622">
        <f t="shared" si="93"/>
        <v>1</v>
      </c>
      <c r="JZ8" s="312">
        <v>0</v>
      </c>
      <c r="KA8" s="312">
        <v>0</v>
      </c>
      <c r="KB8" s="622">
        <f t="shared" si="94"/>
        <v>0</v>
      </c>
      <c r="KC8" s="312">
        <v>0</v>
      </c>
      <c r="KD8" s="312">
        <v>0</v>
      </c>
      <c r="KE8" s="622">
        <f t="shared" si="95"/>
        <v>0</v>
      </c>
      <c r="KF8" s="312">
        <v>0</v>
      </c>
      <c r="KG8" s="312">
        <v>0</v>
      </c>
      <c r="KH8" s="622">
        <f t="shared" si="96"/>
        <v>0</v>
      </c>
      <c r="KI8" s="312">
        <v>0</v>
      </c>
      <c r="KJ8" s="312">
        <v>0</v>
      </c>
      <c r="KK8" s="622">
        <f t="shared" si="97"/>
        <v>0</v>
      </c>
      <c r="KL8" s="622">
        <v>0</v>
      </c>
      <c r="KM8" s="622">
        <v>0</v>
      </c>
      <c r="KN8" s="622">
        <f t="shared" si="98"/>
        <v>0</v>
      </c>
      <c r="KO8" s="622">
        <v>0</v>
      </c>
      <c r="KP8" s="622">
        <v>0</v>
      </c>
      <c r="KQ8" s="622">
        <f t="shared" si="99"/>
        <v>0</v>
      </c>
      <c r="KR8" s="622">
        <v>0</v>
      </c>
      <c r="KS8" s="622">
        <v>0</v>
      </c>
      <c r="KT8" s="622">
        <f t="shared" si="100"/>
        <v>0</v>
      </c>
      <c r="KU8" s="622">
        <v>0</v>
      </c>
      <c r="KV8" s="622">
        <v>0</v>
      </c>
      <c r="KW8" s="622">
        <f t="shared" si="101"/>
        <v>0</v>
      </c>
      <c r="KX8" s="622">
        <v>0</v>
      </c>
      <c r="KY8" s="622">
        <v>0</v>
      </c>
      <c r="KZ8" s="622">
        <f t="shared" si="102"/>
        <v>0</v>
      </c>
      <c r="LA8" s="622">
        <v>0</v>
      </c>
      <c r="LB8" s="622">
        <v>0</v>
      </c>
      <c r="LC8" s="622">
        <f t="shared" si="103"/>
        <v>0</v>
      </c>
      <c r="LD8" s="622">
        <v>0</v>
      </c>
      <c r="LE8" s="622">
        <v>0</v>
      </c>
      <c r="LF8" s="622">
        <f t="shared" si="104"/>
        <v>0</v>
      </c>
      <c r="LG8" s="622">
        <v>0</v>
      </c>
      <c r="LH8" s="622">
        <v>0</v>
      </c>
      <c r="LI8" s="622">
        <f t="shared" si="105"/>
        <v>0</v>
      </c>
      <c r="LJ8" s="312">
        <v>0</v>
      </c>
      <c r="LK8" s="312">
        <v>1</v>
      </c>
      <c r="LL8" s="689">
        <f t="shared" si="106"/>
        <v>1</v>
      </c>
    </row>
    <row r="9" spans="1:327" ht="15" thickBot="1" x14ac:dyDescent="0.4">
      <c r="A9" s="690">
        <v>4</v>
      </c>
      <c r="B9" s="379" t="s">
        <v>257</v>
      </c>
      <c r="C9" s="434" t="s">
        <v>27</v>
      </c>
      <c r="D9" s="318">
        <v>7770</v>
      </c>
      <c r="E9" s="318">
        <v>6810</v>
      </c>
      <c r="F9" s="691">
        <f t="shared" si="0"/>
        <v>14580</v>
      </c>
      <c r="G9" s="318">
        <v>8</v>
      </c>
      <c r="H9" s="318">
        <v>11222</v>
      </c>
      <c r="I9" s="691">
        <f t="shared" si="1"/>
        <v>11230</v>
      </c>
      <c r="J9" s="318">
        <v>7663</v>
      </c>
      <c r="K9" s="318">
        <v>6704</v>
      </c>
      <c r="L9" s="691">
        <f t="shared" si="2"/>
        <v>14367</v>
      </c>
      <c r="M9" s="318">
        <v>704</v>
      </c>
      <c r="N9" s="318">
        <v>250</v>
      </c>
      <c r="O9" s="691">
        <f t="shared" si="3"/>
        <v>954</v>
      </c>
      <c r="P9" s="318">
        <v>761</v>
      </c>
      <c r="Q9" s="318">
        <v>618</v>
      </c>
      <c r="R9" s="691">
        <f t="shared" si="4"/>
        <v>1379</v>
      </c>
      <c r="S9" s="318">
        <v>74</v>
      </c>
      <c r="T9" s="318">
        <v>7</v>
      </c>
      <c r="U9" s="691">
        <f t="shared" si="5"/>
        <v>81</v>
      </c>
      <c r="V9" s="318">
        <v>87</v>
      </c>
      <c r="W9" s="318">
        <v>6</v>
      </c>
      <c r="X9" s="691">
        <f t="shared" si="6"/>
        <v>93</v>
      </c>
      <c r="Y9" s="318">
        <v>74</v>
      </c>
      <c r="Z9" s="318">
        <v>38</v>
      </c>
      <c r="AA9" s="691">
        <f t="shared" si="7"/>
        <v>112</v>
      </c>
      <c r="AB9" s="318">
        <v>20</v>
      </c>
      <c r="AC9" s="318">
        <v>8</v>
      </c>
      <c r="AD9" s="691">
        <f t="shared" si="8"/>
        <v>28</v>
      </c>
      <c r="AE9" s="318">
        <v>0</v>
      </c>
      <c r="AF9" s="318">
        <v>0</v>
      </c>
      <c r="AG9" s="691">
        <f t="shared" si="9"/>
        <v>0</v>
      </c>
      <c r="AH9" s="318">
        <v>0</v>
      </c>
      <c r="AI9" s="318">
        <v>0</v>
      </c>
      <c r="AJ9" s="691">
        <f t="shared" si="10"/>
        <v>0</v>
      </c>
      <c r="AK9" s="318">
        <v>4</v>
      </c>
      <c r="AL9" s="318">
        <v>1</v>
      </c>
      <c r="AM9" s="691">
        <f t="shared" si="11"/>
        <v>5</v>
      </c>
      <c r="AN9" s="318">
        <v>7</v>
      </c>
      <c r="AO9" s="318">
        <v>1</v>
      </c>
      <c r="AP9" s="691">
        <f t="shared" si="12"/>
        <v>8</v>
      </c>
      <c r="AQ9" s="318">
        <v>32</v>
      </c>
      <c r="AR9" s="318">
        <v>2</v>
      </c>
      <c r="AS9" s="691">
        <f t="shared" si="13"/>
        <v>34</v>
      </c>
      <c r="AT9" s="318">
        <v>11010</v>
      </c>
      <c r="AU9" s="318">
        <v>6033</v>
      </c>
      <c r="AV9" s="691">
        <f t="shared" si="14"/>
        <v>17043</v>
      </c>
      <c r="AW9" s="318">
        <v>265</v>
      </c>
      <c r="AX9" s="318">
        <v>115</v>
      </c>
      <c r="AY9" s="691">
        <f t="shared" si="15"/>
        <v>380</v>
      </c>
      <c r="AZ9" s="318">
        <v>17</v>
      </c>
      <c r="BA9" s="318">
        <v>16</v>
      </c>
      <c r="BB9" s="691">
        <f t="shared" si="16"/>
        <v>33</v>
      </c>
      <c r="BC9" s="318">
        <v>91</v>
      </c>
      <c r="BD9" s="318">
        <v>56</v>
      </c>
      <c r="BE9" s="691">
        <f t="shared" si="17"/>
        <v>147</v>
      </c>
      <c r="BF9" s="318">
        <v>747</v>
      </c>
      <c r="BG9" s="318">
        <v>39</v>
      </c>
      <c r="BH9" s="691">
        <f t="shared" si="18"/>
        <v>786</v>
      </c>
      <c r="BI9" s="318">
        <v>14</v>
      </c>
      <c r="BJ9" s="318">
        <v>6</v>
      </c>
      <c r="BK9" s="691">
        <f t="shared" si="19"/>
        <v>20</v>
      </c>
      <c r="BL9" s="318">
        <v>0</v>
      </c>
      <c r="BM9" s="318">
        <v>0</v>
      </c>
      <c r="BN9" s="691">
        <f t="shared" si="20"/>
        <v>0</v>
      </c>
      <c r="BO9" s="318">
        <v>0</v>
      </c>
      <c r="BP9" s="318">
        <v>1</v>
      </c>
      <c r="BQ9" s="691">
        <f t="shared" si="21"/>
        <v>1</v>
      </c>
      <c r="BR9" s="318">
        <v>0</v>
      </c>
      <c r="BS9" s="318">
        <v>16</v>
      </c>
      <c r="BT9" s="691">
        <f t="shared" si="22"/>
        <v>16</v>
      </c>
      <c r="BU9" s="318">
        <v>1</v>
      </c>
      <c r="BV9" s="318">
        <v>0</v>
      </c>
      <c r="BW9" s="691">
        <f t="shared" si="23"/>
        <v>1</v>
      </c>
      <c r="BX9" s="318">
        <v>3</v>
      </c>
      <c r="BY9" s="318">
        <v>0</v>
      </c>
      <c r="BZ9" s="691">
        <f t="shared" si="24"/>
        <v>3</v>
      </c>
      <c r="CA9" s="318">
        <v>10</v>
      </c>
      <c r="CB9" s="318">
        <v>0</v>
      </c>
      <c r="CC9" s="691">
        <f t="shared" si="25"/>
        <v>10</v>
      </c>
      <c r="CD9" s="318">
        <v>2</v>
      </c>
      <c r="CE9" s="318">
        <v>0</v>
      </c>
      <c r="CF9" s="691">
        <f t="shared" si="26"/>
        <v>2</v>
      </c>
      <c r="CG9" s="318">
        <v>0</v>
      </c>
      <c r="CH9" s="318">
        <v>0</v>
      </c>
      <c r="CI9" s="691">
        <f t="shared" si="27"/>
        <v>0</v>
      </c>
      <c r="CJ9" s="318">
        <v>4</v>
      </c>
      <c r="CK9" s="318">
        <v>0</v>
      </c>
      <c r="CL9" s="691">
        <f t="shared" si="28"/>
        <v>4</v>
      </c>
      <c r="CM9" s="318">
        <v>9</v>
      </c>
      <c r="CN9" s="318">
        <v>12</v>
      </c>
      <c r="CO9" s="691">
        <f t="shared" si="29"/>
        <v>21</v>
      </c>
      <c r="CP9" s="318">
        <v>0</v>
      </c>
      <c r="CQ9" s="318">
        <v>1</v>
      </c>
      <c r="CR9" s="691">
        <f t="shared" si="30"/>
        <v>1</v>
      </c>
      <c r="CS9" s="318">
        <v>0</v>
      </c>
      <c r="CT9" s="318">
        <v>8</v>
      </c>
      <c r="CU9" s="691">
        <f t="shared" si="31"/>
        <v>8</v>
      </c>
      <c r="CV9" s="318">
        <v>0</v>
      </c>
      <c r="CW9" s="318">
        <v>0</v>
      </c>
      <c r="CX9" s="691">
        <f t="shared" si="32"/>
        <v>0</v>
      </c>
      <c r="CY9" s="318">
        <v>2</v>
      </c>
      <c r="CZ9" s="318">
        <v>1</v>
      </c>
      <c r="DA9" s="691">
        <f t="shared" si="33"/>
        <v>3</v>
      </c>
      <c r="DB9" s="318">
        <v>25</v>
      </c>
      <c r="DC9" s="318">
        <v>0</v>
      </c>
      <c r="DD9" s="691">
        <f t="shared" si="34"/>
        <v>25</v>
      </c>
      <c r="DE9" s="318">
        <v>11</v>
      </c>
      <c r="DF9" s="318">
        <v>2</v>
      </c>
      <c r="DG9" s="691">
        <f t="shared" si="35"/>
        <v>13</v>
      </c>
      <c r="DH9" s="318">
        <v>2</v>
      </c>
      <c r="DI9" s="318">
        <v>0</v>
      </c>
      <c r="DJ9" s="691">
        <f t="shared" si="36"/>
        <v>2</v>
      </c>
      <c r="DK9" s="318">
        <v>0</v>
      </c>
      <c r="DL9" s="318">
        <v>1</v>
      </c>
      <c r="DM9" s="691">
        <f t="shared" si="37"/>
        <v>1</v>
      </c>
      <c r="DN9" s="318">
        <v>0</v>
      </c>
      <c r="DO9" s="318">
        <v>1</v>
      </c>
      <c r="DP9" s="691">
        <f t="shared" si="38"/>
        <v>1</v>
      </c>
      <c r="DQ9" s="318">
        <v>0</v>
      </c>
      <c r="DR9" s="318">
        <v>0</v>
      </c>
      <c r="DS9" s="691">
        <f t="shared" si="39"/>
        <v>0</v>
      </c>
      <c r="DT9" s="318">
        <v>0</v>
      </c>
      <c r="DU9" s="318">
        <v>0</v>
      </c>
      <c r="DV9" s="691">
        <f t="shared" si="40"/>
        <v>0</v>
      </c>
      <c r="DW9" s="318">
        <v>8</v>
      </c>
      <c r="DX9" s="318">
        <v>5</v>
      </c>
      <c r="DY9" s="691">
        <f t="shared" si="41"/>
        <v>13</v>
      </c>
      <c r="DZ9" s="318">
        <v>0</v>
      </c>
      <c r="EA9" s="318">
        <v>0</v>
      </c>
      <c r="EB9" s="691">
        <f t="shared" si="42"/>
        <v>0</v>
      </c>
      <c r="EC9" s="318">
        <v>31</v>
      </c>
      <c r="ED9" s="318">
        <v>3</v>
      </c>
      <c r="EE9" s="691">
        <f t="shared" si="43"/>
        <v>34</v>
      </c>
      <c r="EF9" s="318">
        <v>4</v>
      </c>
      <c r="EG9" s="318">
        <v>1</v>
      </c>
      <c r="EH9" s="691">
        <f t="shared" si="44"/>
        <v>5</v>
      </c>
      <c r="EI9" s="318">
        <v>1</v>
      </c>
      <c r="EJ9" s="318">
        <v>2</v>
      </c>
      <c r="EK9" s="691">
        <f t="shared" si="45"/>
        <v>3</v>
      </c>
      <c r="EL9" s="318">
        <v>0</v>
      </c>
      <c r="EM9" s="318">
        <v>0</v>
      </c>
      <c r="EN9" s="691">
        <f t="shared" si="46"/>
        <v>0</v>
      </c>
      <c r="EO9" s="318">
        <v>0</v>
      </c>
      <c r="EP9" s="318">
        <v>0</v>
      </c>
      <c r="EQ9" s="691">
        <f t="shared" si="47"/>
        <v>0</v>
      </c>
      <c r="ER9" s="318">
        <v>0</v>
      </c>
      <c r="ES9" s="318">
        <v>0</v>
      </c>
      <c r="ET9" s="691">
        <f t="shared" si="48"/>
        <v>0</v>
      </c>
      <c r="EU9" s="318">
        <v>0</v>
      </c>
      <c r="EV9" s="318">
        <v>0</v>
      </c>
      <c r="EW9" s="691">
        <f t="shared" si="49"/>
        <v>0</v>
      </c>
      <c r="EX9" s="318">
        <v>0</v>
      </c>
      <c r="EY9" s="318">
        <v>0</v>
      </c>
      <c r="EZ9" s="691">
        <f t="shared" si="50"/>
        <v>0</v>
      </c>
      <c r="FA9" s="318">
        <v>0</v>
      </c>
      <c r="FB9" s="318">
        <v>0</v>
      </c>
      <c r="FC9" s="691">
        <f t="shared" si="51"/>
        <v>0</v>
      </c>
      <c r="FD9" s="318">
        <v>0</v>
      </c>
      <c r="FE9" s="318">
        <v>0</v>
      </c>
      <c r="FF9" s="691">
        <f t="shared" si="52"/>
        <v>0</v>
      </c>
      <c r="FG9" s="318">
        <v>0</v>
      </c>
      <c r="FH9" s="318">
        <v>0</v>
      </c>
      <c r="FI9" s="691">
        <f t="shared" si="53"/>
        <v>0</v>
      </c>
      <c r="FJ9" s="318">
        <v>0</v>
      </c>
      <c r="FK9" s="318">
        <v>0</v>
      </c>
      <c r="FL9" s="691">
        <f t="shared" si="54"/>
        <v>0</v>
      </c>
      <c r="FM9" s="318">
        <v>0</v>
      </c>
      <c r="FN9" s="318">
        <v>0</v>
      </c>
      <c r="FO9" s="691">
        <f t="shared" si="55"/>
        <v>0</v>
      </c>
      <c r="FP9" s="318">
        <v>0</v>
      </c>
      <c r="FQ9" s="318">
        <v>0</v>
      </c>
      <c r="FR9" s="691">
        <f t="shared" si="56"/>
        <v>0</v>
      </c>
      <c r="FS9" s="318">
        <v>0</v>
      </c>
      <c r="FT9" s="318">
        <v>0</v>
      </c>
      <c r="FU9" s="691">
        <f t="shared" si="57"/>
        <v>0</v>
      </c>
      <c r="FV9" s="318">
        <v>0</v>
      </c>
      <c r="FW9" s="318">
        <v>0</v>
      </c>
      <c r="FX9" s="691">
        <f t="shared" si="58"/>
        <v>0</v>
      </c>
      <c r="FY9" s="318">
        <v>0</v>
      </c>
      <c r="FZ9" s="318">
        <v>0</v>
      </c>
      <c r="GA9" s="691">
        <f t="shared" si="59"/>
        <v>0</v>
      </c>
      <c r="GB9" s="318">
        <v>0</v>
      </c>
      <c r="GC9" s="318">
        <v>0</v>
      </c>
      <c r="GD9" s="691">
        <f t="shared" si="60"/>
        <v>0</v>
      </c>
      <c r="GE9" s="318">
        <v>0</v>
      </c>
      <c r="GF9" s="318">
        <v>0</v>
      </c>
      <c r="GG9" s="691">
        <f t="shared" si="61"/>
        <v>0</v>
      </c>
      <c r="GH9" s="318">
        <v>0</v>
      </c>
      <c r="GI9" s="318">
        <v>0</v>
      </c>
      <c r="GJ9" s="691">
        <f t="shared" si="62"/>
        <v>0</v>
      </c>
      <c r="GK9" s="318">
        <v>25</v>
      </c>
      <c r="GL9" s="318">
        <v>31</v>
      </c>
      <c r="GM9" s="691">
        <f t="shared" si="63"/>
        <v>56</v>
      </c>
      <c r="GN9" s="318">
        <v>211</v>
      </c>
      <c r="GO9" s="318">
        <v>590</v>
      </c>
      <c r="GP9" s="691">
        <f t="shared" si="64"/>
        <v>801</v>
      </c>
      <c r="GQ9" s="318">
        <v>1</v>
      </c>
      <c r="GR9" s="318">
        <v>0</v>
      </c>
      <c r="GS9" s="691">
        <f t="shared" si="65"/>
        <v>1</v>
      </c>
      <c r="GT9" s="318">
        <v>10</v>
      </c>
      <c r="GU9" s="318">
        <v>2</v>
      </c>
      <c r="GV9" s="691">
        <f t="shared" si="66"/>
        <v>12</v>
      </c>
      <c r="GW9" s="318">
        <v>2</v>
      </c>
      <c r="GX9" s="318">
        <v>1</v>
      </c>
      <c r="GY9" s="691">
        <f t="shared" si="67"/>
        <v>3</v>
      </c>
      <c r="GZ9" s="318">
        <v>4</v>
      </c>
      <c r="HA9" s="318">
        <v>0</v>
      </c>
      <c r="HB9" s="691">
        <f t="shared" si="68"/>
        <v>4</v>
      </c>
      <c r="HC9" s="318">
        <v>3</v>
      </c>
      <c r="HD9" s="318">
        <v>1</v>
      </c>
      <c r="HE9" s="691">
        <f t="shared" si="69"/>
        <v>4</v>
      </c>
      <c r="HF9" s="318">
        <v>5</v>
      </c>
      <c r="HG9" s="318">
        <v>1</v>
      </c>
      <c r="HH9" s="691">
        <f t="shared" si="70"/>
        <v>6</v>
      </c>
      <c r="HI9" s="318">
        <v>22</v>
      </c>
      <c r="HJ9" s="318">
        <v>51</v>
      </c>
      <c r="HK9" s="691">
        <f t="shared" si="71"/>
        <v>73</v>
      </c>
      <c r="HL9" s="318">
        <v>0</v>
      </c>
      <c r="HM9" s="318">
        <v>56</v>
      </c>
      <c r="HN9" s="691">
        <f t="shared" si="72"/>
        <v>56</v>
      </c>
      <c r="HO9" s="318">
        <v>5</v>
      </c>
      <c r="HP9" s="318">
        <v>101</v>
      </c>
      <c r="HQ9" s="691">
        <f t="shared" si="73"/>
        <v>106</v>
      </c>
      <c r="HR9" s="318">
        <v>2</v>
      </c>
      <c r="HS9" s="318">
        <v>15</v>
      </c>
      <c r="HT9" s="691">
        <f t="shared" si="74"/>
        <v>17</v>
      </c>
      <c r="HU9" s="318">
        <v>0</v>
      </c>
      <c r="HV9" s="318">
        <v>0</v>
      </c>
      <c r="HW9" s="691">
        <f t="shared" si="75"/>
        <v>0</v>
      </c>
      <c r="HX9" s="318">
        <v>0</v>
      </c>
      <c r="HY9" s="318">
        <v>0</v>
      </c>
      <c r="HZ9" s="691">
        <f t="shared" si="76"/>
        <v>0</v>
      </c>
      <c r="IA9" s="318">
        <v>0</v>
      </c>
      <c r="IB9" s="318">
        <v>1</v>
      </c>
      <c r="IC9" s="691">
        <f t="shared" si="77"/>
        <v>1</v>
      </c>
      <c r="ID9" s="318">
        <v>42</v>
      </c>
      <c r="IE9" s="318">
        <v>0</v>
      </c>
      <c r="IF9" s="691">
        <f t="shared" si="78"/>
        <v>42</v>
      </c>
      <c r="IG9" s="318">
        <v>0</v>
      </c>
      <c r="IH9" s="318">
        <v>1</v>
      </c>
      <c r="II9" s="691">
        <f t="shared" si="79"/>
        <v>1</v>
      </c>
      <c r="IJ9" s="318">
        <v>78</v>
      </c>
      <c r="IK9" s="318">
        <v>0</v>
      </c>
      <c r="IL9" s="691">
        <f t="shared" si="80"/>
        <v>78</v>
      </c>
      <c r="IM9" s="318">
        <v>1</v>
      </c>
      <c r="IN9" s="318">
        <v>0</v>
      </c>
      <c r="IO9" s="691">
        <f t="shared" si="81"/>
        <v>1</v>
      </c>
      <c r="IP9" s="318">
        <v>0</v>
      </c>
      <c r="IQ9" s="318">
        <v>0</v>
      </c>
      <c r="IR9" s="691">
        <f t="shared" si="82"/>
        <v>0</v>
      </c>
      <c r="IS9" s="318">
        <v>178</v>
      </c>
      <c r="IT9" s="318">
        <v>96</v>
      </c>
      <c r="IU9" s="691">
        <f t="shared" si="83"/>
        <v>274</v>
      </c>
      <c r="IV9" s="318">
        <v>2</v>
      </c>
      <c r="IW9" s="318">
        <v>0</v>
      </c>
      <c r="IX9" s="691">
        <f t="shared" si="84"/>
        <v>2</v>
      </c>
      <c r="IY9" s="318">
        <v>0</v>
      </c>
      <c r="IZ9" s="318">
        <v>0</v>
      </c>
      <c r="JA9" s="691">
        <f t="shared" si="85"/>
        <v>0</v>
      </c>
      <c r="JB9" s="318">
        <v>0</v>
      </c>
      <c r="JC9" s="318">
        <v>0</v>
      </c>
      <c r="JD9" s="691">
        <f t="shared" si="86"/>
        <v>0</v>
      </c>
      <c r="JE9" s="318">
        <v>2912</v>
      </c>
      <c r="JF9" s="318">
        <v>752</v>
      </c>
      <c r="JG9" s="691">
        <f t="shared" si="87"/>
        <v>3664</v>
      </c>
      <c r="JH9" s="318">
        <v>1</v>
      </c>
      <c r="JI9" s="318">
        <v>0</v>
      </c>
      <c r="JJ9" s="691">
        <f t="shared" si="88"/>
        <v>1</v>
      </c>
      <c r="JK9" s="318">
        <v>0</v>
      </c>
      <c r="JL9" s="318">
        <v>0</v>
      </c>
      <c r="JM9" s="691">
        <f t="shared" si="89"/>
        <v>0</v>
      </c>
      <c r="JN9" s="318">
        <v>0</v>
      </c>
      <c r="JO9" s="318">
        <v>1</v>
      </c>
      <c r="JP9" s="691">
        <f t="shared" si="90"/>
        <v>1</v>
      </c>
      <c r="JQ9" s="318">
        <v>0</v>
      </c>
      <c r="JR9" s="318">
        <v>0</v>
      </c>
      <c r="JS9" s="691">
        <f t="shared" si="91"/>
        <v>0</v>
      </c>
      <c r="JT9" s="318">
        <v>0</v>
      </c>
      <c r="JU9" s="318">
        <v>0</v>
      </c>
      <c r="JV9" s="691">
        <f t="shared" si="92"/>
        <v>0</v>
      </c>
      <c r="JW9" s="318">
        <v>0</v>
      </c>
      <c r="JX9" s="318">
        <v>0</v>
      </c>
      <c r="JY9" s="691">
        <f t="shared" si="93"/>
        <v>0</v>
      </c>
      <c r="JZ9" s="318">
        <v>0</v>
      </c>
      <c r="KA9" s="318">
        <v>0</v>
      </c>
      <c r="KB9" s="691">
        <f t="shared" si="94"/>
        <v>0</v>
      </c>
      <c r="KC9" s="318">
        <v>0</v>
      </c>
      <c r="KD9" s="318">
        <v>0</v>
      </c>
      <c r="KE9" s="691">
        <f t="shared" si="95"/>
        <v>0</v>
      </c>
      <c r="KF9" s="318">
        <v>0</v>
      </c>
      <c r="KG9" s="318">
        <v>0</v>
      </c>
      <c r="KH9" s="691">
        <f t="shared" si="96"/>
        <v>0</v>
      </c>
      <c r="KI9" s="318">
        <v>0</v>
      </c>
      <c r="KJ9" s="318">
        <v>0</v>
      </c>
      <c r="KK9" s="691">
        <f t="shared" si="97"/>
        <v>0</v>
      </c>
      <c r="KL9" s="691">
        <v>0</v>
      </c>
      <c r="KM9" s="691">
        <v>0</v>
      </c>
      <c r="KN9" s="691">
        <f t="shared" si="98"/>
        <v>0</v>
      </c>
      <c r="KO9" s="691">
        <v>0</v>
      </c>
      <c r="KP9" s="691">
        <v>0</v>
      </c>
      <c r="KQ9" s="691">
        <f t="shared" si="99"/>
        <v>0</v>
      </c>
      <c r="KR9" s="691">
        <v>0</v>
      </c>
      <c r="KS9" s="691">
        <v>0</v>
      </c>
      <c r="KT9" s="691">
        <f t="shared" si="100"/>
        <v>0</v>
      </c>
      <c r="KU9" s="691">
        <v>0</v>
      </c>
      <c r="KV9" s="691">
        <v>0</v>
      </c>
      <c r="KW9" s="691">
        <f t="shared" si="101"/>
        <v>0</v>
      </c>
      <c r="KX9" s="691">
        <v>0</v>
      </c>
      <c r="KY9" s="691">
        <v>0</v>
      </c>
      <c r="KZ9" s="691">
        <f t="shared" si="102"/>
        <v>0</v>
      </c>
      <c r="LA9" s="691">
        <v>0</v>
      </c>
      <c r="LB9" s="691">
        <v>0</v>
      </c>
      <c r="LC9" s="691">
        <f t="shared" si="103"/>
        <v>0</v>
      </c>
      <c r="LD9" s="691">
        <v>0</v>
      </c>
      <c r="LE9" s="691">
        <v>0</v>
      </c>
      <c r="LF9" s="691">
        <f t="shared" si="104"/>
        <v>0</v>
      </c>
      <c r="LG9" s="691">
        <v>0</v>
      </c>
      <c r="LH9" s="691">
        <v>0</v>
      </c>
      <c r="LI9" s="691">
        <f t="shared" si="105"/>
        <v>0</v>
      </c>
      <c r="LJ9" s="318">
        <v>0</v>
      </c>
      <c r="LK9" s="318">
        <v>0</v>
      </c>
      <c r="LL9" s="692">
        <f t="shared" si="106"/>
        <v>0</v>
      </c>
    </row>
    <row r="10" spans="1:327" x14ac:dyDescent="0.35">
      <c r="A10" s="693">
        <v>3</v>
      </c>
      <c r="B10" s="383" t="s">
        <v>258</v>
      </c>
      <c r="C10" s="437" t="s">
        <v>34</v>
      </c>
      <c r="D10" s="324">
        <v>28250</v>
      </c>
      <c r="E10" s="324">
        <v>24968</v>
      </c>
      <c r="F10" s="694">
        <f t="shared" si="0"/>
        <v>53218</v>
      </c>
      <c r="G10" s="324">
        <v>26</v>
      </c>
      <c r="H10" s="324">
        <v>50146</v>
      </c>
      <c r="I10" s="694">
        <f t="shared" si="1"/>
        <v>50172</v>
      </c>
      <c r="J10" s="324">
        <v>34316</v>
      </c>
      <c r="K10" s="324">
        <v>29484</v>
      </c>
      <c r="L10" s="694">
        <f t="shared" si="2"/>
        <v>63800</v>
      </c>
      <c r="M10" s="324">
        <v>1974</v>
      </c>
      <c r="N10" s="324">
        <v>931</v>
      </c>
      <c r="O10" s="694">
        <f t="shared" si="3"/>
        <v>2905</v>
      </c>
      <c r="P10" s="324">
        <v>2170</v>
      </c>
      <c r="Q10" s="324">
        <v>1994</v>
      </c>
      <c r="R10" s="694">
        <f t="shared" si="4"/>
        <v>4164</v>
      </c>
      <c r="S10" s="324">
        <v>207</v>
      </c>
      <c r="T10" s="324">
        <v>14</v>
      </c>
      <c r="U10" s="694">
        <f t="shared" si="5"/>
        <v>221</v>
      </c>
      <c r="V10" s="324">
        <v>277</v>
      </c>
      <c r="W10" s="324">
        <v>24</v>
      </c>
      <c r="X10" s="694">
        <f t="shared" si="6"/>
        <v>301</v>
      </c>
      <c r="Y10" s="324">
        <v>782</v>
      </c>
      <c r="Z10" s="324">
        <v>194</v>
      </c>
      <c r="AA10" s="694">
        <f t="shared" si="7"/>
        <v>976</v>
      </c>
      <c r="AB10" s="324">
        <v>85</v>
      </c>
      <c r="AC10" s="324">
        <v>43</v>
      </c>
      <c r="AD10" s="694">
        <f t="shared" si="8"/>
        <v>128</v>
      </c>
      <c r="AE10" s="324">
        <v>10</v>
      </c>
      <c r="AF10" s="324">
        <v>2</v>
      </c>
      <c r="AG10" s="694">
        <f t="shared" si="9"/>
        <v>12</v>
      </c>
      <c r="AH10" s="324">
        <v>4</v>
      </c>
      <c r="AI10" s="324">
        <v>0</v>
      </c>
      <c r="AJ10" s="694">
        <f t="shared" si="10"/>
        <v>4</v>
      </c>
      <c r="AK10" s="324">
        <v>274</v>
      </c>
      <c r="AL10" s="324">
        <v>41</v>
      </c>
      <c r="AM10" s="694">
        <f t="shared" si="11"/>
        <v>315</v>
      </c>
      <c r="AN10" s="324">
        <v>81</v>
      </c>
      <c r="AO10" s="324">
        <v>2</v>
      </c>
      <c r="AP10" s="694">
        <f t="shared" si="12"/>
        <v>83</v>
      </c>
      <c r="AQ10" s="324">
        <v>188</v>
      </c>
      <c r="AR10" s="324">
        <v>0</v>
      </c>
      <c r="AS10" s="694">
        <f t="shared" si="13"/>
        <v>188</v>
      </c>
      <c r="AT10" s="324">
        <v>43674</v>
      </c>
      <c r="AU10" s="324">
        <v>21613</v>
      </c>
      <c r="AV10" s="694">
        <f t="shared" si="14"/>
        <v>65287</v>
      </c>
      <c r="AW10" s="324">
        <v>818</v>
      </c>
      <c r="AX10" s="324">
        <v>508</v>
      </c>
      <c r="AY10" s="694">
        <f t="shared" si="15"/>
        <v>1326</v>
      </c>
      <c r="AZ10" s="324">
        <v>51</v>
      </c>
      <c r="BA10" s="324">
        <v>38</v>
      </c>
      <c r="BB10" s="694">
        <f t="shared" si="16"/>
        <v>89</v>
      </c>
      <c r="BC10" s="324">
        <v>192</v>
      </c>
      <c r="BD10" s="324">
        <v>106</v>
      </c>
      <c r="BE10" s="694">
        <f t="shared" si="17"/>
        <v>298</v>
      </c>
      <c r="BF10" s="324">
        <v>4425</v>
      </c>
      <c r="BG10" s="324">
        <v>167</v>
      </c>
      <c r="BH10" s="694">
        <f t="shared" si="18"/>
        <v>4592</v>
      </c>
      <c r="BI10" s="324">
        <v>53</v>
      </c>
      <c r="BJ10" s="324">
        <v>12</v>
      </c>
      <c r="BK10" s="694">
        <f t="shared" si="19"/>
        <v>65</v>
      </c>
      <c r="BL10" s="324">
        <v>2</v>
      </c>
      <c r="BM10" s="324">
        <v>0</v>
      </c>
      <c r="BN10" s="694">
        <f t="shared" si="20"/>
        <v>2</v>
      </c>
      <c r="BO10" s="324">
        <v>1</v>
      </c>
      <c r="BP10" s="324">
        <v>1</v>
      </c>
      <c r="BQ10" s="694">
        <f t="shared" si="21"/>
        <v>2</v>
      </c>
      <c r="BR10" s="324">
        <v>5</v>
      </c>
      <c r="BS10" s="324">
        <v>48</v>
      </c>
      <c r="BT10" s="694">
        <f t="shared" si="22"/>
        <v>53</v>
      </c>
      <c r="BU10" s="324">
        <v>0</v>
      </c>
      <c r="BV10" s="324">
        <v>0</v>
      </c>
      <c r="BW10" s="694">
        <f t="shared" si="23"/>
        <v>0</v>
      </c>
      <c r="BX10" s="324">
        <v>5</v>
      </c>
      <c r="BY10" s="324">
        <v>0</v>
      </c>
      <c r="BZ10" s="694">
        <f t="shared" si="24"/>
        <v>5</v>
      </c>
      <c r="CA10" s="324">
        <v>20</v>
      </c>
      <c r="CB10" s="324">
        <v>0</v>
      </c>
      <c r="CC10" s="694">
        <f t="shared" si="25"/>
        <v>20</v>
      </c>
      <c r="CD10" s="324">
        <v>11</v>
      </c>
      <c r="CE10" s="324">
        <v>0</v>
      </c>
      <c r="CF10" s="694">
        <f t="shared" si="26"/>
        <v>11</v>
      </c>
      <c r="CG10" s="324">
        <v>0</v>
      </c>
      <c r="CH10" s="324">
        <v>0</v>
      </c>
      <c r="CI10" s="694">
        <f t="shared" si="27"/>
        <v>0</v>
      </c>
      <c r="CJ10" s="324">
        <v>1</v>
      </c>
      <c r="CK10" s="324">
        <v>0</v>
      </c>
      <c r="CL10" s="694">
        <f t="shared" si="28"/>
        <v>1</v>
      </c>
      <c r="CM10" s="324">
        <v>14</v>
      </c>
      <c r="CN10" s="324">
        <v>8</v>
      </c>
      <c r="CO10" s="694">
        <f t="shared" si="29"/>
        <v>22</v>
      </c>
      <c r="CP10" s="324">
        <v>3</v>
      </c>
      <c r="CQ10" s="324">
        <v>0</v>
      </c>
      <c r="CR10" s="694">
        <f t="shared" si="30"/>
        <v>3</v>
      </c>
      <c r="CS10" s="324">
        <v>0</v>
      </c>
      <c r="CT10" s="324">
        <v>2</v>
      </c>
      <c r="CU10" s="694">
        <f t="shared" si="31"/>
        <v>2</v>
      </c>
      <c r="CV10" s="324">
        <v>0</v>
      </c>
      <c r="CW10" s="324">
        <v>2</v>
      </c>
      <c r="CX10" s="694">
        <f t="shared" si="32"/>
        <v>2</v>
      </c>
      <c r="CY10" s="324">
        <v>0</v>
      </c>
      <c r="CZ10" s="324">
        <v>4</v>
      </c>
      <c r="DA10" s="694">
        <f t="shared" si="33"/>
        <v>4</v>
      </c>
      <c r="DB10" s="324">
        <v>39</v>
      </c>
      <c r="DC10" s="324">
        <v>0</v>
      </c>
      <c r="DD10" s="694">
        <f t="shared" si="34"/>
        <v>39</v>
      </c>
      <c r="DE10" s="324">
        <v>40</v>
      </c>
      <c r="DF10" s="324">
        <v>9</v>
      </c>
      <c r="DG10" s="694">
        <f t="shared" si="35"/>
        <v>49</v>
      </c>
      <c r="DH10" s="324">
        <v>0</v>
      </c>
      <c r="DI10" s="324">
        <v>0</v>
      </c>
      <c r="DJ10" s="694">
        <f t="shared" si="36"/>
        <v>0</v>
      </c>
      <c r="DK10" s="324">
        <v>0</v>
      </c>
      <c r="DL10" s="324">
        <v>0</v>
      </c>
      <c r="DM10" s="694">
        <f t="shared" si="37"/>
        <v>0</v>
      </c>
      <c r="DN10" s="324">
        <v>0</v>
      </c>
      <c r="DO10" s="324">
        <v>2</v>
      </c>
      <c r="DP10" s="694">
        <f t="shared" si="38"/>
        <v>2</v>
      </c>
      <c r="DQ10" s="324">
        <v>0</v>
      </c>
      <c r="DR10" s="324">
        <v>1</v>
      </c>
      <c r="DS10" s="694">
        <f t="shared" si="39"/>
        <v>1</v>
      </c>
      <c r="DT10" s="324">
        <v>0</v>
      </c>
      <c r="DU10" s="324">
        <v>0</v>
      </c>
      <c r="DV10" s="694">
        <f t="shared" si="40"/>
        <v>0</v>
      </c>
      <c r="DW10" s="324">
        <v>36</v>
      </c>
      <c r="DX10" s="324">
        <v>9</v>
      </c>
      <c r="DY10" s="694">
        <f t="shared" si="41"/>
        <v>45</v>
      </c>
      <c r="DZ10" s="324">
        <v>2</v>
      </c>
      <c r="EA10" s="324">
        <v>0</v>
      </c>
      <c r="EB10" s="694">
        <f t="shared" si="42"/>
        <v>2</v>
      </c>
      <c r="EC10" s="324">
        <v>93</v>
      </c>
      <c r="ED10" s="324">
        <v>14</v>
      </c>
      <c r="EE10" s="694">
        <f t="shared" si="43"/>
        <v>107</v>
      </c>
      <c r="EF10" s="324">
        <v>28</v>
      </c>
      <c r="EG10" s="324">
        <v>2</v>
      </c>
      <c r="EH10" s="694">
        <f t="shared" si="44"/>
        <v>30</v>
      </c>
      <c r="EI10" s="324">
        <v>2</v>
      </c>
      <c r="EJ10" s="324">
        <v>2</v>
      </c>
      <c r="EK10" s="694">
        <f t="shared" si="45"/>
        <v>4</v>
      </c>
      <c r="EL10" s="324">
        <v>0</v>
      </c>
      <c r="EM10" s="324">
        <v>0</v>
      </c>
      <c r="EN10" s="694">
        <f t="shared" si="46"/>
        <v>0</v>
      </c>
      <c r="EO10" s="324">
        <v>1</v>
      </c>
      <c r="EP10" s="324">
        <v>0</v>
      </c>
      <c r="EQ10" s="694">
        <f t="shared" si="47"/>
        <v>1</v>
      </c>
      <c r="ER10" s="324">
        <v>0</v>
      </c>
      <c r="ES10" s="324">
        <v>0</v>
      </c>
      <c r="ET10" s="694">
        <f t="shared" si="48"/>
        <v>0</v>
      </c>
      <c r="EU10" s="324">
        <v>1</v>
      </c>
      <c r="EV10" s="324">
        <v>1</v>
      </c>
      <c r="EW10" s="694">
        <f t="shared" si="49"/>
        <v>2</v>
      </c>
      <c r="EX10" s="324">
        <v>0</v>
      </c>
      <c r="EY10" s="324">
        <v>0</v>
      </c>
      <c r="EZ10" s="694">
        <f t="shared" si="50"/>
        <v>0</v>
      </c>
      <c r="FA10" s="324">
        <v>0</v>
      </c>
      <c r="FB10" s="324">
        <v>0</v>
      </c>
      <c r="FC10" s="694">
        <f t="shared" si="51"/>
        <v>0</v>
      </c>
      <c r="FD10" s="324">
        <v>2</v>
      </c>
      <c r="FE10" s="324">
        <v>0</v>
      </c>
      <c r="FF10" s="694">
        <f t="shared" si="52"/>
        <v>2</v>
      </c>
      <c r="FG10" s="324">
        <v>0</v>
      </c>
      <c r="FH10" s="324">
        <v>0</v>
      </c>
      <c r="FI10" s="694">
        <f t="shared" si="53"/>
        <v>0</v>
      </c>
      <c r="FJ10" s="324">
        <v>0</v>
      </c>
      <c r="FK10" s="324">
        <v>0</v>
      </c>
      <c r="FL10" s="694">
        <f t="shared" si="54"/>
        <v>0</v>
      </c>
      <c r="FM10" s="324">
        <v>0</v>
      </c>
      <c r="FN10" s="324">
        <v>0</v>
      </c>
      <c r="FO10" s="694">
        <f t="shared" si="55"/>
        <v>0</v>
      </c>
      <c r="FP10" s="324">
        <v>0</v>
      </c>
      <c r="FQ10" s="324">
        <v>0</v>
      </c>
      <c r="FR10" s="694">
        <f t="shared" si="56"/>
        <v>0</v>
      </c>
      <c r="FS10" s="324">
        <v>0</v>
      </c>
      <c r="FT10" s="324">
        <v>0</v>
      </c>
      <c r="FU10" s="694">
        <f t="shared" si="57"/>
        <v>0</v>
      </c>
      <c r="FV10" s="324">
        <v>0</v>
      </c>
      <c r="FW10" s="324">
        <v>0</v>
      </c>
      <c r="FX10" s="694">
        <f t="shared" si="58"/>
        <v>0</v>
      </c>
      <c r="FY10" s="324">
        <v>0</v>
      </c>
      <c r="FZ10" s="324">
        <v>0</v>
      </c>
      <c r="GA10" s="694">
        <f t="shared" si="59"/>
        <v>0</v>
      </c>
      <c r="GB10" s="324">
        <v>1</v>
      </c>
      <c r="GC10" s="324">
        <v>0</v>
      </c>
      <c r="GD10" s="694">
        <f t="shared" si="60"/>
        <v>1</v>
      </c>
      <c r="GE10" s="324">
        <v>1</v>
      </c>
      <c r="GF10" s="324">
        <v>1</v>
      </c>
      <c r="GG10" s="694">
        <f t="shared" si="61"/>
        <v>2</v>
      </c>
      <c r="GH10" s="324">
        <v>3</v>
      </c>
      <c r="GI10" s="324">
        <v>0</v>
      </c>
      <c r="GJ10" s="694">
        <f t="shared" si="62"/>
        <v>3</v>
      </c>
      <c r="GK10" s="324">
        <v>120</v>
      </c>
      <c r="GL10" s="324">
        <v>110</v>
      </c>
      <c r="GM10" s="694">
        <f t="shared" si="63"/>
        <v>230</v>
      </c>
      <c r="GN10" s="324">
        <v>640</v>
      </c>
      <c r="GO10" s="324">
        <v>1709</v>
      </c>
      <c r="GP10" s="694">
        <f t="shared" si="64"/>
        <v>2349</v>
      </c>
      <c r="GQ10" s="324">
        <v>16</v>
      </c>
      <c r="GR10" s="324">
        <v>0</v>
      </c>
      <c r="GS10" s="694">
        <f t="shared" si="65"/>
        <v>16</v>
      </c>
      <c r="GT10" s="324">
        <v>67</v>
      </c>
      <c r="GU10" s="324">
        <v>11</v>
      </c>
      <c r="GV10" s="694">
        <f t="shared" si="66"/>
        <v>78</v>
      </c>
      <c r="GW10" s="324">
        <v>7</v>
      </c>
      <c r="GX10" s="324">
        <v>15</v>
      </c>
      <c r="GY10" s="694">
        <f t="shared" si="67"/>
        <v>22</v>
      </c>
      <c r="GZ10" s="324">
        <v>11</v>
      </c>
      <c r="HA10" s="324">
        <v>5</v>
      </c>
      <c r="HB10" s="694">
        <f t="shared" si="68"/>
        <v>16</v>
      </c>
      <c r="HC10" s="324">
        <v>5</v>
      </c>
      <c r="HD10" s="324">
        <v>7</v>
      </c>
      <c r="HE10" s="694">
        <f t="shared" si="69"/>
        <v>12</v>
      </c>
      <c r="HF10" s="324">
        <v>22</v>
      </c>
      <c r="HG10" s="324">
        <v>5</v>
      </c>
      <c r="HH10" s="694">
        <f t="shared" si="70"/>
        <v>27</v>
      </c>
      <c r="HI10" s="324">
        <v>138</v>
      </c>
      <c r="HJ10" s="324">
        <v>332</v>
      </c>
      <c r="HK10" s="694">
        <f t="shared" si="71"/>
        <v>470</v>
      </c>
      <c r="HL10" s="324">
        <v>0</v>
      </c>
      <c r="HM10" s="324">
        <v>153</v>
      </c>
      <c r="HN10" s="694">
        <f t="shared" si="72"/>
        <v>153</v>
      </c>
      <c r="HO10" s="324">
        <v>22</v>
      </c>
      <c r="HP10" s="324">
        <v>265</v>
      </c>
      <c r="HQ10" s="694">
        <f t="shared" si="73"/>
        <v>287</v>
      </c>
      <c r="HR10" s="324">
        <v>8</v>
      </c>
      <c r="HS10" s="324">
        <v>42</v>
      </c>
      <c r="HT10" s="694">
        <f t="shared" si="74"/>
        <v>50</v>
      </c>
      <c r="HU10" s="324">
        <v>0</v>
      </c>
      <c r="HV10" s="324">
        <v>6</v>
      </c>
      <c r="HW10" s="694">
        <f t="shared" si="75"/>
        <v>6</v>
      </c>
      <c r="HX10" s="324">
        <v>0</v>
      </c>
      <c r="HY10" s="324">
        <v>0</v>
      </c>
      <c r="HZ10" s="694">
        <f t="shared" si="76"/>
        <v>0</v>
      </c>
      <c r="IA10" s="324">
        <v>0</v>
      </c>
      <c r="IB10" s="324">
        <v>0</v>
      </c>
      <c r="IC10" s="694">
        <f t="shared" si="77"/>
        <v>0</v>
      </c>
      <c r="ID10" s="324">
        <v>61</v>
      </c>
      <c r="IE10" s="324">
        <v>1</v>
      </c>
      <c r="IF10" s="694">
        <f t="shared" si="78"/>
        <v>62</v>
      </c>
      <c r="IG10" s="324">
        <v>2</v>
      </c>
      <c r="IH10" s="324">
        <v>1</v>
      </c>
      <c r="II10" s="694">
        <f t="shared" si="79"/>
        <v>3</v>
      </c>
      <c r="IJ10" s="324">
        <v>450</v>
      </c>
      <c r="IK10" s="324">
        <v>0</v>
      </c>
      <c r="IL10" s="694">
        <f t="shared" si="80"/>
        <v>450</v>
      </c>
      <c r="IM10" s="324">
        <v>1</v>
      </c>
      <c r="IN10" s="324">
        <v>0</v>
      </c>
      <c r="IO10" s="694">
        <f t="shared" si="81"/>
        <v>1</v>
      </c>
      <c r="IP10" s="324">
        <v>2</v>
      </c>
      <c r="IQ10" s="324">
        <v>0</v>
      </c>
      <c r="IR10" s="694">
        <f t="shared" si="82"/>
        <v>2</v>
      </c>
      <c r="IS10" s="324">
        <v>753</v>
      </c>
      <c r="IT10" s="324">
        <v>194</v>
      </c>
      <c r="IU10" s="694">
        <f t="shared" si="83"/>
        <v>947</v>
      </c>
      <c r="IV10" s="324">
        <v>2</v>
      </c>
      <c r="IW10" s="324">
        <v>0</v>
      </c>
      <c r="IX10" s="694">
        <f t="shared" si="84"/>
        <v>2</v>
      </c>
      <c r="IY10" s="324">
        <v>1</v>
      </c>
      <c r="IZ10" s="324">
        <v>0</v>
      </c>
      <c r="JA10" s="694">
        <f t="shared" si="85"/>
        <v>1</v>
      </c>
      <c r="JB10" s="324">
        <v>0</v>
      </c>
      <c r="JC10" s="324">
        <v>7</v>
      </c>
      <c r="JD10" s="694">
        <f t="shared" si="86"/>
        <v>7</v>
      </c>
      <c r="JE10" s="324">
        <v>15325</v>
      </c>
      <c r="JF10" s="324">
        <v>3169</v>
      </c>
      <c r="JG10" s="694">
        <f t="shared" si="87"/>
        <v>18494</v>
      </c>
      <c r="JH10" s="324">
        <v>5</v>
      </c>
      <c r="JI10" s="324">
        <v>2</v>
      </c>
      <c r="JJ10" s="694">
        <f t="shared" si="88"/>
        <v>7</v>
      </c>
      <c r="JK10" s="324">
        <v>0</v>
      </c>
      <c r="JL10" s="324">
        <v>0</v>
      </c>
      <c r="JM10" s="694">
        <f t="shared" si="89"/>
        <v>0</v>
      </c>
      <c r="JN10" s="324">
        <v>2</v>
      </c>
      <c r="JO10" s="324">
        <v>0</v>
      </c>
      <c r="JP10" s="694">
        <f t="shared" si="90"/>
        <v>2</v>
      </c>
      <c r="JQ10" s="324">
        <v>0</v>
      </c>
      <c r="JR10" s="324">
        <v>0</v>
      </c>
      <c r="JS10" s="694">
        <f t="shared" si="91"/>
        <v>0</v>
      </c>
      <c r="JT10" s="324">
        <v>0</v>
      </c>
      <c r="JU10" s="324">
        <v>0</v>
      </c>
      <c r="JV10" s="694">
        <f t="shared" si="92"/>
        <v>0</v>
      </c>
      <c r="JW10" s="324">
        <v>0</v>
      </c>
      <c r="JX10" s="324">
        <v>0</v>
      </c>
      <c r="JY10" s="694">
        <f t="shared" si="93"/>
        <v>0</v>
      </c>
      <c r="JZ10" s="324">
        <v>0</v>
      </c>
      <c r="KA10" s="324">
        <v>0</v>
      </c>
      <c r="KB10" s="694">
        <f t="shared" si="94"/>
        <v>0</v>
      </c>
      <c r="KC10" s="324">
        <v>0</v>
      </c>
      <c r="KD10" s="324">
        <v>0</v>
      </c>
      <c r="KE10" s="694">
        <f t="shared" si="95"/>
        <v>0</v>
      </c>
      <c r="KF10" s="324">
        <v>0</v>
      </c>
      <c r="KG10" s="324">
        <v>0</v>
      </c>
      <c r="KH10" s="694">
        <f t="shared" si="96"/>
        <v>0</v>
      </c>
      <c r="KI10" s="324">
        <v>0</v>
      </c>
      <c r="KJ10" s="324">
        <v>0</v>
      </c>
      <c r="KK10" s="694">
        <f t="shared" si="97"/>
        <v>0</v>
      </c>
      <c r="KL10" s="694">
        <v>0</v>
      </c>
      <c r="KM10" s="694">
        <v>0</v>
      </c>
      <c r="KN10" s="694">
        <f t="shared" si="98"/>
        <v>0</v>
      </c>
      <c r="KO10" s="694">
        <v>0</v>
      </c>
      <c r="KP10" s="694">
        <v>0</v>
      </c>
      <c r="KQ10" s="694">
        <f t="shared" si="99"/>
        <v>0</v>
      </c>
      <c r="KR10" s="694">
        <v>0</v>
      </c>
      <c r="KS10" s="694">
        <v>0</v>
      </c>
      <c r="KT10" s="694">
        <f t="shared" si="100"/>
        <v>0</v>
      </c>
      <c r="KU10" s="694">
        <v>0</v>
      </c>
      <c r="KV10" s="694">
        <v>0</v>
      </c>
      <c r="KW10" s="694">
        <f t="shared" si="101"/>
        <v>0</v>
      </c>
      <c r="KX10" s="694">
        <v>0</v>
      </c>
      <c r="KY10" s="694">
        <v>0</v>
      </c>
      <c r="KZ10" s="694">
        <f t="shared" si="102"/>
        <v>0</v>
      </c>
      <c r="LA10" s="694">
        <v>0</v>
      </c>
      <c r="LB10" s="694">
        <v>0</v>
      </c>
      <c r="LC10" s="694">
        <f t="shared" si="103"/>
        <v>0</v>
      </c>
      <c r="LD10" s="694">
        <v>0</v>
      </c>
      <c r="LE10" s="694">
        <v>0</v>
      </c>
      <c r="LF10" s="694">
        <f t="shared" si="104"/>
        <v>0</v>
      </c>
      <c r="LG10" s="694">
        <v>0</v>
      </c>
      <c r="LH10" s="694">
        <v>0</v>
      </c>
      <c r="LI10" s="694">
        <f t="shared" si="105"/>
        <v>0</v>
      </c>
      <c r="LJ10" s="324">
        <v>1</v>
      </c>
      <c r="LK10" s="324">
        <v>0</v>
      </c>
      <c r="LL10" s="695">
        <f t="shared" si="106"/>
        <v>1</v>
      </c>
    </row>
    <row r="11" spans="1:327" x14ac:dyDescent="0.35">
      <c r="A11" s="696">
        <v>4</v>
      </c>
      <c r="B11" s="387" t="s">
        <v>259</v>
      </c>
      <c r="C11" s="440" t="s">
        <v>30</v>
      </c>
      <c r="D11" s="330">
        <v>6544</v>
      </c>
      <c r="E11" s="330">
        <v>5817</v>
      </c>
      <c r="F11" s="629">
        <f t="shared" si="0"/>
        <v>12361</v>
      </c>
      <c r="G11" s="330">
        <v>8</v>
      </c>
      <c r="H11" s="330">
        <v>12183</v>
      </c>
      <c r="I11" s="629">
        <f t="shared" si="1"/>
        <v>12191</v>
      </c>
      <c r="J11" s="330">
        <v>8589</v>
      </c>
      <c r="K11" s="330">
        <v>7203</v>
      </c>
      <c r="L11" s="629">
        <f t="shared" si="2"/>
        <v>15792</v>
      </c>
      <c r="M11" s="330">
        <v>508</v>
      </c>
      <c r="N11" s="330">
        <v>197</v>
      </c>
      <c r="O11" s="629">
        <f t="shared" si="3"/>
        <v>705</v>
      </c>
      <c r="P11" s="330">
        <v>547</v>
      </c>
      <c r="Q11" s="330">
        <v>518</v>
      </c>
      <c r="R11" s="629">
        <f t="shared" si="4"/>
        <v>1065</v>
      </c>
      <c r="S11" s="330">
        <v>64</v>
      </c>
      <c r="T11" s="330">
        <v>4</v>
      </c>
      <c r="U11" s="629">
        <f t="shared" si="5"/>
        <v>68</v>
      </c>
      <c r="V11" s="330">
        <v>77</v>
      </c>
      <c r="W11" s="330">
        <v>8</v>
      </c>
      <c r="X11" s="629">
        <f t="shared" si="6"/>
        <v>85</v>
      </c>
      <c r="Y11" s="330">
        <v>244</v>
      </c>
      <c r="Z11" s="330">
        <v>48</v>
      </c>
      <c r="AA11" s="629">
        <f t="shared" si="7"/>
        <v>292</v>
      </c>
      <c r="AB11" s="330">
        <v>14</v>
      </c>
      <c r="AC11" s="330">
        <v>8</v>
      </c>
      <c r="AD11" s="629">
        <f t="shared" si="8"/>
        <v>22</v>
      </c>
      <c r="AE11" s="330">
        <v>4</v>
      </c>
      <c r="AF11" s="330">
        <v>1</v>
      </c>
      <c r="AG11" s="629">
        <f t="shared" si="9"/>
        <v>5</v>
      </c>
      <c r="AH11" s="330">
        <v>1</v>
      </c>
      <c r="AI11" s="330">
        <v>0</v>
      </c>
      <c r="AJ11" s="629">
        <f t="shared" si="10"/>
        <v>1</v>
      </c>
      <c r="AK11" s="330">
        <v>63</v>
      </c>
      <c r="AL11" s="330">
        <v>5</v>
      </c>
      <c r="AM11" s="629">
        <f t="shared" si="11"/>
        <v>68</v>
      </c>
      <c r="AN11" s="330">
        <v>29</v>
      </c>
      <c r="AO11" s="330">
        <v>1</v>
      </c>
      <c r="AP11" s="629">
        <f t="shared" si="12"/>
        <v>30</v>
      </c>
      <c r="AQ11" s="330">
        <v>57</v>
      </c>
      <c r="AR11" s="330">
        <v>0</v>
      </c>
      <c r="AS11" s="629">
        <f t="shared" si="13"/>
        <v>57</v>
      </c>
      <c r="AT11" s="330">
        <v>10545</v>
      </c>
      <c r="AU11" s="330">
        <v>5019</v>
      </c>
      <c r="AV11" s="629">
        <f t="shared" si="14"/>
        <v>15564</v>
      </c>
      <c r="AW11" s="330">
        <v>237</v>
      </c>
      <c r="AX11" s="330">
        <v>126</v>
      </c>
      <c r="AY11" s="629">
        <f t="shared" si="15"/>
        <v>363</v>
      </c>
      <c r="AZ11" s="330">
        <v>14</v>
      </c>
      <c r="BA11" s="330">
        <v>8</v>
      </c>
      <c r="BB11" s="629">
        <f t="shared" si="16"/>
        <v>22</v>
      </c>
      <c r="BC11" s="330">
        <v>46</v>
      </c>
      <c r="BD11" s="330">
        <v>24</v>
      </c>
      <c r="BE11" s="629">
        <f t="shared" si="17"/>
        <v>70</v>
      </c>
      <c r="BF11" s="330">
        <v>913</v>
      </c>
      <c r="BG11" s="330">
        <v>32</v>
      </c>
      <c r="BH11" s="629">
        <f t="shared" si="18"/>
        <v>945</v>
      </c>
      <c r="BI11" s="330">
        <v>15</v>
      </c>
      <c r="BJ11" s="330">
        <v>3</v>
      </c>
      <c r="BK11" s="629">
        <f t="shared" si="19"/>
        <v>18</v>
      </c>
      <c r="BL11" s="330">
        <v>1</v>
      </c>
      <c r="BM11" s="330">
        <v>0</v>
      </c>
      <c r="BN11" s="629">
        <f t="shared" si="20"/>
        <v>1</v>
      </c>
      <c r="BO11" s="330">
        <v>0</v>
      </c>
      <c r="BP11" s="330">
        <v>0</v>
      </c>
      <c r="BQ11" s="629">
        <f t="shared" si="21"/>
        <v>0</v>
      </c>
      <c r="BR11" s="330">
        <v>0</v>
      </c>
      <c r="BS11" s="330">
        <v>13</v>
      </c>
      <c r="BT11" s="629">
        <f t="shared" si="22"/>
        <v>13</v>
      </c>
      <c r="BU11" s="330">
        <v>0</v>
      </c>
      <c r="BV11" s="330">
        <v>0</v>
      </c>
      <c r="BW11" s="629">
        <f t="shared" si="23"/>
        <v>0</v>
      </c>
      <c r="BX11" s="330">
        <v>2</v>
      </c>
      <c r="BY11" s="330">
        <v>0</v>
      </c>
      <c r="BZ11" s="629">
        <f t="shared" si="24"/>
        <v>2</v>
      </c>
      <c r="CA11" s="330">
        <v>4</v>
      </c>
      <c r="CB11" s="330">
        <v>0</v>
      </c>
      <c r="CC11" s="629">
        <f t="shared" si="25"/>
        <v>4</v>
      </c>
      <c r="CD11" s="330">
        <v>2</v>
      </c>
      <c r="CE11" s="330">
        <v>0</v>
      </c>
      <c r="CF11" s="629">
        <f t="shared" si="26"/>
        <v>2</v>
      </c>
      <c r="CG11" s="330">
        <v>0</v>
      </c>
      <c r="CH11" s="330">
        <v>0</v>
      </c>
      <c r="CI11" s="629">
        <f t="shared" si="27"/>
        <v>0</v>
      </c>
      <c r="CJ11" s="330">
        <v>0</v>
      </c>
      <c r="CK11" s="330">
        <v>0</v>
      </c>
      <c r="CL11" s="629">
        <f t="shared" si="28"/>
        <v>0</v>
      </c>
      <c r="CM11" s="330">
        <v>2</v>
      </c>
      <c r="CN11" s="330">
        <v>3</v>
      </c>
      <c r="CO11" s="629">
        <f t="shared" si="29"/>
        <v>5</v>
      </c>
      <c r="CP11" s="330">
        <v>0</v>
      </c>
      <c r="CQ11" s="330">
        <v>0</v>
      </c>
      <c r="CR11" s="629">
        <f t="shared" si="30"/>
        <v>0</v>
      </c>
      <c r="CS11" s="330">
        <v>0</v>
      </c>
      <c r="CT11" s="330">
        <v>0</v>
      </c>
      <c r="CU11" s="629">
        <f t="shared" si="31"/>
        <v>0</v>
      </c>
      <c r="CV11" s="330">
        <v>0</v>
      </c>
      <c r="CW11" s="330">
        <v>1</v>
      </c>
      <c r="CX11" s="629">
        <f t="shared" si="32"/>
        <v>1</v>
      </c>
      <c r="CY11" s="330">
        <v>0</v>
      </c>
      <c r="CZ11" s="330">
        <v>1</v>
      </c>
      <c r="DA11" s="629">
        <f t="shared" si="33"/>
        <v>1</v>
      </c>
      <c r="DB11" s="330">
        <v>8</v>
      </c>
      <c r="DC11" s="330">
        <v>0</v>
      </c>
      <c r="DD11" s="629">
        <f t="shared" si="34"/>
        <v>8</v>
      </c>
      <c r="DE11" s="330">
        <v>12</v>
      </c>
      <c r="DF11" s="330">
        <v>1</v>
      </c>
      <c r="DG11" s="629">
        <f t="shared" si="35"/>
        <v>13</v>
      </c>
      <c r="DH11" s="330">
        <v>0</v>
      </c>
      <c r="DI11" s="330">
        <v>0</v>
      </c>
      <c r="DJ11" s="629">
        <f t="shared" si="36"/>
        <v>0</v>
      </c>
      <c r="DK11" s="330">
        <v>0</v>
      </c>
      <c r="DL11" s="330">
        <v>0</v>
      </c>
      <c r="DM11" s="629">
        <f t="shared" si="37"/>
        <v>0</v>
      </c>
      <c r="DN11" s="330">
        <v>0</v>
      </c>
      <c r="DO11" s="330">
        <v>0</v>
      </c>
      <c r="DP11" s="629">
        <f t="shared" si="38"/>
        <v>0</v>
      </c>
      <c r="DQ11" s="330">
        <v>0</v>
      </c>
      <c r="DR11" s="330">
        <v>1</v>
      </c>
      <c r="DS11" s="629">
        <f t="shared" si="39"/>
        <v>1</v>
      </c>
      <c r="DT11" s="330">
        <v>0</v>
      </c>
      <c r="DU11" s="330">
        <v>0</v>
      </c>
      <c r="DV11" s="629">
        <f t="shared" si="40"/>
        <v>0</v>
      </c>
      <c r="DW11" s="330">
        <v>4</v>
      </c>
      <c r="DX11" s="330">
        <v>0</v>
      </c>
      <c r="DY11" s="629">
        <f t="shared" si="41"/>
        <v>4</v>
      </c>
      <c r="DZ11" s="330">
        <v>0</v>
      </c>
      <c r="EA11" s="330">
        <v>0</v>
      </c>
      <c r="EB11" s="629">
        <f t="shared" si="42"/>
        <v>0</v>
      </c>
      <c r="EC11" s="330">
        <v>19</v>
      </c>
      <c r="ED11" s="330">
        <v>5</v>
      </c>
      <c r="EE11" s="629">
        <f t="shared" si="43"/>
        <v>24</v>
      </c>
      <c r="EF11" s="330">
        <v>6</v>
      </c>
      <c r="EG11" s="330">
        <v>0</v>
      </c>
      <c r="EH11" s="629">
        <f t="shared" si="44"/>
        <v>6</v>
      </c>
      <c r="EI11" s="330">
        <v>0</v>
      </c>
      <c r="EJ11" s="330">
        <v>1</v>
      </c>
      <c r="EK11" s="629">
        <f t="shared" si="45"/>
        <v>1</v>
      </c>
      <c r="EL11" s="330">
        <v>0</v>
      </c>
      <c r="EM11" s="330">
        <v>0</v>
      </c>
      <c r="EN11" s="629">
        <f t="shared" si="46"/>
        <v>0</v>
      </c>
      <c r="EO11" s="330">
        <v>0</v>
      </c>
      <c r="EP11" s="330">
        <v>0</v>
      </c>
      <c r="EQ11" s="629">
        <f t="shared" si="47"/>
        <v>0</v>
      </c>
      <c r="ER11" s="330">
        <v>0</v>
      </c>
      <c r="ES11" s="330">
        <v>0</v>
      </c>
      <c r="ET11" s="629">
        <f t="shared" si="48"/>
        <v>0</v>
      </c>
      <c r="EU11" s="330">
        <v>0</v>
      </c>
      <c r="EV11" s="330">
        <v>0</v>
      </c>
      <c r="EW11" s="629">
        <f t="shared" si="49"/>
        <v>0</v>
      </c>
      <c r="EX11" s="330">
        <v>0</v>
      </c>
      <c r="EY11" s="330">
        <v>0</v>
      </c>
      <c r="EZ11" s="629">
        <f t="shared" si="50"/>
        <v>0</v>
      </c>
      <c r="FA11" s="330">
        <v>0</v>
      </c>
      <c r="FB11" s="330">
        <v>0</v>
      </c>
      <c r="FC11" s="629">
        <f t="shared" si="51"/>
        <v>0</v>
      </c>
      <c r="FD11" s="330">
        <v>0</v>
      </c>
      <c r="FE11" s="330">
        <v>0</v>
      </c>
      <c r="FF11" s="629">
        <f t="shared" si="52"/>
        <v>0</v>
      </c>
      <c r="FG11" s="330">
        <v>0</v>
      </c>
      <c r="FH11" s="330">
        <v>0</v>
      </c>
      <c r="FI11" s="629">
        <f t="shared" si="53"/>
        <v>0</v>
      </c>
      <c r="FJ11" s="330">
        <v>0</v>
      </c>
      <c r="FK11" s="330">
        <v>0</v>
      </c>
      <c r="FL11" s="629">
        <f t="shared" si="54"/>
        <v>0</v>
      </c>
      <c r="FM11" s="330">
        <v>0</v>
      </c>
      <c r="FN11" s="330">
        <v>0</v>
      </c>
      <c r="FO11" s="629">
        <f t="shared" si="55"/>
        <v>0</v>
      </c>
      <c r="FP11" s="330">
        <v>0</v>
      </c>
      <c r="FQ11" s="330">
        <v>0</v>
      </c>
      <c r="FR11" s="629">
        <f t="shared" si="56"/>
        <v>0</v>
      </c>
      <c r="FS11" s="330">
        <v>0</v>
      </c>
      <c r="FT11" s="330">
        <v>0</v>
      </c>
      <c r="FU11" s="629">
        <f t="shared" si="57"/>
        <v>0</v>
      </c>
      <c r="FV11" s="330">
        <v>0</v>
      </c>
      <c r="FW11" s="330">
        <v>0</v>
      </c>
      <c r="FX11" s="629">
        <f t="shared" si="58"/>
        <v>0</v>
      </c>
      <c r="FY11" s="330">
        <v>0</v>
      </c>
      <c r="FZ11" s="330">
        <v>0</v>
      </c>
      <c r="GA11" s="629">
        <f t="shared" si="59"/>
        <v>0</v>
      </c>
      <c r="GB11" s="330">
        <v>0</v>
      </c>
      <c r="GC11" s="330">
        <v>0</v>
      </c>
      <c r="GD11" s="629">
        <f t="shared" si="60"/>
        <v>0</v>
      </c>
      <c r="GE11" s="330">
        <v>1</v>
      </c>
      <c r="GF11" s="330">
        <v>0</v>
      </c>
      <c r="GG11" s="629">
        <f t="shared" si="61"/>
        <v>1</v>
      </c>
      <c r="GH11" s="330">
        <v>0</v>
      </c>
      <c r="GI11" s="330">
        <v>0</v>
      </c>
      <c r="GJ11" s="629">
        <f t="shared" si="62"/>
        <v>0</v>
      </c>
      <c r="GK11" s="330">
        <v>24</v>
      </c>
      <c r="GL11" s="330">
        <v>34</v>
      </c>
      <c r="GM11" s="629">
        <f t="shared" si="63"/>
        <v>58</v>
      </c>
      <c r="GN11" s="330">
        <v>174</v>
      </c>
      <c r="GO11" s="330">
        <v>402</v>
      </c>
      <c r="GP11" s="629">
        <f t="shared" si="64"/>
        <v>576</v>
      </c>
      <c r="GQ11" s="330">
        <v>5</v>
      </c>
      <c r="GR11" s="330">
        <v>0</v>
      </c>
      <c r="GS11" s="629">
        <f t="shared" si="65"/>
        <v>5</v>
      </c>
      <c r="GT11" s="330">
        <v>9</v>
      </c>
      <c r="GU11" s="330">
        <v>2</v>
      </c>
      <c r="GV11" s="629">
        <f t="shared" si="66"/>
        <v>11</v>
      </c>
      <c r="GW11" s="330">
        <v>0</v>
      </c>
      <c r="GX11" s="330">
        <v>4</v>
      </c>
      <c r="GY11" s="629">
        <f t="shared" si="67"/>
        <v>4</v>
      </c>
      <c r="GZ11" s="330">
        <v>4</v>
      </c>
      <c r="HA11" s="330">
        <v>0</v>
      </c>
      <c r="HB11" s="629">
        <f t="shared" si="68"/>
        <v>4</v>
      </c>
      <c r="HC11" s="330">
        <v>3</v>
      </c>
      <c r="HD11" s="330">
        <v>2</v>
      </c>
      <c r="HE11" s="629">
        <f t="shared" si="69"/>
        <v>5</v>
      </c>
      <c r="HF11" s="330">
        <v>7</v>
      </c>
      <c r="HG11" s="330">
        <v>3</v>
      </c>
      <c r="HH11" s="629">
        <f t="shared" si="70"/>
        <v>10</v>
      </c>
      <c r="HI11" s="330">
        <v>30</v>
      </c>
      <c r="HJ11" s="330">
        <v>100</v>
      </c>
      <c r="HK11" s="629">
        <f t="shared" si="71"/>
        <v>130</v>
      </c>
      <c r="HL11" s="330">
        <v>0</v>
      </c>
      <c r="HM11" s="330">
        <v>38</v>
      </c>
      <c r="HN11" s="629">
        <f t="shared" si="72"/>
        <v>38</v>
      </c>
      <c r="HO11" s="330">
        <v>8</v>
      </c>
      <c r="HP11" s="330">
        <v>79</v>
      </c>
      <c r="HQ11" s="629">
        <f t="shared" si="73"/>
        <v>87</v>
      </c>
      <c r="HR11" s="330">
        <v>2</v>
      </c>
      <c r="HS11" s="330">
        <v>14</v>
      </c>
      <c r="HT11" s="629">
        <f t="shared" si="74"/>
        <v>16</v>
      </c>
      <c r="HU11" s="330">
        <v>0</v>
      </c>
      <c r="HV11" s="330">
        <v>2</v>
      </c>
      <c r="HW11" s="629">
        <f t="shared" si="75"/>
        <v>2</v>
      </c>
      <c r="HX11" s="330">
        <v>0</v>
      </c>
      <c r="HY11" s="330">
        <v>0</v>
      </c>
      <c r="HZ11" s="629">
        <f t="shared" si="76"/>
        <v>0</v>
      </c>
      <c r="IA11" s="330">
        <v>0</v>
      </c>
      <c r="IB11" s="330">
        <v>0</v>
      </c>
      <c r="IC11" s="629">
        <f t="shared" si="77"/>
        <v>0</v>
      </c>
      <c r="ID11" s="330">
        <v>15</v>
      </c>
      <c r="IE11" s="330">
        <v>0</v>
      </c>
      <c r="IF11" s="629">
        <f t="shared" si="78"/>
        <v>15</v>
      </c>
      <c r="IG11" s="330">
        <v>1</v>
      </c>
      <c r="IH11" s="330">
        <v>0</v>
      </c>
      <c r="II11" s="629">
        <f t="shared" si="79"/>
        <v>1</v>
      </c>
      <c r="IJ11" s="330">
        <v>117</v>
      </c>
      <c r="IK11" s="330">
        <v>0</v>
      </c>
      <c r="IL11" s="629">
        <f t="shared" si="80"/>
        <v>117</v>
      </c>
      <c r="IM11" s="330">
        <v>0</v>
      </c>
      <c r="IN11" s="330">
        <v>0</v>
      </c>
      <c r="IO11" s="629">
        <f t="shared" si="81"/>
        <v>0</v>
      </c>
      <c r="IP11" s="330">
        <v>0</v>
      </c>
      <c r="IQ11" s="330">
        <v>0</v>
      </c>
      <c r="IR11" s="629">
        <f t="shared" si="82"/>
        <v>0</v>
      </c>
      <c r="IS11" s="330">
        <v>158</v>
      </c>
      <c r="IT11" s="330">
        <v>39</v>
      </c>
      <c r="IU11" s="629">
        <f t="shared" si="83"/>
        <v>197</v>
      </c>
      <c r="IV11" s="330">
        <v>0</v>
      </c>
      <c r="IW11" s="330">
        <v>0</v>
      </c>
      <c r="IX11" s="629">
        <f t="shared" si="84"/>
        <v>0</v>
      </c>
      <c r="IY11" s="330">
        <v>0</v>
      </c>
      <c r="IZ11" s="330">
        <v>0</v>
      </c>
      <c r="JA11" s="629">
        <f t="shared" si="85"/>
        <v>0</v>
      </c>
      <c r="JB11" s="330">
        <v>0</v>
      </c>
      <c r="JC11" s="330">
        <v>0</v>
      </c>
      <c r="JD11" s="629">
        <f t="shared" si="86"/>
        <v>0</v>
      </c>
      <c r="JE11" s="330">
        <v>3692</v>
      </c>
      <c r="JF11" s="330">
        <v>736</v>
      </c>
      <c r="JG11" s="629">
        <f t="shared" si="87"/>
        <v>4428</v>
      </c>
      <c r="JH11" s="330">
        <v>1</v>
      </c>
      <c r="JI11" s="330">
        <v>0</v>
      </c>
      <c r="JJ11" s="629">
        <f t="shared" si="88"/>
        <v>1</v>
      </c>
      <c r="JK11" s="330">
        <v>0</v>
      </c>
      <c r="JL11" s="330">
        <v>0</v>
      </c>
      <c r="JM11" s="629">
        <f t="shared" si="89"/>
        <v>0</v>
      </c>
      <c r="JN11" s="330">
        <v>0</v>
      </c>
      <c r="JO11" s="330">
        <v>0</v>
      </c>
      <c r="JP11" s="629">
        <f t="shared" si="90"/>
        <v>0</v>
      </c>
      <c r="JQ11" s="330">
        <v>0</v>
      </c>
      <c r="JR11" s="330">
        <v>0</v>
      </c>
      <c r="JS11" s="629">
        <f t="shared" si="91"/>
        <v>0</v>
      </c>
      <c r="JT11" s="330">
        <v>0</v>
      </c>
      <c r="JU11" s="330">
        <v>0</v>
      </c>
      <c r="JV11" s="629">
        <f t="shared" si="92"/>
        <v>0</v>
      </c>
      <c r="JW11" s="330">
        <v>0</v>
      </c>
      <c r="JX11" s="330">
        <v>0</v>
      </c>
      <c r="JY11" s="629">
        <f t="shared" si="93"/>
        <v>0</v>
      </c>
      <c r="JZ11" s="330">
        <v>0</v>
      </c>
      <c r="KA11" s="330">
        <v>0</v>
      </c>
      <c r="KB11" s="629">
        <f t="shared" si="94"/>
        <v>0</v>
      </c>
      <c r="KC11" s="330">
        <v>0</v>
      </c>
      <c r="KD11" s="330">
        <v>0</v>
      </c>
      <c r="KE11" s="629">
        <f t="shared" si="95"/>
        <v>0</v>
      </c>
      <c r="KF11" s="330">
        <v>0</v>
      </c>
      <c r="KG11" s="330">
        <v>0</v>
      </c>
      <c r="KH11" s="629">
        <f t="shared" si="96"/>
        <v>0</v>
      </c>
      <c r="KI11" s="330">
        <v>0</v>
      </c>
      <c r="KJ11" s="330">
        <v>0</v>
      </c>
      <c r="KK11" s="629">
        <f t="shared" si="97"/>
        <v>0</v>
      </c>
      <c r="KL11" s="629">
        <v>0</v>
      </c>
      <c r="KM11" s="629">
        <v>0</v>
      </c>
      <c r="KN11" s="629">
        <f t="shared" si="98"/>
        <v>0</v>
      </c>
      <c r="KO11" s="629">
        <v>0</v>
      </c>
      <c r="KP11" s="629">
        <v>0</v>
      </c>
      <c r="KQ11" s="629">
        <f t="shared" si="99"/>
        <v>0</v>
      </c>
      <c r="KR11" s="629">
        <v>0</v>
      </c>
      <c r="KS11" s="629">
        <v>0</v>
      </c>
      <c r="KT11" s="629">
        <f t="shared" si="100"/>
        <v>0</v>
      </c>
      <c r="KU11" s="629">
        <v>0</v>
      </c>
      <c r="KV11" s="629">
        <v>0</v>
      </c>
      <c r="KW11" s="629">
        <f t="shared" si="101"/>
        <v>0</v>
      </c>
      <c r="KX11" s="629">
        <v>0</v>
      </c>
      <c r="KY11" s="629">
        <v>0</v>
      </c>
      <c r="KZ11" s="629">
        <f t="shared" si="102"/>
        <v>0</v>
      </c>
      <c r="LA11" s="629">
        <v>0</v>
      </c>
      <c r="LB11" s="629">
        <v>0</v>
      </c>
      <c r="LC11" s="629">
        <f t="shared" si="103"/>
        <v>0</v>
      </c>
      <c r="LD11" s="629">
        <v>0</v>
      </c>
      <c r="LE11" s="629">
        <v>0</v>
      </c>
      <c r="LF11" s="629">
        <f t="shared" si="104"/>
        <v>0</v>
      </c>
      <c r="LG11" s="629">
        <v>0</v>
      </c>
      <c r="LH11" s="629">
        <v>0</v>
      </c>
      <c r="LI11" s="629">
        <f t="shared" si="105"/>
        <v>0</v>
      </c>
      <c r="LJ11" s="330">
        <v>0</v>
      </c>
      <c r="LK11" s="330">
        <v>0</v>
      </c>
      <c r="LL11" s="697">
        <f t="shared" si="106"/>
        <v>0</v>
      </c>
    </row>
    <row r="12" spans="1:327" x14ac:dyDescent="0.35">
      <c r="A12" s="696">
        <v>4</v>
      </c>
      <c r="B12" s="387" t="s">
        <v>260</v>
      </c>
      <c r="C12" s="440" t="s">
        <v>33</v>
      </c>
      <c r="D12" s="330">
        <v>5243</v>
      </c>
      <c r="E12" s="330">
        <v>4742</v>
      </c>
      <c r="F12" s="629">
        <f t="shared" si="0"/>
        <v>9985</v>
      </c>
      <c r="G12" s="330">
        <v>7</v>
      </c>
      <c r="H12" s="330">
        <v>9329</v>
      </c>
      <c r="I12" s="629">
        <f t="shared" si="1"/>
        <v>9336</v>
      </c>
      <c r="J12" s="330">
        <v>6341</v>
      </c>
      <c r="K12" s="330">
        <v>5574</v>
      </c>
      <c r="L12" s="629">
        <f t="shared" si="2"/>
        <v>11915</v>
      </c>
      <c r="M12" s="330">
        <v>246</v>
      </c>
      <c r="N12" s="330">
        <v>146</v>
      </c>
      <c r="O12" s="629">
        <f t="shared" si="3"/>
        <v>392</v>
      </c>
      <c r="P12" s="330">
        <v>364</v>
      </c>
      <c r="Q12" s="330">
        <v>295</v>
      </c>
      <c r="R12" s="629">
        <f t="shared" si="4"/>
        <v>659</v>
      </c>
      <c r="S12" s="330">
        <v>26</v>
      </c>
      <c r="T12" s="330">
        <v>1</v>
      </c>
      <c r="U12" s="629">
        <f t="shared" si="5"/>
        <v>27</v>
      </c>
      <c r="V12" s="330">
        <v>34</v>
      </c>
      <c r="W12" s="330">
        <v>5</v>
      </c>
      <c r="X12" s="629">
        <f t="shared" si="6"/>
        <v>39</v>
      </c>
      <c r="Y12" s="330">
        <v>131</v>
      </c>
      <c r="Z12" s="330">
        <v>48</v>
      </c>
      <c r="AA12" s="629">
        <f t="shared" si="7"/>
        <v>179</v>
      </c>
      <c r="AB12" s="330">
        <v>12</v>
      </c>
      <c r="AC12" s="330">
        <v>7</v>
      </c>
      <c r="AD12" s="629">
        <f t="shared" si="8"/>
        <v>19</v>
      </c>
      <c r="AE12" s="330">
        <v>0</v>
      </c>
      <c r="AF12" s="330">
        <v>0</v>
      </c>
      <c r="AG12" s="629">
        <f t="shared" si="9"/>
        <v>0</v>
      </c>
      <c r="AH12" s="330">
        <v>2</v>
      </c>
      <c r="AI12" s="330">
        <v>0</v>
      </c>
      <c r="AJ12" s="629">
        <f t="shared" si="10"/>
        <v>2</v>
      </c>
      <c r="AK12" s="330">
        <v>38</v>
      </c>
      <c r="AL12" s="330">
        <v>9</v>
      </c>
      <c r="AM12" s="629">
        <f t="shared" si="11"/>
        <v>47</v>
      </c>
      <c r="AN12" s="330">
        <v>7</v>
      </c>
      <c r="AO12" s="330">
        <v>0</v>
      </c>
      <c r="AP12" s="629">
        <f t="shared" si="12"/>
        <v>7</v>
      </c>
      <c r="AQ12" s="330">
        <v>18</v>
      </c>
      <c r="AR12" s="330">
        <v>0</v>
      </c>
      <c r="AS12" s="629">
        <f t="shared" si="13"/>
        <v>18</v>
      </c>
      <c r="AT12" s="330">
        <v>7677</v>
      </c>
      <c r="AU12" s="330">
        <v>3578</v>
      </c>
      <c r="AV12" s="629">
        <f t="shared" si="14"/>
        <v>11255</v>
      </c>
      <c r="AW12" s="330">
        <v>82</v>
      </c>
      <c r="AX12" s="330">
        <v>52</v>
      </c>
      <c r="AY12" s="629">
        <f t="shared" si="15"/>
        <v>134</v>
      </c>
      <c r="AZ12" s="330">
        <v>7</v>
      </c>
      <c r="BA12" s="330">
        <v>6</v>
      </c>
      <c r="BB12" s="629">
        <f t="shared" si="16"/>
        <v>13</v>
      </c>
      <c r="BC12" s="330">
        <v>43</v>
      </c>
      <c r="BD12" s="330">
        <v>29</v>
      </c>
      <c r="BE12" s="629">
        <f t="shared" si="17"/>
        <v>72</v>
      </c>
      <c r="BF12" s="330">
        <v>836</v>
      </c>
      <c r="BG12" s="330">
        <v>33</v>
      </c>
      <c r="BH12" s="629">
        <f t="shared" si="18"/>
        <v>869</v>
      </c>
      <c r="BI12" s="330">
        <v>6</v>
      </c>
      <c r="BJ12" s="330">
        <v>3</v>
      </c>
      <c r="BK12" s="629">
        <f t="shared" si="19"/>
        <v>9</v>
      </c>
      <c r="BL12" s="330">
        <v>0</v>
      </c>
      <c r="BM12" s="330">
        <v>0</v>
      </c>
      <c r="BN12" s="629">
        <f t="shared" si="20"/>
        <v>0</v>
      </c>
      <c r="BO12" s="330">
        <v>0</v>
      </c>
      <c r="BP12" s="330">
        <v>0</v>
      </c>
      <c r="BQ12" s="629">
        <f t="shared" si="21"/>
        <v>0</v>
      </c>
      <c r="BR12" s="330">
        <v>0</v>
      </c>
      <c r="BS12" s="330">
        <v>3</v>
      </c>
      <c r="BT12" s="629">
        <f t="shared" si="22"/>
        <v>3</v>
      </c>
      <c r="BU12" s="330">
        <v>0</v>
      </c>
      <c r="BV12" s="330">
        <v>0</v>
      </c>
      <c r="BW12" s="629">
        <f t="shared" si="23"/>
        <v>0</v>
      </c>
      <c r="BX12" s="330">
        <v>0</v>
      </c>
      <c r="BY12" s="330">
        <v>0</v>
      </c>
      <c r="BZ12" s="629">
        <f t="shared" si="24"/>
        <v>0</v>
      </c>
      <c r="CA12" s="330">
        <v>2</v>
      </c>
      <c r="CB12" s="330">
        <v>0</v>
      </c>
      <c r="CC12" s="629">
        <f t="shared" si="25"/>
        <v>2</v>
      </c>
      <c r="CD12" s="330">
        <v>4</v>
      </c>
      <c r="CE12" s="330">
        <v>0</v>
      </c>
      <c r="CF12" s="629">
        <f t="shared" si="26"/>
        <v>4</v>
      </c>
      <c r="CG12" s="330">
        <v>0</v>
      </c>
      <c r="CH12" s="330">
        <v>0</v>
      </c>
      <c r="CI12" s="629">
        <f t="shared" si="27"/>
        <v>0</v>
      </c>
      <c r="CJ12" s="330">
        <v>0</v>
      </c>
      <c r="CK12" s="330">
        <v>0</v>
      </c>
      <c r="CL12" s="629">
        <f t="shared" si="28"/>
        <v>0</v>
      </c>
      <c r="CM12" s="330">
        <v>0</v>
      </c>
      <c r="CN12" s="330">
        <v>2</v>
      </c>
      <c r="CO12" s="629">
        <f t="shared" si="29"/>
        <v>2</v>
      </c>
      <c r="CP12" s="330">
        <v>0</v>
      </c>
      <c r="CQ12" s="330">
        <v>0</v>
      </c>
      <c r="CR12" s="629">
        <f t="shared" si="30"/>
        <v>0</v>
      </c>
      <c r="CS12" s="330">
        <v>0</v>
      </c>
      <c r="CT12" s="330">
        <v>0</v>
      </c>
      <c r="CU12" s="629">
        <f t="shared" si="31"/>
        <v>0</v>
      </c>
      <c r="CV12" s="330">
        <v>0</v>
      </c>
      <c r="CW12" s="330">
        <v>0</v>
      </c>
      <c r="CX12" s="629">
        <f t="shared" si="32"/>
        <v>0</v>
      </c>
      <c r="CY12" s="330">
        <v>0</v>
      </c>
      <c r="CZ12" s="330">
        <v>0</v>
      </c>
      <c r="DA12" s="629">
        <f t="shared" si="33"/>
        <v>0</v>
      </c>
      <c r="DB12" s="330">
        <v>9</v>
      </c>
      <c r="DC12" s="330">
        <v>0</v>
      </c>
      <c r="DD12" s="629">
        <f t="shared" si="34"/>
        <v>9</v>
      </c>
      <c r="DE12" s="330">
        <v>6</v>
      </c>
      <c r="DF12" s="330">
        <v>0</v>
      </c>
      <c r="DG12" s="629">
        <f t="shared" si="35"/>
        <v>6</v>
      </c>
      <c r="DH12" s="330">
        <v>0</v>
      </c>
      <c r="DI12" s="330">
        <v>0</v>
      </c>
      <c r="DJ12" s="629">
        <f t="shared" si="36"/>
        <v>0</v>
      </c>
      <c r="DK12" s="330">
        <v>0</v>
      </c>
      <c r="DL12" s="330">
        <v>0</v>
      </c>
      <c r="DM12" s="629">
        <f t="shared" si="37"/>
        <v>0</v>
      </c>
      <c r="DN12" s="330">
        <v>0</v>
      </c>
      <c r="DO12" s="330">
        <v>1</v>
      </c>
      <c r="DP12" s="629">
        <f t="shared" si="38"/>
        <v>1</v>
      </c>
      <c r="DQ12" s="330">
        <v>0</v>
      </c>
      <c r="DR12" s="330">
        <v>0</v>
      </c>
      <c r="DS12" s="629">
        <f t="shared" si="39"/>
        <v>0</v>
      </c>
      <c r="DT12" s="330">
        <v>0</v>
      </c>
      <c r="DU12" s="330">
        <v>0</v>
      </c>
      <c r="DV12" s="629">
        <f t="shared" si="40"/>
        <v>0</v>
      </c>
      <c r="DW12" s="330">
        <v>2</v>
      </c>
      <c r="DX12" s="330">
        <v>1</v>
      </c>
      <c r="DY12" s="629">
        <f t="shared" si="41"/>
        <v>3</v>
      </c>
      <c r="DZ12" s="330">
        <v>2</v>
      </c>
      <c r="EA12" s="330">
        <v>0</v>
      </c>
      <c r="EB12" s="629">
        <f t="shared" si="42"/>
        <v>2</v>
      </c>
      <c r="EC12" s="330">
        <v>14</v>
      </c>
      <c r="ED12" s="330">
        <v>2</v>
      </c>
      <c r="EE12" s="629">
        <f t="shared" si="43"/>
        <v>16</v>
      </c>
      <c r="EF12" s="330">
        <v>6</v>
      </c>
      <c r="EG12" s="330">
        <v>1</v>
      </c>
      <c r="EH12" s="629">
        <f t="shared" si="44"/>
        <v>7</v>
      </c>
      <c r="EI12" s="330">
        <v>0</v>
      </c>
      <c r="EJ12" s="330">
        <v>0</v>
      </c>
      <c r="EK12" s="629">
        <f t="shared" si="45"/>
        <v>0</v>
      </c>
      <c r="EL12" s="330">
        <v>0</v>
      </c>
      <c r="EM12" s="330">
        <v>0</v>
      </c>
      <c r="EN12" s="629">
        <f t="shared" si="46"/>
        <v>0</v>
      </c>
      <c r="EO12" s="330">
        <v>0</v>
      </c>
      <c r="EP12" s="330">
        <v>0</v>
      </c>
      <c r="EQ12" s="629">
        <f t="shared" si="47"/>
        <v>0</v>
      </c>
      <c r="ER12" s="330">
        <v>0</v>
      </c>
      <c r="ES12" s="330">
        <v>0</v>
      </c>
      <c r="ET12" s="629">
        <f t="shared" si="48"/>
        <v>0</v>
      </c>
      <c r="EU12" s="330">
        <v>0</v>
      </c>
      <c r="EV12" s="330">
        <v>1</v>
      </c>
      <c r="EW12" s="629">
        <f t="shared" si="49"/>
        <v>1</v>
      </c>
      <c r="EX12" s="330">
        <v>0</v>
      </c>
      <c r="EY12" s="330">
        <v>0</v>
      </c>
      <c r="EZ12" s="629">
        <f t="shared" si="50"/>
        <v>0</v>
      </c>
      <c r="FA12" s="330">
        <v>0</v>
      </c>
      <c r="FB12" s="330">
        <v>0</v>
      </c>
      <c r="FC12" s="629">
        <f t="shared" si="51"/>
        <v>0</v>
      </c>
      <c r="FD12" s="330">
        <v>0</v>
      </c>
      <c r="FE12" s="330">
        <v>0</v>
      </c>
      <c r="FF12" s="629">
        <f t="shared" si="52"/>
        <v>0</v>
      </c>
      <c r="FG12" s="330">
        <v>0</v>
      </c>
      <c r="FH12" s="330">
        <v>0</v>
      </c>
      <c r="FI12" s="629">
        <f t="shared" si="53"/>
        <v>0</v>
      </c>
      <c r="FJ12" s="330">
        <v>0</v>
      </c>
      <c r="FK12" s="330">
        <v>0</v>
      </c>
      <c r="FL12" s="629">
        <f t="shared" si="54"/>
        <v>0</v>
      </c>
      <c r="FM12" s="330">
        <v>0</v>
      </c>
      <c r="FN12" s="330">
        <v>0</v>
      </c>
      <c r="FO12" s="629">
        <f t="shared" si="55"/>
        <v>0</v>
      </c>
      <c r="FP12" s="330">
        <v>0</v>
      </c>
      <c r="FQ12" s="330">
        <v>0</v>
      </c>
      <c r="FR12" s="629">
        <f t="shared" si="56"/>
        <v>0</v>
      </c>
      <c r="FS12" s="330">
        <v>0</v>
      </c>
      <c r="FT12" s="330">
        <v>0</v>
      </c>
      <c r="FU12" s="629">
        <f t="shared" si="57"/>
        <v>0</v>
      </c>
      <c r="FV12" s="330">
        <v>0</v>
      </c>
      <c r="FW12" s="330">
        <v>0</v>
      </c>
      <c r="FX12" s="629">
        <f t="shared" si="58"/>
        <v>0</v>
      </c>
      <c r="FY12" s="330">
        <v>0</v>
      </c>
      <c r="FZ12" s="330">
        <v>0</v>
      </c>
      <c r="GA12" s="629">
        <f t="shared" si="59"/>
        <v>0</v>
      </c>
      <c r="GB12" s="330">
        <v>0</v>
      </c>
      <c r="GC12" s="330">
        <v>0</v>
      </c>
      <c r="GD12" s="629">
        <f t="shared" si="60"/>
        <v>0</v>
      </c>
      <c r="GE12" s="330">
        <v>0</v>
      </c>
      <c r="GF12" s="330">
        <v>0</v>
      </c>
      <c r="GG12" s="629">
        <f t="shared" si="61"/>
        <v>0</v>
      </c>
      <c r="GH12" s="330">
        <v>0</v>
      </c>
      <c r="GI12" s="330">
        <v>0</v>
      </c>
      <c r="GJ12" s="629">
        <f t="shared" si="62"/>
        <v>0</v>
      </c>
      <c r="GK12" s="330">
        <v>13</v>
      </c>
      <c r="GL12" s="330">
        <v>11</v>
      </c>
      <c r="GM12" s="629">
        <f t="shared" si="63"/>
        <v>24</v>
      </c>
      <c r="GN12" s="330">
        <v>118</v>
      </c>
      <c r="GO12" s="330">
        <v>317</v>
      </c>
      <c r="GP12" s="629">
        <f t="shared" si="64"/>
        <v>435</v>
      </c>
      <c r="GQ12" s="330">
        <v>0</v>
      </c>
      <c r="GR12" s="330">
        <v>0</v>
      </c>
      <c r="GS12" s="629">
        <f t="shared" si="65"/>
        <v>0</v>
      </c>
      <c r="GT12" s="330">
        <v>4</v>
      </c>
      <c r="GU12" s="330">
        <v>3</v>
      </c>
      <c r="GV12" s="629">
        <f t="shared" si="66"/>
        <v>7</v>
      </c>
      <c r="GW12" s="330">
        <v>0</v>
      </c>
      <c r="GX12" s="330">
        <v>1</v>
      </c>
      <c r="GY12" s="629">
        <f t="shared" si="67"/>
        <v>1</v>
      </c>
      <c r="GZ12" s="330">
        <v>0</v>
      </c>
      <c r="HA12" s="330">
        <v>0</v>
      </c>
      <c r="HB12" s="629">
        <f t="shared" si="68"/>
        <v>0</v>
      </c>
      <c r="HC12" s="330">
        <v>0</v>
      </c>
      <c r="HD12" s="330">
        <v>0</v>
      </c>
      <c r="HE12" s="629">
        <f t="shared" si="69"/>
        <v>0</v>
      </c>
      <c r="HF12" s="330">
        <v>1</v>
      </c>
      <c r="HG12" s="330">
        <v>0</v>
      </c>
      <c r="HH12" s="629">
        <f t="shared" si="70"/>
        <v>1</v>
      </c>
      <c r="HI12" s="330">
        <v>9</v>
      </c>
      <c r="HJ12" s="330">
        <v>28</v>
      </c>
      <c r="HK12" s="629">
        <f t="shared" si="71"/>
        <v>37</v>
      </c>
      <c r="HL12" s="330">
        <v>0</v>
      </c>
      <c r="HM12" s="330">
        <v>34</v>
      </c>
      <c r="HN12" s="629">
        <f t="shared" si="72"/>
        <v>34</v>
      </c>
      <c r="HO12" s="330">
        <v>4</v>
      </c>
      <c r="HP12" s="330">
        <v>56</v>
      </c>
      <c r="HQ12" s="629">
        <f t="shared" si="73"/>
        <v>60</v>
      </c>
      <c r="HR12" s="330">
        <v>1</v>
      </c>
      <c r="HS12" s="330">
        <v>5</v>
      </c>
      <c r="HT12" s="629">
        <f t="shared" si="74"/>
        <v>6</v>
      </c>
      <c r="HU12" s="330">
        <v>0</v>
      </c>
      <c r="HV12" s="330">
        <v>0</v>
      </c>
      <c r="HW12" s="629">
        <f t="shared" si="75"/>
        <v>0</v>
      </c>
      <c r="HX12" s="330">
        <v>0</v>
      </c>
      <c r="HY12" s="330">
        <v>0</v>
      </c>
      <c r="HZ12" s="629">
        <f t="shared" si="76"/>
        <v>0</v>
      </c>
      <c r="IA12" s="330">
        <v>0</v>
      </c>
      <c r="IB12" s="330">
        <v>0</v>
      </c>
      <c r="IC12" s="629">
        <f t="shared" si="77"/>
        <v>0</v>
      </c>
      <c r="ID12" s="330">
        <v>7</v>
      </c>
      <c r="IE12" s="330">
        <v>0</v>
      </c>
      <c r="IF12" s="629">
        <f t="shared" si="78"/>
        <v>7</v>
      </c>
      <c r="IG12" s="330">
        <v>0</v>
      </c>
      <c r="IH12" s="330">
        <v>0</v>
      </c>
      <c r="II12" s="629">
        <f t="shared" si="79"/>
        <v>0</v>
      </c>
      <c r="IJ12" s="330">
        <v>103</v>
      </c>
      <c r="IK12" s="330">
        <v>0</v>
      </c>
      <c r="IL12" s="629">
        <f t="shared" si="80"/>
        <v>103</v>
      </c>
      <c r="IM12" s="330">
        <v>0</v>
      </c>
      <c r="IN12" s="330">
        <v>0</v>
      </c>
      <c r="IO12" s="629">
        <f t="shared" si="81"/>
        <v>0</v>
      </c>
      <c r="IP12" s="330">
        <v>0</v>
      </c>
      <c r="IQ12" s="330">
        <v>0</v>
      </c>
      <c r="IR12" s="629">
        <f t="shared" si="82"/>
        <v>0</v>
      </c>
      <c r="IS12" s="330">
        <v>204</v>
      </c>
      <c r="IT12" s="330">
        <v>61</v>
      </c>
      <c r="IU12" s="629">
        <f t="shared" si="83"/>
        <v>265</v>
      </c>
      <c r="IV12" s="330">
        <v>0</v>
      </c>
      <c r="IW12" s="330">
        <v>0</v>
      </c>
      <c r="IX12" s="629">
        <f t="shared" si="84"/>
        <v>0</v>
      </c>
      <c r="IY12" s="330">
        <v>1</v>
      </c>
      <c r="IZ12" s="330">
        <v>0</v>
      </c>
      <c r="JA12" s="629">
        <f t="shared" si="85"/>
        <v>1</v>
      </c>
      <c r="JB12" s="330">
        <v>0</v>
      </c>
      <c r="JC12" s="330">
        <v>7</v>
      </c>
      <c r="JD12" s="629">
        <f t="shared" si="86"/>
        <v>7</v>
      </c>
      <c r="JE12" s="330">
        <v>3279</v>
      </c>
      <c r="JF12" s="330">
        <v>617</v>
      </c>
      <c r="JG12" s="629">
        <f t="shared" si="87"/>
        <v>3896</v>
      </c>
      <c r="JH12" s="330">
        <v>1</v>
      </c>
      <c r="JI12" s="330">
        <v>1</v>
      </c>
      <c r="JJ12" s="629">
        <f t="shared" si="88"/>
        <v>2</v>
      </c>
      <c r="JK12" s="330">
        <v>0</v>
      </c>
      <c r="JL12" s="330">
        <v>0</v>
      </c>
      <c r="JM12" s="629">
        <f t="shared" si="89"/>
        <v>0</v>
      </c>
      <c r="JN12" s="330">
        <v>0</v>
      </c>
      <c r="JO12" s="330">
        <v>0</v>
      </c>
      <c r="JP12" s="629">
        <f t="shared" si="90"/>
        <v>0</v>
      </c>
      <c r="JQ12" s="330">
        <v>0</v>
      </c>
      <c r="JR12" s="330">
        <v>0</v>
      </c>
      <c r="JS12" s="629">
        <f t="shared" si="91"/>
        <v>0</v>
      </c>
      <c r="JT12" s="330">
        <v>0</v>
      </c>
      <c r="JU12" s="330">
        <v>0</v>
      </c>
      <c r="JV12" s="629">
        <f t="shared" si="92"/>
        <v>0</v>
      </c>
      <c r="JW12" s="330">
        <v>0</v>
      </c>
      <c r="JX12" s="330">
        <v>0</v>
      </c>
      <c r="JY12" s="629">
        <f t="shared" si="93"/>
        <v>0</v>
      </c>
      <c r="JZ12" s="330">
        <v>0</v>
      </c>
      <c r="KA12" s="330">
        <v>0</v>
      </c>
      <c r="KB12" s="629">
        <f t="shared" si="94"/>
        <v>0</v>
      </c>
      <c r="KC12" s="330">
        <v>0</v>
      </c>
      <c r="KD12" s="330">
        <v>0</v>
      </c>
      <c r="KE12" s="629">
        <f t="shared" si="95"/>
        <v>0</v>
      </c>
      <c r="KF12" s="330">
        <v>0</v>
      </c>
      <c r="KG12" s="330">
        <v>0</v>
      </c>
      <c r="KH12" s="629">
        <f t="shared" si="96"/>
        <v>0</v>
      </c>
      <c r="KI12" s="330">
        <v>0</v>
      </c>
      <c r="KJ12" s="330">
        <v>0</v>
      </c>
      <c r="KK12" s="629">
        <f t="shared" si="97"/>
        <v>0</v>
      </c>
      <c r="KL12" s="629">
        <v>0</v>
      </c>
      <c r="KM12" s="629">
        <v>0</v>
      </c>
      <c r="KN12" s="629">
        <f t="shared" si="98"/>
        <v>0</v>
      </c>
      <c r="KO12" s="629">
        <v>0</v>
      </c>
      <c r="KP12" s="629">
        <v>0</v>
      </c>
      <c r="KQ12" s="629">
        <f t="shared" si="99"/>
        <v>0</v>
      </c>
      <c r="KR12" s="629">
        <v>0</v>
      </c>
      <c r="KS12" s="629">
        <v>0</v>
      </c>
      <c r="KT12" s="629">
        <f t="shared" si="100"/>
        <v>0</v>
      </c>
      <c r="KU12" s="629">
        <v>0</v>
      </c>
      <c r="KV12" s="629">
        <v>0</v>
      </c>
      <c r="KW12" s="629">
        <f t="shared" si="101"/>
        <v>0</v>
      </c>
      <c r="KX12" s="629">
        <v>0</v>
      </c>
      <c r="KY12" s="629">
        <v>0</v>
      </c>
      <c r="KZ12" s="629">
        <f t="shared" si="102"/>
        <v>0</v>
      </c>
      <c r="LA12" s="629">
        <v>0</v>
      </c>
      <c r="LB12" s="629">
        <v>0</v>
      </c>
      <c r="LC12" s="629">
        <f t="shared" si="103"/>
        <v>0</v>
      </c>
      <c r="LD12" s="629">
        <v>0</v>
      </c>
      <c r="LE12" s="629">
        <v>0</v>
      </c>
      <c r="LF12" s="629">
        <f t="shared" si="104"/>
        <v>0</v>
      </c>
      <c r="LG12" s="629">
        <v>0</v>
      </c>
      <c r="LH12" s="629">
        <v>0</v>
      </c>
      <c r="LI12" s="629">
        <f t="shared" si="105"/>
        <v>0</v>
      </c>
      <c r="LJ12" s="330">
        <v>0</v>
      </c>
      <c r="LK12" s="330">
        <v>0</v>
      </c>
      <c r="LL12" s="697">
        <f t="shared" si="106"/>
        <v>0</v>
      </c>
    </row>
    <row r="13" spans="1:327" x14ac:dyDescent="0.35">
      <c r="A13" s="696">
        <v>4</v>
      </c>
      <c r="B13" s="387" t="s">
        <v>261</v>
      </c>
      <c r="C13" s="440" t="s">
        <v>36</v>
      </c>
      <c r="D13" s="330">
        <v>5045</v>
      </c>
      <c r="E13" s="330">
        <v>4364</v>
      </c>
      <c r="F13" s="629">
        <f t="shared" si="0"/>
        <v>9409</v>
      </c>
      <c r="G13" s="330">
        <v>6</v>
      </c>
      <c r="H13" s="330">
        <v>8360</v>
      </c>
      <c r="I13" s="629">
        <f t="shared" si="1"/>
        <v>8366</v>
      </c>
      <c r="J13" s="330">
        <v>5420</v>
      </c>
      <c r="K13" s="330">
        <v>4506</v>
      </c>
      <c r="L13" s="629">
        <f t="shared" si="2"/>
        <v>9926</v>
      </c>
      <c r="M13" s="330">
        <v>376</v>
      </c>
      <c r="N13" s="330">
        <v>164</v>
      </c>
      <c r="O13" s="629">
        <f t="shared" si="3"/>
        <v>540</v>
      </c>
      <c r="P13" s="330">
        <v>325</v>
      </c>
      <c r="Q13" s="330">
        <v>344</v>
      </c>
      <c r="R13" s="629">
        <f t="shared" si="4"/>
        <v>669</v>
      </c>
      <c r="S13" s="330">
        <v>34</v>
      </c>
      <c r="T13" s="330">
        <v>3</v>
      </c>
      <c r="U13" s="629">
        <f t="shared" si="5"/>
        <v>37</v>
      </c>
      <c r="V13" s="330">
        <v>48</v>
      </c>
      <c r="W13" s="330">
        <v>2</v>
      </c>
      <c r="X13" s="629">
        <f t="shared" si="6"/>
        <v>50</v>
      </c>
      <c r="Y13" s="330">
        <v>114</v>
      </c>
      <c r="Z13" s="330">
        <v>34</v>
      </c>
      <c r="AA13" s="629">
        <f t="shared" si="7"/>
        <v>148</v>
      </c>
      <c r="AB13" s="330">
        <v>17</v>
      </c>
      <c r="AC13" s="330">
        <v>7</v>
      </c>
      <c r="AD13" s="629">
        <f t="shared" si="8"/>
        <v>24</v>
      </c>
      <c r="AE13" s="330">
        <v>1</v>
      </c>
      <c r="AF13" s="330">
        <v>0</v>
      </c>
      <c r="AG13" s="629">
        <f t="shared" si="9"/>
        <v>1</v>
      </c>
      <c r="AH13" s="330">
        <v>1</v>
      </c>
      <c r="AI13" s="330">
        <v>0</v>
      </c>
      <c r="AJ13" s="629">
        <f t="shared" si="10"/>
        <v>1</v>
      </c>
      <c r="AK13" s="330">
        <v>116</v>
      </c>
      <c r="AL13" s="330">
        <v>18</v>
      </c>
      <c r="AM13" s="629">
        <f t="shared" si="11"/>
        <v>134</v>
      </c>
      <c r="AN13" s="330">
        <v>18</v>
      </c>
      <c r="AO13" s="330">
        <v>0</v>
      </c>
      <c r="AP13" s="629">
        <f t="shared" si="12"/>
        <v>18</v>
      </c>
      <c r="AQ13" s="330">
        <v>29</v>
      </c>
      <c r="AR13" s="330">
        <v>0</v>
      </c>
      <c r="AS13" s="629">
        <f t="shared" si="13"/>
        <v>29</v>
      </c>
      <c r="AT13" s="330">
        <v>7778</v>
      </c>
      <c r="AU13" s="330">
        <v>3867</v>
      </c>
      <c r="AV13" s="629">
        <f t="shared" si="14"/>
        <v>11645</v>
      </c>
      <c r="AW13" s="330">
        <v>150</v>
      </c>
      <c r="AX13" s="330">
        <v>94</v>
      </c>
      <c r="AY13" s="629">
        <f t="shared" si="15"/>
        <v>244</v>
      </c>
      <c r="AZ13" s="330">
        <v>10</v>
      </c>
      <c r="BA13" s="330">
        <v>7</v>
      </c>
      <c r="BB13" s="629">
        <f t="shared" si="16"/>
        <v>17</v>
      </c>
      <c r="BC13" s="330">
        <v>25</v>
      </c>
      <c r="BD13" s="330">
        <v>16</v>
      </c>
      <c r="BE13" s="629">
        <f t="shared" si="17"/>
        <v>41</v>
      </c>
      <c r="BF13" s="330">
        <v>795</v>
      </c>
      <c r="BG13" s="330">
        <v>23</v>
      </c>
      <c r="BH13" s="629">
        <f t="shared" si="18"/>
        <v>818</v>
      </c>
      <c r="BI13" s="330">
        <v>8</v>
      </c>
      <c r="BJ13" s="330">
        <v>0</v>
      </c>
      <c r="BK13" s="629">
        <f t="shared" si="19"/>
        <v>8</v>
      </c>
      <c r="BL13" s="330">
        <v>0</v>
      </c>
      <c r="BM13" s="330">
        <v>0</v>
      </c>
      <c r="BN13" s="629">
        <f t="shared" si="20"/>
        <v>0</v>
      </c>
      <c r="BO13" s="330">
        <v>0</v>
      </c>
      <c r="BP13" s="330">
        <v>0</v>
      </c>
      <c r="BQ13" s="629">
        <f t="shared" si="21"/>
        <v>0</v>
      </c>
      <c r="BR13" s="330">
        <v>1</v>
      </c>
      <c r="BS13" s="330">
        <v>5</v>
      </c>
      <c r="BT13" s="629">
        <f t="shared" si="22"/>
        <v>6</v>
      </c>
      <c r="BU13" s="330">
        <v>0</v>
      </c>
      <c r="BV13" s="330">
        <v>0</v>
      </c>
      <c r="BW13" s="629">
        <f t="shared" si="23"/>
        <v>0</v>
      </c>
      <c r="BX13" s="330">
        <v>2</v>
      </c>
      <c r="BY13" s="330">
        <v>0</v>
      </c>
      <c r="BZ13" s="629">
        <f t="shared" si="24"/>
        <v>2</v>
      </c>
      <c r="CA13" s="330">
        <v>6</v>
      </c>
      <c r="CB13" s="330">
        <v>0</v>
      </c>
      <c r="CC13" s="629">
        <f t="shared" si="25"/>
        <v>6</v>
      </c>
      <c r="CD13" s="330">
        <v>1</v>
      </c>
      <c r="CE13" s="330">
        <v>0</v>
      </c>
      <c r="CF13" s="629">
        <f t="shared" si="26"/>
        <v>1</v>
      </c>
      <c r="CG13" s="330">
        <v>0</v>
      </c>
      <c r="CH13" s="330">
        <v>0</v>
      </c>
      <c r="CI13" s="629">
        <f t="shared" si="27"/>
        <v>0</v>
      </c>
      <c r="CJ13" s="330">
        <v>0</v>
      </c>
      <c r="CK13" s="330">
        <v>0</v>
      </c>
      <c r="CL13" s="629">
        <f t="shared" si="28"/>
        <v>0</v>
      </c>
      <c r="CM13" s="330">
        <v>2</v>
      </c>
      <c r="CN13" s="330">
        <v>0</v>
      </c>
      <c r="CO13" s="629">
        <f t="shared" si="29"/>
        <v>2</v>
      </c>
      <c r="CP13" s="330">
        <v>0</v>
      </c>
      <c r="CQ13" s="330">
        <v>0</v>
      </c>
      <c r="CR13" s="629">
        <f t="shared" si="30"/>
        <v>0</v>
      </c>
      <c r="CS13" s="330">
        <v>0</v>
      </c>
      <c r="CT13" s="330">
        <v>0</v>
      </c>
      <c r="CU13" s="629">
        <f t="shared" si="31"/>
        <v>0</v>
      </c>
      <c r="CV13" s="330">
        <v>0</v>
      </c>
      <c r="CW13" s="330">
        <v>0</v>
      </c>
      <c r="CX13" s="629">
        <f t="shared" si="32"/>
        <v>0</v>
      </c>
      <c r="CY13" s="330">
        <v>0</v>
      </c>
      <c r="CZ13" s="330">
        <v>0</v>
      </c>
      <c r="DA13" s="629">
        <f t="shared" si="33"/>
        <v>0</v>
      </c>
      <c r="DB13" s="330">
        <v>5</v>
      </c>
      <c r="DC13" s="330">
        <v>0</v>
      </c>
      <c r="DD13" s="629">
        <f t="shared" si="34"/>
        <v>5</v>
      </c>
      <c r="DE13" s="330">
        <v>6</v>
      </c>
      <c r="DF13" s="330">
        <v>1</v>
      </c>
      <c r="DG13" s="629">
        <f t="shared" si="35"/>
        <v>7</v>
      </c>
      <c r="DH13" s="330">
        <v>0</v>
      </c>
      <c r="DI13" s="330">
        <v>0</v>
      </c>
      <c r="DJ13" s="629">
        <f t="shared" si="36"/>
        <v>0</v>
      </c>
      <c r="DK13" s="330">
        <v>0</v>
      </c>
      <c r="DL13" s="330">
        <v>0</v>
      </c>
      <c r="DM13" s="629">
        <f t="shared" si="37"/>
        <v>0</v>
      </c>
      <c r="DN13" s="330">
        <v>0</v>
      </c>
      <c r="DO13" s="330">
        <v>0</v>
      </c>
      <c r="DP13" s="629">
        <f t="shared" si="38"/>
        <v>0</v>
      </c>
      <c r="DQ13" s="330">
        <v>0</v>
      </c>
      <c r="DR13" s="330">
        <v>0</v>
      </c>
      <c r="DS13" s="629">
        <f t="shared" si="39"/>
        <v>0</v>
      </c>
      <c r="DT13" s="330">
        <v>0</v>
      </c>
      <c r="DU13" s="330">
        <v>0</v>
      </c>
      <c r="DV13" s="629">
        <f t="shared" si="40"/>
        <v>0</v>
      </c>
      <c r="DW13" s="330">
        <v>5</v>
      </c>
      <c r="DX13" s="330">
        <v>2</v>
      </c>
      <c r="DY13" s="629">
        <f t="shared" si="41"/>
        <v>7</v>
      </c>
      <c r="DZ13" s="330">
        <v>0</v>
      </c>
      <c r="EA13" s="330">
        <v>0</v>
      </c>
      <c r="EB13" s="629">
        <f t="shared" si="42"/>
        <v>0</v>
      </c>
      <c r="EC13" s="330">
        <v>11</v>
      </c>
      <c r="ED13" s="330">
        <v>1</v>
      </c>
      <c r="EE13" s="629">
        <f t="shared" si="43"/>
        <v>12</v>
      </c>
      <c r="EF13" s="330">
        <v>5</v>
      </c>
      <c r="EG13" s="330">
        <v>0</v>
      </c>
      <c r="EH13" s="629">
        <f t="shared" si="44"/>
        <v>5</v>
      </c>
      <c r="EI13" s="330">
        <v>0</v>
      </c>
      <c r="EJ13" s="330">
        <v>0</v>
      </c>
      <c r="EK13" s="629">
        <f t="shared" si="45"/>
        <v>0</v>
      </c>
      <c r="EL13" s="330">
        <v>0</v>
      </c>
      <c r="EM13" s="330">
        <v>0</v>
      </c>
      <c r="EN13" s="629">
        <f t="shared" si="46"/>
        <v>0</v>
      </c>
      <c r="EO13" s="330">
        <v>0</v>
      </c>
      <c r="EP13" s="330">
        <v>0</v>
      </c>
      <c r="EQ13" s="629">
        <f t="shared" si="47"/>
        <v>0</v>
      </c>
      <c r="ER13" s="330">
        <v>0</v>
      </c>
      <c r="ES13" s="330">
        <v>0</v>
      </c>
      <c r="ET13" s="629">
        <f t="shared" si="48"/>
        <v>0</v>
      </c>
      <c r="EU13" s="330">
        <v>0</v>
      </c>
      <c r="EV13" s="330">
        <v>0</v>
      </c>
      <c r="EW13" s="629">
        <f t="shared" si="49"/>
        <v>0</v>
      </c>
      <c r="EX13" s="330">
        <v>0</v>
      </c>
      <c r="EY13" s="330">
        <v>0</v>
      </c>
      <c r="EZ13" s="629">
        <f t="shared" si="50"/>
        <v>0</v>
      </c>
      <c r="FA13" s="330">
        <v>0</v>
      </c>
      <c r="FB13" s="330">
        <v>0</v>
      </c>
      <c r="FC13" s="629">
        <f t="shared" si="51"/>
        <v>0</v>
      </c>
      <c r="FD13" s="330">
        <v>1</v>
      </c>
      <c r="FE13" s="330">
        <v>0</v>
      </c>
      <c r="FF13" s="629">
        <f t="shared" si="52"/>
        <v>1</v>
      </c>
      <c r="FG13" s="330">
        <v>0</v>
      </c>
      <c r="FH13" s="330">
        <v>0</v>
      </c>
      <c r="FI13" s="629">
        <f t="shared" si="53"/>
        <v>0</v>
      </c>
      <c r="FJ13" s="330">
        <v>0</v>
      </c>
      <c r="FK13" s="330">
        <v>0</v>
      </c>
      <c r="FL13" s="629">
        <f t="shared" si="54"/>
        <v>0</v>
      </c>
      <c r="FM13" s="330">
        <v>0</v>
      </c>
      <c r="FN13" s="330">
        <v>0</v>
      </c>
      <c r="FO13" s="629">
        <f t="shared" si="55"/>
        <v>0</v>
      </c>
      <c r="FP13" s="330">
        <v>0</v>
      </c>
      <c r="FQ13" s="330">
        <v>0</v>
      </c>
      <c r="FR13" s="629">
        <f t="shared" si="56"/>
        <v>0</v>
      </c>
      <c r="FS13" s="330">
        <v>0</v>
      </c>
      <c r="FT13" s="330">
        <v>0</v>
      </c>
      <c r="FU13" s="629">
        <f t="shared" si="57"/>
        <v>0</v>
      </c>
      <c r="FV13" s="330">
        <v>0</v>
      </c>
      <c r="FW13" s="330">
        <v>0</v>
      </c>
      <c r="FX13" s="629">
        <f t="shared" si="58"/>
        <v>0</v>
      </c>
      <c r="FY13" s="330">
        <v>0</v>
      </c>
      <c r="FZ13" s="330">
        <v>0</v>
      </c>
      <c r="GA13" s="629">
        <f t="shared" si="59"/>
        <v>0</v>
      </c>
      <c r="GB13" s="330">
        <v>0</v>
      </c>
      <c r="GC13" s="330">
        <v>0</v>
      </c>
      <c r="GD13" s="629">
        <f t="shared" si="60"/>
        <v>0</v>
      </c>
      <c r="GE13" s="330">
        <v>0</v>
      </c>
      <c r="GF13" s="330">
        <v>0</v>
      </c>
      <c r="GG13" s="629">
        <f t="shared" si="61"/>
        <v>0</v>
      </c>
      <c r="GH13" s="330">
        <v>1</v>
      </c>
      <c r="GI13" s="330">
        <v>0</v>
      </c>
      <c r="GJ13" s="629">
        <f t="shared" si="62"/>
        <v>1</v>
      </c>
      <c r="GK13" s="330">
        <v>23</v>
      </c>
      <c r="GL13" s="330">
        <v>21</v>
      </c>
      <c r="GM13" s="629">
        <f t="shared" si="63"/>
        <v>44</v>
      </c>
      <c r="GN13" s="330">
        <v>104</v>
      </c>
      <c r="GO13" s="330">
        <v>349</v>
      </c>
      <c r="GP13" s="629">
        <f t="shared" si="64"/>
        <v>453</v>
      </c>
      <c r="GQ13" s="330">
        <v>4</v>
      </c>
      <c r="GR13" s="330">
        <v>0</v>
      </c>
      <c r="GS13" s="629">
        <f t="shared" si="65"/>
        <v>4</v>
      </c>
      <c r="GT13" s="330">
        <v>21</v>
      </c>
      <c r="GU13" s="330">
        <v>1</v>
      </c>
      <c r="GV13" s="629">
        <f t="shared" si="66"/>
        <v>22</v>
      </c>
      <c r="GW13" s="330">
        <v>2</v>
      </c>
      <c r="GX13" s="330">
        <v>3</v>
      </c>
      <c r="GY13" s="629">
        <f t="shared" si="67"/>
        <v>5</v>
      </c>
      <c r="GZ13" s="330">
        <v>2</v>
      </c>
      <c r="HA13" s="330">
        <v>0</v>
      </c>
      <c r="HB13" s="629">
        <f t="shared" si="68"/>
        <v>2</v>
      </c>
      <c r="HC13" s="330">
        <v>0</v>
      </c>
      <c r="HD13" s="330">
        <v>0</v>
      </c>
      <c r="HE13" s="629">
        <f t="shared" si="69"/>
        <v>0</v>
      </c>
      <c r="HF13" s="330">
        <v>3</v>
      </c>
      <c r="HG13" s="330">
        <v>0</v>
      </c>
      <c r="HH13" s="629">
        <f t="shared" si="70"/>
        <v>3</v>
      </c>
      <c r="HI13" s="330">
        <v>21</v>
      </c>
      <c r="HJ13" s="330">
        <v>38</v>
      </c>
      <c r="HK13" s="629">
        <f t="shared" si="71"/>
        <v>59</v>
      </c>
      <c r="HL13" s="330">
        <v>0</v>
      </c>
      <c r="HM13" s="330">
        <v>22</v>
      </c>
      <c r="HN13" s="629">
        <f t="shared" si="72"/>
        <v>22</v>
      </c>
      <c r="HO13" s="330">
        <v>0</v>
      </c>
      <c r="HP13" s="330">
        <v>53</v>
      </c>
      <c r="HQ13" s="629">
        <f t="shared" si="73"/>
        <v>53</v>
      </c>
      <c r="HR13" s="330">
        <v>0</v>
      </c>
      <c r="HS13" s="330">
        <v>4</v>
      </c>
      <c r="HT13" s="629">
        <f t="shared" si="74"/>
        <v>4</v>
      </c>
      <c r="HU13" s="330">
        <v>0</v>
      </c>
      <c r="HV13" s="330">
        <v>1</v>
      </c>
      <c r="HW13" s="629">
        <f t="shared" si="75"/>
        <v>1</v>
      </c>
      <c r="HX13" s="330">
        <v>0</v>
      </c>
      <c r="HY13" s="330">
        <v>0</v>
      </c>
      <c r="HZ13" s="629">
        <f t="shared" si="76"/>
        <v>0</v>
      </c>
      <c r="IA13" s="330">
        <v>0</v>
      </c>
      <c r="IB13" s="330">
        <v>0</v>
      </c>
      <c r="IC13" s="629">
        <f t="shared" si="77"/>
        <v>0</v>
      </c>
      <c r="ID13" s="330">
        <v>18</v>
      </c>
      <c r="IE13" s="330">
        <v>0</v>
      </c>
      <c r="IF13" s="629">
        <f t="shared" si="78"/>
        <v>18</v>
      </c>
      <c r="IG13" s="330">
        <v>0</v>
      </c>
      <c r="IH13" s="330">
        <v>1</v>
      </c>
      <c r="II13" s="629">
        <f t="shared" si="79"/>
        <v>1</v>
      </c>
      <c r="IJ13" s="330">
        <v>45</v>
      </c>
      <c r="IK13" s="330">
        <v>0</v>
      </c>
      <c r="IL13" s="629">
        <f t="shared" si="80"/>
        <v>45</v>
      </c>
      <c r="IM13" s="330">
        <v>0</v>
      </c>
      <c r="IN13" s="330">
        <v>0</v>
      </c>
      <c r="IO13" s="629">
        <f t="shared" si="81"/>
        <v>0</v>
      </c>
      <c r="IP13" s="330">
        <v>0</v>
      </c>
      <c r="IQ13" s="330">
        <v>0</v>
      </c>
      <c r="IR13" s="629">
        <f t="shared" si="82"/>
        <v>0</v>
      </c>
      <c r="IS13" s="330">
        <v>119</v>
      </c>
      <c r="IT13" s="330">
        <v>30</v>
      </c>
      <c r="IU13" s="629">
        <f t="shared" si="83"/>
        <v>149</v>
      </c>
      <c r="IV13" s="330">
        <v>0</v>
      </c>
      <c r="IW13" s="330">
        <v>0</v>
      </c>
      <c r="IX13" s="629">
        <f t="shared" si="84"/>
        <v>0</v>
      </c>
      <c r="IY13" s="330">
        <v>0</v>
      </c>
      <c r="IZ13" s="330">
        <v>0</v>
      </c>
      <c r="JA13" s="629">
        <f t="shared" si="85"/>
        <v>0</v>
      </c>
      <c r="JB13" s="330">
        <v>0</v>
      </c>
      <c r="JC13" s="330">
        <v>0</v>
      </c>
      <c r="JD13" s="629">
        <f t="shared" si="86"/>
        <v>0</v>
      </c>
      <c r="JE13" s="330">
        <v>2009</v>
      </c>
      <c r="JF13" s="330">
        <v>446</v>
      </c>
      <c r="JG13" s="629">
        <f t="shared" si="87"/>
        <v>2455</v>
      </c>
      <c r="JH13" s="330">
        <v>2</v>
      </c>
      <c r="JI13" s="330">
        <v>0</v>
      </c>
      <c r="JJ13" s="629">
        <f t="shared" si="88"/>
        <v>2</v>
      </c>
      <c r="JK13" s="330">
        <v>0</v>
      </c>
      <c r="JL13" s="330">
        <v>0</v>
      </c>
      <c r="JM13" s="629">
        <f t="shared" si="89"/>
        <v>0</v>
      </c>
      <c r="JN13" s="330">
        <v>0</v>
      </c>
      <c r="JO13" s="330">
        <v>0</v>
      </c>
      <c r="JP13" s="629">
        <f t="shared" si="90"/>
        <v>0</v>
      </c>
      <c r="JQ13" s="330">
        <v>0</v>
      </c>
      <c r="JR13" s="330">
        <v>0</v>
      </c>
      <c r="JS13" s="629">
        <f t="shared" si="91"/>
        <v>0</v>
      </c>
      <c r="JT13" s="330">
        <v>0</v>
      </c>
      <c r="JU13" s="330">
        <v>0</v>
      </c>
      <c r="JV13" s="629">
        <f t="shared" si="92"/>
        <v>0</v>
      </c>
      <c r="JW13" s="330">
        <v>0</v>
      </c>
      <c r="JX13" s="330">
        <v>0</v>
      </c>
      <c r="JY13" s="629">
        <f t="shared" si="93"/>
        <v>0</v>
      </c>
      <c r="JZ13" s="330">
        <v>0</v>
      </c>
      <c r="KA13" s="330">
        <v>0</v>
      </c>
      <c r="KB13" s="629">
        <f t="shared" si="94"/>
        <v>0</v>
      </c>
      <c r="KC13" s="330">
        <v>0</v>
      </c>
      <c r="KD13" s="330">
        <v>0</v>
      </c>
      <c r="KE13" s="629">
        <f t="shared" si="95"/>
        <v>0</v>
      </c>
      <c r="KF13" s="330">
        <v>0</v>
      </c>
      <c r="KG13" s="330">
        <v>0</v>
      </c>
      <c r="KH13" s="629">
        <f t="shared" si="96"/>
        <v>0</v>
      </c>
      <c r="KI13" s="330">
        <v>0</v>
      </c>
      <c r="KJ13" s="330">
        <v>0</v>
      </c>
      <c r="KK13" s="629">
        <f t="shared" si="97"/>
        <v>0</v>
      </c>
      <c r="KL13" s="629">
        <v>0</v>
      </c>
      <c r="KM13" s="629">
        <v>0</v>
      </c>
      <c r="KN13" s="629">
        <f t="shared" si="98"/>
        <v>0</v>
      </c>
      <c r="KO13" s="629">
        <v>0</v>
      </c>
      <c r="KP13" s="629">
        <v>0</v>
      </c>
      <c r="KQ13" s="629">
        <f t="shared" si="99"/>
        <v>0</v>
      </c>
      <c r="KR13" s="629">
        <v>0</v>
      </c>
      <c r="KS13" s="629">
        <v>0</v>
      </c>
      <c r="KT13" s="629">
        <f t="shared" si="100"/>
        <v>0</v>
      </c>
      <c r="KU13" s="629">
        <v>0</v>
      </c>
      <c r="KV13" s="629">
        <v>0</v>
      </c>
      <c r="KW13" s="629">
        <f t="shared" si="101"/>
        <v>0</v>
      </c>
      <c r="KX13" s="629">
        <v>0</v>
      </c>
      <c r="KY13" s="629">
        <v>0</v>
      </c>
      <c r="KZ13" s="629">
        <f t="shared" si="102"/>
        <v>0</v>
      </c>
      <c r="LA13" s="629">
        <v>0</v>
      </c>
      <c r="LB13" s="629">
        <v>0</v>
      </c>
      <c r="LC13" s="629">
        <f t="shared" si="103"/>
        <v>0</v>
      </c>
      <c r="LD13" s="629">
        <v>0</v>
      </c>
      <c r="LE13" s="629">
        <v>0</v>
      </c>
      <c r="LF13" s="629">
        <f t="shared" si="104"/>
        <v>0</v>
      </c>
      <c r="LG13" s="629">
        <v>0</v>
      </c>
      <c r="LH13" s="629">
        <v>0</v>
      </c>
      <c r="LI13" s="629">
        <f t="shared" si="105"/>
        <v>0</v>
      </c>
      <c r="LJ13" s="330">
        <v>0</v>
      </c>
      <c r="LK13" s="330">
        <v>0</v>
      </c>
      <c r="LL13" s="697">
        <f t="shared" si="106"/>
        <v>0</v>
      </c>
    </row>
    <row r="14" spans="1:327" x14ac:dyDescent="0.35">
      <c r="A14" s="696">
        <v>4</v>
      </c>
      <c r="B14" s="387" t="s">
        <v>262</v>
      </c>
      <c r="C14" s="440" t="s">
        <v>38</v>
      </c>
      <c r="D14" s="330">
        <v>3755</v>
      </c>
      <c r="E14" s="330">
        <v>3282</v>
      </c>
      <c r="F14" s="629">
        <f t="shared" si="0"/>
        <v>7037</v>
      </c>
      <c r="G14" s="330">
        <v>2</v>
      </c>
      <c r="H14" s="330">
        <v>6609</v>
      </c>
      <c r="I14" s="629">
        <f t="shared" si="1"/>
        <v>6611</v>
      </c>
      <c r="J14" s="330">
        <v>4336</v>
      </c>
      <c r="K14" s="330">
        <v>3767</v>
      </c>
      <c r="L14" s="629">
        <f t="shared" si="2"/>
        <v>8103</v>
      </c>
      <c r="M14" s="330">
        <v>322</v>
      </c>
      <c r="N14" s="330">
        <v>155</v>
      </c>
      <c r="O14" s="629">
        <f t="shared" si="3"/>
        <v>477</v>
      </c>
      <c r="P14" s="330">
        <v>368</v>
      </c>
      <c r="Q14" s="330">
        <v>325</v>
      </c>
      <c r="R14" s="629">
        <f t="shared" si="4"/>
        <v>693</v>
      </c>
      <c r="S14" s="330">
        <v>26</v>
      </c>
      <c r="T14" s="330">
        <v>1</v>
      </c>
      <c r="U14" s="629">
        <f t="shared" si="5"/>
        <v>27</v>
      </c>
      <c r="V14" s="330">
        <v>28</v>
      </c>
      <c r="W14" s="330">
        <v>2</v>
      </c>
      <c r="X14" s="629">
        <f t="shared" si="6"/>
        <v>30</v>
      </c>
      <c r="Y14" s="330">
        <v>90</v>
      </c>
      <c r="Z14" s="330">
        <v>18</v>
      </c>
      <c r="AA14" s="629">
        <f t="shared" si="7"/>
        <v>108</v>
      </c>
      <c r="AB14" s="330">
        <v>19</v>
      </c>
      <c r="AC14" s="330">
        <v>7</v>
      </c>
      <c r="AD14" s="629">
        <f t="shared" si="8"/>
        <v>26</v>
      </c>
      <c r="AE14" s="330">
        <v>2</v>
      </c>
      <c r="AF14" s="330">
        <v>1</v>
      </c>
      <c r="AG14" s="629">
        <f t="shared" si="9"/>
        <v>3</v>
      </c>
      <c r="AH14" s="330">
        <v>0</v>
      </c>
      <c r="AI14" s="330">
        <v>0</v>
      </c>
      <c r="AJ14" s="629">
        <f t="shared" si="10"/>
        <v>0</v>
      </c>
      <c r="AK14" s="330">
        <v>16</v>
      </c>
      <c r="AL14" s="330">
        <v>2</v>
      </c>
      <c r="AM14" s="629">
        <f t="shared" si="11"/>
        <v>18</v>
      </c>
      <c r="AN14" s="330">
        <v>17</v>
      </c>
      <c r="AO14" s="330">
        <v>0</v>
      </c>
      <c r="AP14" s="629">
        <f t="shared" si="12"/>
        <v>17</v>
      </c>
      <c r="AQ14" s="330">
        <v>27</v>
      </c>
      <c r="AR14" s="330">
        <v>0</v>
      </c>
      <c r="AS14" s="629">
        <f t="shared" si="13"/>
        <v>27</v>
      </c>
      <c r="AT14" s="330">
        <v>5787</v>
      </c>
      <c r="AU14" s="330">
        <v>2897</v>
      </c>
      <c r="AV14" s="629">
        <f t="shared" si="14"/>
        <v>8684</v>
      </c>
      <c r="AW14" s="330">
        <v>113</v>
      </c>
      <c r="AX14" s="330">
        <v>77</v>
      </c>
      <c r="AY14" s="629">
        <f t="shared" si="15"/>
        <v>190</v>
      </c>
      <c r="AZ14" s="330">
        <v>6</v>
      </c>
      <c r="BA14" s="330">
        <v>7</v>
      </c>
      <c r="BB14" s="629">
        <f t="shared" si="16"/>
        <v>13</v>
      </c>
      <c r="BC14" s="330">
        <v>27</v>
      </c>
      <c r="BD14" s="330">
        <v>12</v>
      </c>
      <c r="BE14" s="629">
        <f t="shared" si="17"/>
        <v>39</v>
      </c>
      <c r="BF14" s="330">
        <v>477</v>
      </c>
      <c r="BG14" s="330">
        <v>10</v>
      </c>
      <c r="BH14" s="629">
        <f t="shared" si="18"/>
        <v>487</v>
      </c>
      <c r="BI14" s="330">
        <v>9</v>
      </c>
      <c r="BJ14" s="330">
        <v>2</v>
      </c>
      <c r="BK14" s="629">
        <f t="shared" si="19"/>
        <v>11</v>
      </c>
      <c r="BL14" s="330">
        <v>0</v>
      </c>
      <c r="BM14" s="330">
        <v>0</v>
      </c>
      <c r="BN14" s="629">
        <f t="shared" si="20"/>
        <v>0</v>
      </c>
      <c r="BO14" s="330">
        <v>0</v>
      </c>
      <c r="BP14" s="330">
        <v>0</v>
      </c>
      <c r="BQ14" s="629">
        <f t="shared" si="21"/>
        <v>0</v>
      </c>
      <c r="BR14" s="330">
        <v>0</v>
      </c>
      <c r="BS14" s="330">
        <v>12</v>
      </c>
      <c r="BT14" s="629">
        <f t="shared" si="22"/>
        <v>12</v>
      </c>
      <c r="BU14" s="330">
        <v>0</v>
      </c>
      <c r="BV14" s="330">
        <v>0</v>
      </c>
      <c r="BW14" s="629">
        <f t="shared" si="23"/>
        <v>0</v>
      </c>
      <c r="BX14" s="330">
        <v>1</v>
      </c>
      <c r="BY14" s="330">
        <v>0</v>
      </c>
      <c r="BZ14" s="629">
        <f t="shared" si="24"/>
        <v>1</v>
      </c>
      <c r="CA14" s="330">
        <v>4</v>
      </c>
      <c r="CB14" s="330">
        <v>0</v>
      </c>
      <c r="CC14" s="629">
        <f t="shared" si="25"/>
        <v>4</v>
      </c>
      <c r="CD14" s="330">
        <v>4</v>
      </c>
      <c r="CE14" s="330">
        <v>0</v>
      </c>
      <c r="CF14" s="629">
        <f t="shared" si="26"/>
        <v>4</v>
      </c>
      <c r="CG14" s="330">
        <v>0</v>
      </c>
      <c r="CH14" s="330">
        <v>0</v>
      </c>
      <c r="CI14" s="629">
        <f t="shared" si="27"/>
        <v>0</v>
      </c>
      <c r="CJ14" s="330">
        <v>0</v>
      </c>
      <c r="CK14" s="330">
        <v>0</v>
      </c>
      <c r="CL14" s="629">
        <f t="shared" si="28"/>
        <v>0</v>
      </c>
      <c r="CM14" s="330">
        <v>2</v>
      </c>
      <c r="CN14" s="330">
        <v>0</v>
      </c>
      <c r="CO14" s="629">
        <f t="shared" si="29"/>
        <v>2</v>
      </c>
      <c r="CP14" s="330">
        <v>0</v>
      </c>
      <c r="CQ14" s="330">
        <v>0</v>
      </c>
      <c r="CR14" s="629">
        <f t="shared" si="30"/>
        <v>0</v>
      </c>
      <c r="CS14" s="330">
        <v>0</v>
      </c>
      <c r="CT14" s="330">
        <v>2</v>
      </c>
      <c r="CU14" s="629">
        <f t="shared" si="31"/>
        <v>2</v>
      </c>
      <c r="CV14" s="330">
        <v>0</v>
      </c>
      <c r="CW14" s="330">
        <v>0</v>
      </c>
      <c r="CX14" s="629">
        <f t="shared" si="32"/>
        <v>0</v>
      </c>
      <c r="CY14" s="330">
        <v>0</v>
      </c>
      <c r="CZ14" s="330">
        <v>1</v>
      </c>
      <c r="DA14" s="629">
        <f t="shared" si="33"/>
        <v>1</v>
      </c>
      <c r="DB14" s="330">
        <v>9</v>
      </c>
      <c r="DC14" s="330">
        <v>0</v>
      </c>
      <c r="DD14" s="629">
        <f t="shared" si="34"/>
        <v>9</v>
      </c>
      <c r="DE14" s="330">
        <v>4</v>
      </c>
      <c r="DF14" s="330">
        <v>2</v>
      </c>
      <c r="DG14" s="629">
        <f t="shared" si="35"/>
        <v>6</v>
      </c>
      <c r="DH14" s="330">
        <v>0</v>
      </c>
      <c r="DI14" s="330">
        <v>0</v>
      </c>
      <c r="DJ14" s="629">
        <f t="shared" si="36"/>
        <v>0</v>
      </c>
      <c r="DK14" s="330">
        <v>0</v>
      </c>
      <c r="DL14" s="330">
        <v>0</v>
      </c>
      <c r="DM14" s="629">
        <f t="shared" si="37"/>
        <v>0</v>
      </c>
      <c r="DN14" s="330">
        <v>0</v>
      </c>
      <c r="DO14" s="330">
        <v>1</v>
      </c>
      <c r="DP14" s="629">
        <f t="shared" si="38"/>
        <v>1</v>
      </c>
      <c r="DQ14" s="330">
        <v>0</v>
      </c>
      <c r="DR14" s="330">
        <v>0</v>
      </c>
      <c r="DS14" s="629">
        <f t="shared" si="39"/>
        <v>0</v>
      </c>
      <c r="DT14" s="330">
        <v>0</v>
      </c>
      <c r="DU14" s="330">
        <v>0</v>
      </c>
      <c r="DV14" s="629">
        <f t="shared" si="40"/>
        <v>0</v>
      </c>
      <c r="DW14" s="330">
        <v>6</v>
      </c>
      <c r="DX14" s="330">
        <v>3</v>
      </c>
      <c r="DY14" s="629">
        <f t="shared" si="41"/>
        <v>9</v>
      </c>
      <c r="DZ14" s="330">
        <v>0</v>
      </c>
      <c r="EA14" s="330">
        <v>0</v>
      </c>
      <c r="EB14" s="629">
        <f t="shared" si="42"/>
        <v>0</v>
      </c>
      <c r="EC14" s="330">
        <v>20</v>
      </c>
      <c r="ED14" s="330">
        <v>0</v>
      </c>
      <c r="EE14" s="629">
        <f t="shared" si="43"/>
        <v>20</v>
      </c>
      <c r="EF14" s="330">
        <v>7</v>
      </c>
      <c r="EG14" s="330">
        <v>0</v>
      </c>
      <c r="EH14" s="629">
        <f t="shared" si="44"/>
        <v>7</v>
      </c>
      <c r="EI14" s="330">
        <v>1</v>
      </c>
      <c r="EJ14" s="330">
        <v>1</v>
      </c>
      <c r="EK14" s="629">
        <f t="shared" si="45"/>
        <v>2</v>
      </c>
      <c r="EL14" s="330">
        <v>0</v>
      </c>
      <c r="EM14" s="330">
        <v>0</v>
      </c>
      <c r="EN14" s="629">
        <f t="shared" si="46"/>
        <v>0</v>
      </c>
      <c r="EO14" s="330">
        <v>0</v>
      </c>
      <c r="EP14" s="330">
        <v>0</v>
      </c>
      <c r="EQ14" s="629">
        <f t="shared" si="47"/>
        <v>0</v>
      </c>
      <c r="ER14" s="330">
        <v>0</v>
      </c>
      <c r="ES14" s="330">
        <v>0</v>
      </c>
      <c r="ET14" s="629">
        <f t="shared" si="48"/>
        <v>0</v>
      </c>
      <c r="EU14" s="330">
        <v>0</v>
      </c>
      <c r="EV14" s="330">
        <v>0</v>
      </c>
      <c r="EW14" s="629">
        <f t="shared" si="49"/>
        <v>0</v>
      </c>
      <c r="EX14" s="330">
        <v>0</v>
      </c>
      <c r="EY14" s="330">
        <v>0</v>
      </c>
      <c r="EZ14" s="629">
        <f t="shared" si="50"/>
        <v>0</v>
      </c>
      <c r="FA14" s="330">
        <v>0</v>
      </c>
      <c r="FB14" s="330">
        <v>0</v>
      </c>
      <c r="FC14" s="629">
        <f t="shared" si="51"/>
        <v>0</v>
      </c>
      <c r="FD14" s="330">
        <v>1</v>
      </c>
      <c r="FE14" s="330">
        <v>0</v>
      </c>
      <c r="FF14" s="629">
        <f t="shared" si="52"/>
        <v>1</v>
      </c>
      <c r="FG14" s="330">
        <v>0</v>
      </c>
      <c r="FH14" s="330">
        <v>0</v>
      </c>
      <c r="FI14" s="629">
        <f t="shared" si="53"/>
        <v>0</v>
      </c>
      <c r="FJ14" s="330">
        <v>0</v>
      </c>
      <c r="FK14" s="330">
        <v>0</v>
      </c>
      <c r="FL14" s="629">
        <f t="shared" si="54"/>
        <v>0</v>
      </c>
      <c r="FM14" s="330">
        <v>0</v>
      </c>
      <c r="FN14" s="330">
        <v>0</v>
      </c>
      <c r="FO14" s="629">
        <f t="shared" si="55"/>
        <v>0</v>
      </c>
      <c r="FP14" s="330">
        <v>0</v>
      </c>
      <c r="FQ14" s="330">
        <v>0</v>
      </c>
      <c r="FR14" s="629">
        <f t="shared" si="56"/>
        <v>0</v>
      </c>
      <c r="FS14" s="330">
        <v>0</v>
      </c>
      <c r="FT14" s="330">
        <v>0</v>
      </c>
      <c r="FU14" s="629">
        <f t="shared" si="57"/>
        <v>0</v>
      </c>
      <c r="FV14" s="330">
        <v>0</v>
      </c>
      <c r="FW14" s="330">
        <v>0</v>
      </c>
      <c r="FX14" s="629">
        <f t="shared" si="58"/>
        <v>0</v>
      </c>
      <c r="FY14" s="330">
        <v>0</v>
      </c>
      <c r="FZ14" s="330">
        <v>0</v>
      </c>
      <c r="GA14" s="629">
        <f t="shared" si="59"/>
        <v>0</v>
      </c>
      <c r="GB14" s="330">
        <v>0</v>
      </c>
      <c r="GC14" s="330">
        <v>0</v>
      </c>
      <c r="GD14" s="629">
        <f t="shared" si="60"/>
        <v>0</v>
      </c>
      <c r="GE14" s="330">
        <v>0</v>
      </c>
      <c r="GF14" s="330">
        <v>0</v>
      </c>
      <c r="GG14" s="629">
        <f t="shared" si="61"/>
        <v>0</v>
      </c>
      <c r="GH14" s="330">
        <v>1</v>
      </c>
      <c r="GI14" s="330">
        <v>0</v>
      </c>
      <c r="GJ14" s="629">
        <f t="shared" si="62"/>
        <v>1</v>
      </c>
      <c r="GK14" s="330">
        <v>16</v>
      </c>
      <c r="GL14" s="330">
        <v>19</v>
      </c>
      <c r="GM14" s="629">
        <f t="shared" si="63"/>
        <v>35</v>
      </c>
      <c r="GN14" s="330">
        <v>94</v>
      </c>
      <c r="GO14" s="330">
        <v>216</v>
      </c>
      <c r="GP14" s="629">
        <f t="shared" si="64"/>
        <v>310</v>
      </c>
      <c r="GQ14" s="330">
        <v>0</v>
      </c>
      <c r="GR14" s="330">
        <v>0</v>
      </c>
      <c r="GS14" s="629">
        <f t="shared" si="65"/>
        <v>0</v>
      </c>
      <c r="GT14" s="330">
        <v>5</v>
      </c>
      <c r="GU14" s="330">
        <v>2</v>
      </c>
      <c r="GV14" s="629">
        <f t="shared" si="66"/>
        <v>7</v>
      </c>
      <c r="GW14" s="330">
        <v>0</v>
      </c>
      <c r="GX14" s="330">
        <v>2</v>
      </c>
      <c r="GY14" s="629">
        <f t="shared" si="67"/>
        <v>2</v>
      </c>
      <c r="GZ14" s="330">
        <v>0</v>
      </c>
      <c r="HA14" s="330">
        <v>2</v>
      </c>
      <c r="HB14" s="629">
        <f t="shared" si="68"/>
        <v>2</v>
      </c>
      <c r="HC14" s="330">
        <v>2</v>
      </c>
      <c r="HD14" s="330">
        <v>1</v>
      </c>
      <c r="HE14" s="629">
        <f t="shared" si="69"/>
        <v>3</v>
      </c>
      <c r="HF14" s="330">
        <v>2</v>
      </c>
      <c r="HG14" s="330">
        <v>0</v>
      </c>
      <c r="HH14" s="629">
        <f t="shared" si="70"/>
        <v>2</v>
      </c>
      <c r="HI14" s="330">
        <v>11</v>
      </c>
      <c r="HJ14" s="330">
        <v>35</v>
      </c>
      <c r="HK14" s="629">
        <f t="shared" si="71"/>
        <v>46</v>
      </c>
      <c r="HL14" s="330">
        <v>0</v>
      </c>
      <c r="HM14" s="330">
        <v>18</v>
      </c>
      <c r="HN14" s="629">
        <f t="shared" si="72"/>
        <v>18</v>
      </c>
      <c r="HO14" s="330">
        <v>5</v>
      </c>
      <c r="HP14" s="330">
        <v>27</v>
      </c>
      <c r="HQ14" s="629">
        <f t="shared" si="73"/>
        <v>32</v>
      </c>
      <c r="HR14" s="330">
        <v>2</v>
      </c>
      <c r="HS14" s="330">
        <v>9</v>
      </c>
      <c r="HT14" s="629">
        <f t="shared" si="74"/>
        <v>11</v>
      </c>
      <c r="HU14" s="330">
        <v>0</v>
      </c>
      <c r="HV14" s="330">
        <v>1</v>
      </c>
      <c r="HW14" s="629">
        <f t="shared" si="75"/>
        <v>1</v>
      </c>
      <c r="HX14" s="330">
        <v>0</v>
      </c>
      <c r="HY14" s="330">
        <v>0</v>
      </c>
      <c r="HZ14" s="629">
        <f t="shared" si="76"/>
        <v>0</v>
      </c>
      <c r="IA14" s="330">
        <v>0</v>
      </c>
      <c r="IB14" s="330">
        <v>0</v>
      </c>
      <c r="IC14" s="629">
        <f t="shared" si="77"/>
        <v>0</v>
      </c>
      <c r="ID14" s="330">
        <v>8</v>
      </c>
      <c r="IE14" s="330">
        <v>0</v>
      </c>
      <c r="IF14" s="629">
        <f t="shared" si="78"/>
        <v>8</v>
      </c>
      <c r="IG14" s="330">
        <v>1</v>
      </c>
      <c r="IH14" s="330">
        <v>0</v>
      </c>
      <c r="II14" s="629">
        <f t="shared" si="79"/>
        <v>1</v>
      </c>
      <c r="IJ14" s="330">
        <v>49</v>
      </c>
      <c r="IK14" s="330">
        <v>0</v>
      </c>
      <c r="IL14" s="629">
        <f t="shared" si="80"/>
        <v>49</v>
      </c>
      <c r="IM14" s="330">
        <v>1</v>
      </c>
      <c r="IN14" s="330">
        <v>0</v>
      </c>
      <c r="IO14" s="629">
        <f t="shared" si="81"/>
        <v>1</v>
      </c>
      <c r="IP14" s="330">
        <v>1</v>
      </c>
      <c r="IQ14" s="330">
        <v>0</v>
      </c>
      <c r="IR14" s="629">
        <f t="shared" si="82"/>
        <v>1</v>
      </c>
      <c r="IS14" s="330">
        <v>87</v>
      </c>
      <c r="IT14" s="330">
        <v>14</v>
      </c>
      <c r="IU14" s="629">
        <f t="shared" si="83"/>
        <v>101</v>
      </c>
      <c r="IV14" s="330">
        <v>0</v>
      </c>
      <c r="IW14" s="330">
        <v>0</v>
      </c>
      <c r="IX14" s="629">
        <f t="shared" si="84"/>
        <v>0</v>
      </c>
      <c r="IY14" s="330">
        <v>0</v>
      </c>
      <c r="IZ14" s="330">
        <v>0</v>
      </c>
      <c r="JA14" s="629">
        <f t="shared" si="85"/>
        <v>0</v>
      </c>
      <c r="JB14" s="330">
        <v>0</v>
      </c>
      <c r="JC14" s="330">
        <v>0</v>
      </c>
      <c r="JD14" s="629">
        <f t="shared" si="86"/>
        <v>0</v>
      </c>
      <c r="JE14" s="330">
        <v>1948</v>
      </c>
      <c r="JF14" s="330">
        <v>405</v>
      </c>
      <c r="JG14" s="629">
        <f t="shared" si="87"/>
        <v>2353</v>
      </c>
      <c r="JH14" s="330">
        <v>0</v>
      </c>
      <c r="JI14" s="330">
        <v>0</v>
      </c>
      <c r="JJ14" s="629">
        <f t="shared" si="88"/>
        <v>0</v>
      </c>
      <c r="JK14" s="330">
        <v>0</v>
      </c>
      <c r="JL14" s="330">
        <v>0</v>
      </c>
      <c r="JM14" s="629">
        <f t="shared" si="89"/>
        <v>0</v>
      </c>
      <c r="JN14" s="330">
        <v>0</v>
      </c>
      <c r="JO14" s="330">
        <v>0</v>
      </c>
      <c r="JP14" s="629">
        <f t="shared" si="90"/>
        <v>0</v>
      </c>
      <c r="JQ14" s="330">
        <v>0</v>
      </c>
      <c r="JR14" s="330">
        <v>0</v>
      </c>
      <c r="JS14" s="629">
        <f t="shared" si="91"/>
        <v>0</v>
      </c>
      <c r="JT14" s="330">
        <v>0</v>
      </c>
      <c r="JU14" s="330">
        <v>0</v>
      </c>
      <c r="JV14" s="629">
        <f t="shared" si="92"/>
        <v>0</v>
      </c>
      <c r="JW14" s="330">
        <v>0</v>
      </c>
      <c r="JX14" s="330">
        <v>0</v>
      </c>
      <c r="JY14" s="629">
        <f t="shared" si="93"/>
        <v>0</v>
      </c>
      <c r="JZ14" s="330">
        <v>0</v>
      </c>
      <c r="KA14" s="330">
        <v>0</v>
      </c>
      <c r="KB14" s="629">
        <f t="shared" si="94"/>
        <v>0</v>
      </c>
      <c r="KC14" s="330">
        <v>0</v>
      </c>
      <c r="KD14" s="330">
        <v>0</v>
      </c>
      <c r="KE14" s="629">
        <f t="shared" si="95"/>
        <v>0</v>
      </c>
      <c r="KF14" s="330">
        <v>0</v>
      </c>
      <c r="KG14" s="330">
        <v>0</v>
      </c>
      <c r="KH14" s="629">
        <f t="shared" si="96"/>
        <v>0</v>
      </c>
      <c r="KI14" s="330">
        <v>0</v>
      </c>
      <c r="KJ14" s="330">
        <v>0</v>
      </c>
      <c r="KK14" s="629">
        <f t="shared" si="97"/>
        <v>0</v>
      </c>
      <c r="KL14" s="629">
        <v>0</v>
      </c>
      <c r="KM14" s="629">
        <v>0</v>
      </c>
      <c r="KN14" s="629">
        <f t="shared" si="98"/>
        <v>0</v>
      </c>
      <c r="KO14" s="629">
        <v>0</v>
      </c>
      <c r="KP14" s="629">
        <v>0</v>
      </c>
      <c r="KQ14" s="629">
        <f t="shared" si="99"/>
        <v>0</v>
      </c>
      <c r="KR14" s="629">
        <v>0</v>
      </c>
      <c r="KS14" s="629">
        <v>0</v>
      </c>
      <c r="KT14" s="629">
        <f t="shared" si="100"/>
        <v>0</v>
      </c>
      <c r="KU14" s="629">
        <v>0</v>
      </c>
      <c r="KV14" s="629">
        <v>0</v>
      </c>
      <c r="KW14" s="629">
        <f t="shared" si="101"/>
        <v>0</v>
      </c>
      <c r="KX14" s="629">
        <v>0</v>
      </c>
      <c r="KY14" s="629">
        <v>0</v>
      </c>
      <c r="KZ14" s="629">
        <f t="shared" si="102"/>
        <v>0</v>
      </c>
      <c r="LA14" s="629">
        <v>0</v>
      </c>
      <c r="LB14" s="629">
        <v>0</v>
      </c>
      <c r="LC14" s="629">
        <f t="shared" si="103"/>
        <v>0</v>
      </c>
      <c r="LD14" s="629">
        <v>0</v>
      </c>
      <c r="LE14" s="629">
        <v>0</v>
      </c>
      <c r="LF14" s="629">
        <f t="shared" si="104"/>
        <v>0</v>
      </c>
      <c r="LG14" s="629">
        <v>0</v>
      </c>
      <c r="LH14" s="629">
        <v>0</v>
      </c>
      <c r="LI14" s="629">
        <f t="shared" si="105"/>
        <v>0</v>
      </c>
      <c r="LJ14" s="330">
        <v>0</v>
      </c>
      <c r="LK14" s="330">
        <v>0</v>
      </c>
      <c r="LL14" s="697">
        <f t="shared" si="106"/>
        <v>0</v>
      </c>
    </row>
    <row r="15" spans="1:327" ht="15" thickBot="1" x14ac:dyDescent="0.4">
      <c r="A15" s="698">
        <v>4</v>
      </c>
      <c r="B15" s="391" t="s">
        <v>263</v>
      </c>
      <c r="C15" s="443" t="s">
        <v>40</v>
      </c>
      <c r="D15" s="337">
        <v>7663</v>
      </c>
      <c r="E15" s="337">
        <v>6763</v>
      </c>
      <c r="F15" s="699">
        <f t="shared" si="0"/>
        <v>14426</v>
      </c>
      <c r="G15" s="337">
        <v>3</v>
      </c>
      <c r="H15" s="337">
        <v>13665</v>
      </c>
      <c r="I15" s="699">
        <f t="shared" si="1"/>
        <v>13668</v>
      </c>
      <c r="J15" s="337">
        <v>9630</v>
      </c>
      <c r="K15" s="337">
        <v>8434</v>
      </c>
      <c r="L15" s="699">
        <f t="shared" si="2"/>
        <v>18064</v>
      </c>
      <c r="M15" s="337">
        <v>522</v>
      </c>
      <c r="N15" s="337">
        <v>269</v>
      </c>
      <c r="O15" s="699">
        <f t="shared" si="3"/>
        <v>791</v>
      </c>
      <c r="P15" s="337">
        <v>566</v>
      </c>
      <c r="Q15" s="337">
        <v>512</v>
      </c>
      <c r="R15" s="699">
        <f t="shared" si="4"/>
        <v>1078</v>
      </c>
      <c r="S15" s="337">
        <v>57</v>
      </c>
      <c r="T15" s="337">
        <v>5</v>
      </c>
      <c r="U15" s="699">
        <f t="shared" si="5"/>
        <v>62</v>
      </c>
      <c r="V15" s="337">
        <v>90</v>
      </c>
      <c r="W15" s="337">
        <v>7</v>
      </c>
      <c r="X15" s="699">
        <f t="shared" si="6"/>
        <v>97</v>
      </c>
      <c r="Y15" s="337">
        <v>203</v>
      </c>
      <c r="Z15" s="337">
        <v>46</v>
      </c>
      <c r="AA15" s="699">
        <f t="shared" si="7"/>
        <v>249</v>
      </c>
      <c r="AB15" s="337">
        <v>23</v>
      </c>
      <c r="AC15" s="337">
        <v>14</v>
      </c>
      <c r="AD15" s="699">
        <f t="shared" si="8"/>
        <v>37</v>
      </c>
      <c r="AE15" s="337">
        <v>3</v>
      </c>
      <c r="AF15" s="337">
        <v>0</v>
      </c>
      <c r="AG15" s="699">
        <f t="shared" si="9"/>
        <v>3</v>
      </c>
      <c r="AH15" s="337">
        <v>0</v>
      </c>
      <c r="AI15" s="337">
        <v>0</v>
      </c>
      <c r="AJ15" s="699">
        <f t="shared" si="10"/>
        <v>0</v>
      </c>
      <c r="AK15" s="337">
        <v>41</v>
      </c>
      <c r="AL15" s="337">
        <v>7</v>
      </c>
      <c r="AM15" s="699">
        <f t="shared" si="11"/>
        <v>48</v>
      </c>
      <c r="AN15" s="337">
        <v>10</v>
      </c>
      <c r="AO15" s="337">
        <v>1</v>
      </c>
      <c r="AP15" s="699">
        <f t="shared" si="12"/>
        <v>11</v>
      </c>
      <c r="AQ15" s="337">
        <v>57</v>
      </c>
      <c r="AR15" s="337">
        <v>0</v>
      </c>
      <c r="AS15" s="699">
        <f t="shared" si="13"/>
        <v>57</v>
      </c>
      <c r="AT15" s="337">
        <v>11887</v>
      </c>
      <c r="AU15" s="337">
        <v>6252</v>
      </c>
      <c r="AV15" s="699">
        <f t="shared" si="14"/>
        <v>18139</v>
      </c>
      <c r="AW15" s="337">
        <v>236</v>
      </c>
      <c r="AX15" s="337">
        <v>159</v>
      </c>
      <c r="AY15" s="699">
        <f t="shared" si="15"/>
        <v>395</v>
      </c>
      <c r="AZ15" s="337">
        <v>14</v>
      </c>
      <c r="BA15" s="337">
        <v>10</v>
      </c>
      <c r="BB15" s="699">
        <f t="shared" si="16"/>
        <v>24</v>
      </c>
      <c r="BC15" s="337">
        <v>51</v>
      </c>
      <c r="BD15" s="337">
        <v>25</v>
      </c>
      <c r="BE15" s="699">
        <f t="shared" si="17"/>
        <v>76</v>
      </c>
      <c r="BF15" s="337">
        <v>1404</v>
      </c>
      <c r="BG15" s="337">
        <v>69</v>
      </c>
      <c r="BH15" s="699">
        <f t="shared" si="18"/>
        <v>1473</v>
      </c>
      <c r="BI15" s="337">
        <v>15</v>
      </c>
      <c r="BJ15" s="337">
        <v>4</v>
      </c>
      <c r="BK15" s="699">
        <f t="shared" si="19"/>
        <v>19</v>
      </c>
      <c r="BL15" s="337">
        <v>1</v>
      </c>
      <c r="BM15" s="337">
        <v>0</v>
      </c>
      <c r="BN15" s="699">
        <f t="shared" si="20"/>
        <v>1</v>
      </c>
      <c r="BO15" s="337">
        <v>1</v>
      </c>
      <c r="BP15" s="337">
        <v>1</v>
      </c>
      <c r="BQ15" s="699">
        <f t="shared" si="21"/>
        <v>2</v>
      </c>
      <c r="BR15" s="337">
        <v>4</v>
      </c>
      <c r="BS15" s="337">
        <v>15</v>
      </c>
      <c r="BT15" s="699">
        <f t="shared" si="22"/>
        <v>19</v>
      </c>
      <c r="BU15" s="337">
        <v>0</v>
      </c>
      <c r="BV15" s="337">
        <v>0</v>
      </c>
      <c r="BW15" s="699">
        <f t="shared" si="23"/>
        <v>0</v>
      </c>
      <c r="BX15" s="337">
        <v>0</v>
      </c>
      <c r="BY15" s="337">
        <v>0</v>
      </c>
      <c r="BZ15" s="699">
        <f t="shared" si="24"/>
        <v>0</v>
      </c>
      <c r="CA15" s="337">
        <v>4</v>
      </c>
      <c r="CB15" s="337">
        <v>0</v>
      </c>
      <c r="CC15" s="699">
        <f t="shared" si="25"/>
        <v>4</v>
      </c>
      <c r="CD15" s="337">
        <v>0</v>
      </c>
      <c r="CE15" s="337">
        <v>0</v>
      </c>
      <c r="CF15" s="699">
        <f t="shared" si="26"/>
        <v>0</v>
      </c>
      <c r="CG15" s="337">
        <v>0</v>
      </c>
      <c r="CH15" s="337">
        <v>0</v>
      </c>
      <c r="CI15" s="699">
        <f t="shared" si="27"/>
        <v>0</v>
      </c>
      <c r="CJ15" s="337">
        <v>1</v>
      </c>
      <c r="CK15" s="337">
        <v>0</v>
      </c>
      <c r="CL15" s="699">
        <f t="shared" si="28"/>
        <v>1</v>
      </c>
      <c r="CM15" s="337">
        <v>8</v>
      </c>
      <c r="CN15" s="337">
        <v>3</v>
      </c>
      <c r="CO15" s="699">
        <f t="shared" si="29"/>
        <v>11</v>
      </c>
      <c r="CP15" s="337">
        <v>3</v>
      </c>
      <c r="CQ15" s="337">
        <v>0</v>
      </c>
      <c r="CR15" s="699">
        <f t="shared" si="30"/>
        <v>3</v>
      </c>
      <c r="CS15" s="337">
        <v>0</v>
      </c>
      <c r="CT15" s="337">
        <v>0</v>
      </c>
      <c r="CU15" s="699">
        <f t="shared" si="31"/>
        <v>0</v>
      </c>
      <c r="CV15" s="337">
        <v>0</v>
      </c>
      <c r="CW15" s="337">
        <v>1</v>
      </c>
      <c r="CX15" s="699">
        <f t="shared" si="32"/>
        <v>1</v>
      </c>
      <c r="CY15" s="337">
        <v>0</v>
      </c>
      <c r="CZ15" s="337">
        <v>2</v>
      </c>
      <c r="DA15" s="699">
        <f t="shared" si="33"/>
        <v>2</v>
      </c>
      <c r="DB15" s="337">
        <v>8</v>
      </c>
      <c r="DC15" s="337">
        <v>0</v>
      </c>
      <c r="DD15" s="699">
        <f t="shared" si="34"/>
        <v>8</v>
      </c>
      <c r="DE15" s="337">
        <v>12</v>
      </c>
      <c r="DF15" s="337">
        <v>5</v>
      </c>
      <c r="DG15" s="699">
        <f t="shared" si="35"/>
        <v>17</v>
      </c>
      <c r="DH15" s="337">
        <v>0</v>
      </c>
      <c r="DI15" s="337">
        <v>0</v>
      </c>
      <c r="DJ15" s="699">
        <f t="shared" si="36"/>
        <v>0</v>
      </c>
      <c r="DK15" s="337">
        <v>0</v>
      </c>
      <c r="DL15" s="337">
        <v>0</v>
      </c>
      <c r="DM15" s="699">
        <f t="shared" si="37"/>
        <v>0</v>
      </c>
      <c r="DN15" s="337">
        <v>0</v>
      </c>
      <c r="DO15" s="337">
        <v>0</v>
      </c>
      <c r="DP15" s="699">
        <f t="shared" si="38"/>
        <v>0</v>
      </c>
      <c r="DQ15" s="337">
        <v>0</v>
      </c>
      <c r="DR15" s="337">
        <v>0</v>
      </c>
      <c r="DS15" s="699">
        <f t="shared" si="39"/>
        <v>0</v>
      </c>
      <c r="DT15" s="337">
        <v>0</v>
      </c>
      <c r="DU15" s="337">
        <v>0</v>
      </c>
      <c r="DV15" s="699">
        <f t="shared" si="40"/>
        <v>0</v>
      </c>
      <c r="DW15" s="337">
        <v>19</v>
      </c>
      <c r="DX15" s="337">
        <v>3</v>
      </c>
      <c r="DY15" s="699">
        <f t="shared" si="41"/>
        <v>22</v>
      </c>
      <c r="DZ15" s="337">
        <v>0</v>
      </c>
      <c r="EA15" s="337">
        <v>0</v>
      </c>
      <c r="EB15" s="699">
        <f t="shared" si="42"/>
        <v>0</v>
      </c>
      <c r="EC15" s="337">
        <v>29</v>
      </c>
      <c r="ED15" s="337">
        <v>6</v>
      </c>
      <c r="EE15" s="699">
        <f t="shared" si="43"/>
        <v>35</v>
      </c>
      <c r="EF15" s="337">
        <v>4</v>
      </c>
      <c r="EG15" s="337">
        <v>1</v>
      </c>
      <c r="EH15" s="699">
        <f t="shared" si="44"/>
        <v>5</v>
      </c>
      <c r="EI15" s="337">
        <v>1</v>
      </c>
      <c r="EJ15" s="337">
        <v>0</v>
      </c>
      <c r="EK15" s="699">
        <f t="shared" si="45"/>
        <v>1</v>
      </c>
      <c r="EL15" s="337">
        <v>0</v>
      </c>
      <c r="EM15" s="337">
        <v>0</v>
      </c>
      <c r="EN15" s="699">
        <f t="shared" si="46"/>
        <v>0</v>
      </c>
      <c r="EO15" s="337">
        <v>1</v>
      </c>
      <c r="EP15" s="337">
        <v>0</v>
      </c>
      <c r="EQ15" s="699">
        <f t="shared" si="47"/>
        <v>1</v>
      </c>
      <c r="ER15" s="337">
        <v>0</v>
      </c>
      <c r="ES15" s="337">
        <v>0</v>
      </c>
      <c r="ET15" s="699">
        <f t="shared" si="48"/>
        <v>0</v>
      </c>
      <c r="EU15" s="337">
        <v>1</v>
      </c>
      <c r="EV15" s="337">
        <v>0</v>
      </c>
      <c r="EW15" s="699">
        <f t="shared" si="49"/>
        <v>1</v>
      </c>
      <c r="EX15" s="337">
        <v>0</v>
      </c>
      <c r="EY15" s="337">
        <v>0</v>
      </c>
      <c r="EZ15" s="699">
        <f t="shared" si="50"/>
        <v>0</v>
      </c>
      <c r="FA15" s="337">
        <v>0</v>
      </c>
      <c r="FB15" s="337">
        <v>0</v>
      </c>
      <c r="FC15" s="699">
        <f t="shared" si="51"/>
        <v>0</v>
      </c>
      <c r="FD15" s="337">
        <v>0</v>
      </c>
      <c r="FE15" s="337">
        <v>0</v>
      </c>
      <c r="FF15" s="699">
        <f t="shared" si="52"/>
        <v>0</v>
      </c>
      <c r="FG15" s="337">
        <v>0</v>
      </c>
      <c r="FH15" s="337">
        <v>0</v>
      </c>
      <c r="FI15" s="699">
        <f t="shared" si="53"/>
        <v>0</v>
      </c>
      <c r="FJ15" s="337">
        <v>0</v>
      </c>
      <c r="FK15" s="337">
        <v>0</v>
      </c>
      <c r="FL15" s="699">
        <f t="shared" si="54"/>
        <v>0</v>
      </c>
      <c r="FM15" s="337">
        <v>0</v>
      </c>
      <c r="FN15" s="337">
        <v>0</v>
      </c>
      <c r="FO15" s="699">
        <f t="shared" si="55"/>
        <v>0</v>
      </c>
      <c r="FP15" s="337">
        <v>0</v>
      </c>
      <c r="FQ15" s="337">
        <v>0</v>
      </c>
      <c r="FR15" s="699">
        <f t="shared" si="56"/>
        <v>0</v>
      </c>
      <c r="FS15" s="337">
        <v>0</v>
      </c>
      <c r="FT15" s="337">
        <v>0</v>
      </c>
      <c r="FU15" s="699">
        <f t="shared" si="57"/>
        <v>0</v>
      </c>
      <c r="FV15" s="337">
        <v>0</v>
      </c>
      <c r="FW15" s="337">
        <v>0</v>
      </c>
      <c r="FX15" s="699">
        <f t="shared" si="58"/>
        <v>0</v>
      </c>
      <c r="FY15" s="337">
        <v>0</v>
      </c>
      <c r="FZ15" s="337">
        <v>0</v>
      </c>
      <c r="GA15" s="699">
        <f t="shared" si="59"/>
        <v>0</v>
      </c>
      <c r="GB15" s="337">
        <v>1</v>
      </c>
      <c r="GC15" s="337">
        <v>0</v>
      </c>
      <c r="GD15" s="699">
        <f t="shared" si="60"/>
        <v>1</v>
      </c>
      <c r="GE15" s="337">
        <v>0</v>
      </c>
      <c r="GF15" s="337">
        <v>1</v>
      </c>
      <c r="GG15" s="699">
        <f t="shared" si="61"/>
        <v>1</v>
      </c>
      <c r="GH15" s="337">
        <v>1</v>
      </c>
      <c r="GI15" s="337">
        <v>0</v>
      </c>
      <c r="GJ15" s="699">
        <f t="shared" si="62"/>
        <v>1</v>
      </c>
      <c r="GK15" s="337">
        <v>44</v>
      </c>
      <c r="GL15" s="337">
        <v>25</v>
      </c>
      <c r="GM15" s="699">
        <f t="shared" si="63"/>
        <v>69</v>
      </c>
      <c r="GN15" s="337">
        <v>150</v>
      </c>
      <c r="GO15" s="337">
        <v>425</v>
      </c>
      <c r="GP15" s="699">
        <f t="shared" si="64"/>
        <v>575</v>
      </c>
      <c r="GQ15" s="337">
        <v>7</v>
      </c>
      <c r="GR15" s="337">
        <v>0</v>
      </c>
      <c r="GS15" s="699">
        <f t="shared" si="65"/>
        <v>7</v>
      </c>
      <c r="GT15" s="337">
        <v>28</v>
      </c>
      <c r="GU15" s="337">
        <v>3</v>
      </c>
      <c r="GV15" s="699">
        <f t="shared" si="66"/>
        <v>31</v>
      </c>
      <c r="GW15" s="337">
        <v>5</v>
      </c>
      <c r="GX15" s="337">
        <v>5</v>
      </c>
      <c r="GY15" s="699">
        <f t="shared" si="67"/>
        <v>10</v>
      </c>
      <c r="GZ15" s="337">
        <v>5</v>
      </c>
      <c r="HA15" s="337">
        <v>3</v>
      </c>
      <c r="HB15" s="699">
        <f t="shared" si="68"/>
        <v>8</v>
      </c>
      <c r="HC15" s="337">
        <v>0</v>
      </c>
      <c r="HD15" s="337">
        <v>4</v>
      </c>
      <c r="HE15" s="699">
        <f t="shared" si="69"/>
        <v>4</v>
      </c>
      <c r="HF15" s="337">
        <v>9</v>
      </c>
      <c r="HG15" s="337">
        <v>2</v>
      </c>
      <c r="HH15" s="699">
        <f t="shared" si="70"/>
        <v>11</v>
      </c>
      <c r="HI15" s="337">
        <v>67</v>
      </c>
      <c r="HJ15" s="337">
        <v>131</v>
      </c>
      <c r="HK15" s="699">
        <f t="shared" si="71"/>
        <v>198</v>
      </c>
      <c r="HL15" s="337">
        <v>0</v>
      </c>
      <c r="HM15" s="337">
        <v>41</v>
      </c>
      <c r="HN15" s="699">
        <f t="shared" si="72"/>
        <v>41</v>
      </c>
      <c r="HO15" s="337">
        <v>5</v>
      </c>
      <c r="HP15" s="337">
        <v>50</v>
      </c>
      <c r="HQ15" s="699">
        <f t="shared" si="73"/>
        <v>55</v>
      </c>
      <c r="HR15" s="337">
        <v>3</v>
      </c>
      <c r="HS15" s="337">
        <v>10</v>
      </c>
      <c r="HT15" s="699">
        <f t="shared" si="74"/>
        <v>13</v>
      </c>
      <c r="HU15" s="337">
        <v>0</v>
      </c>
      <c r="HV15" s="337">
        <v>2</v>
      </c>
      <c r="HW15" s="699">
        <f t="shared" si="75"/>
        <v>2</v>
      </c>
      <c r="HX15" s="337">
        <v>0</v>
      </c>
      <c r="HY15" s="337">
        <v>0</v>
      </c>
      <c r="HZ15" s="699">
        <f t="shared" si="76"/>
        <v>0</v>
      </c>
      <c r="IA15" s="337">
        <v>0</v>
      </c>
      <c r="IB15" s="337">
        <v>0</v>
      </c>
      <c r="IC15" s="699">
        <f t="shared" si="77"/>
        <v>0</v>
      </c>
      <c r="ID15" s="337">
        <v>13</v>
      </c>
      <c r="IE15" s="337">
        <v>1</v>
      </c>
      <c r="IF15" s="699">
        <f t="shared" si="78"/>
        <v>14</v>
      </c>
      <c r="IG15" s="337">
        <v>0</v>
      </c>
      <c r="IH15" s="337">
        <v>0</v>
      </c>
      <c r="II15" s="699">
        <f t="shared" si="79"/>
        <v>0</v>
      </c>
      <c r="IJ15" s="337">
        <v>136</v>
      </c>
      <c r="IK15" s="337">
        <v>0</v>
      </c>
      <c r="IL15" s="699">
        <f t="shared" si="80"/>
        <v>136</v>
      </c>
      <c r="IM15" s="337">
        <v>0</v>
      </c>
      <c r="IN15" s="337">
        <v>0</v>
      </c>
      <c r="IO15" s="699">
        <f t="shared" si="81"/>
        <v>0</v>
      </c>
      <c r="IP15" s="337">
        <v>1</v>
      </c>
      <c r="IQ15" s="337">
        <v>0</v>
      </c>
      <c r="IR15" s="699">
        <f t="shared" si="82"/>
        <v>1</v>
      </c>
      <c r="IS15" s="337">
        <v>185</v>
      </c>
      <c r="IT15" s="337">
        <v>50</v>
      </c>
      <c r="IU15" s="699">
        <f t="shared" si="83"/>
        <v>235</v>
      </c>
      <c r="IV15" s="337">
        <v>2</v>
      </c>
      <c r="IW15" s="337">
        <v>0</v>
      </c>
      <c r="IX15" s="699">
        <f t="shared" si="84"/>
        <v>2</v>
      </c>
      <c r="IY15" s="337">
        <v>0</v>
      </c>
      <c r="IZ15" s="337">
        <v>0</v>
      </c>
      <c r="JA15" s="699">
        <f t="shared" si="85"/>
        <v>0</v>
      </c>
      <c r="JB15" s="337">
        <v>0</v>
      </c>
      <c r="JC15" s="337">
        <v>0</v>
      </c>
      <c r="JD15" s="699">
        <f t="shared" si="86"/>
        <v>0</v>
      </c>
      <c r="JE15" s="337">
        <v>4397</v>
      </c>
      <c r="JF15" s="337">
        <v>965</v>
      </c>
      <c r="JG15" s="699">
        <f t="shared" si="87"/>
        <v>5362</v>
      </c>
      <c r="JH15" s="337">
        <v>1</v>
      </c>
      <c r="JI15" s="337">
        <v>1</v>
      </c>
      <c r="JJ15" s="699">
        <f t="shared" si="88"/>
        <v>2</v>
      </c>
      <c r="JK15" s="337">
        <v>0</v>
      </c>
      <c r="JL15" s="337">
        <v>0</v>
      </c>
      <c r="JM15" s="699">
        <f t="shared" si="89"/>
        <v>0</v>
      </c>
      <c r="JN15" s="337">
        <v>2</v>
      </c>
      <c r="JO15" s="337">
        <v>0</v>
      </c>
      <c r="JP15" s="699">
        <f t="shared" si="90"/>
        <v>2</v>
      </c>
      <c r="JQ15" s="337">
        <v>0</v>
      </c>
      <c r="JR15" s="337">
        <v>0</v>
      </c>
      <c r="JS15" s="699">
        <f t="shared" si="91"/>
        <v>0</v>
      </c>
      <c r="JT15" s="337">
        <v>0</v>
      </c>
      <c r="JU15" s="337">
        <v>0</v>
      </c>
      <c r="JV15" s="699">
        <f t="shared" si="92"/>
        <v>0</v>
      </c>
      <c r="JW15" s="337">
        <v>0</v>
      </c>
      <c r="JX15" s="337">
        <v>0</v>
      </c>
      <c r="JY15" s="699">
        <f t="shared" si="93"/>
        <v>0</v>
      </c>
      <c r="JZ15" s="337">
        <v>0</v>
      </c>
      <c r="KA15" s="337">
        <v>0</v>
      </c>
      <c r="KB15" s="699">
        <f t="shared" si="94"/>
        <v>0</v>
      </c>
      <c r="KC15" s="337">
        <v>0</v>
      </c>
      <c r="KD15" s="337">
        <v>0</v>
      </c>
      <c r="KE15" s="699">
        <f t="shared" si="95"/>
        <v>0</v>
      </c>
      <c r="KF15" s="337">
        <v>0</v>
      </c>
      <c r="KG15" s="337">
        <v>0</v>
      </c>
      <c r="KH15" s="699">
        <f t="shared" si="96"/>
        <v>0</v>
      </c>
      <c r="KI15" s="337">
        <v>0</v>
      </c>
      <c r="KJ15" s="337">
        <v>0</v>
      </c>
      <c r="KK15" s="699">
        <f t="shared" si="97"/>
        <v>0</v>
      </c>
      <c r="KL15" s="699">
        <v>0</v>
      </c>
      <c r="KM15" s="699">
        <v>0</v>
      </c>
      <c r="KN15" s="699">
        <f t="shared" si="98"/>
        <v>0</v>
      </c>
      <c r="KO15" s="699">
        <v>0</v>
      </c>
      <c r="KP15" s="699">
        <v>0</v>
      </c>
      <c r="KQ15" s="699">
        <f t="shared" si="99"/>
        <v>0</v>
      </c>
      <c r="KR15" s="699">
        <v>0</v>
      </c>
      <c r="KS15" s="699">
        <v>0</v>
      </c>
      <c r="KT15" s="699">
        <f t="shared" si="100"/>
        <v>0</v>
      </c>
      <c r="KU15" s="699">
        <v>0</v>
      </c>
      <c r="KV15" s="699">
        <v>0</v>
      </c>
      <c r="KW15" s="699">
        <f t="shared" si="101"/>
        <v>0</v>
      </c>
      <c r="KX15" s="699">
        <v>0</v>
      </c>
      <c r="KY15" s="699">
        <v>0</v>
      </c>
      <c r="KZ15" s="699">
        <f t="shared" si="102"/>
        <v>0</v>
      </c>
      <c r="LA15" s="699">
        <v>0</v>
      </c>
      <c r="LB15" s="699">
        <v>0</v>
      </c>
      <c r="LC15" s="699">
        <f t="shared" si="103"/>
        <v>0</v>
      </c>
      <c r="LD15" s="699">
        <v>0</v>
      </c>
      <c r="LE15" s="699">
        <v>0</v>
      </c>
      <c r="LF15" s="699">
        <f t="shared" si="104"/>
        <v>0</v>
      </c>
      <c r="LG15" s="699">
        <v>0</v>
      </c>
      <c r="LH15" s="699">
        <v>0</v>
      </c>
      <c r="LI15" s="699">
        <f t="shared" si="105"/>
        <v>0</v>
      </c>
      <c r="LJ15" s="337">
        <v>1</v>
      </c>
      <c r="LK15" s="337">
        <v>0</v>
      </c>
      <c r="LL15" s="700">
        <f t="shared" si="106"/>
        <v>1</v>
      </c>
    </row>
    <row r="16" spans="1:327" x14ac:dyDescent="0.35">
      <c r="A16" s="685">
        <v>3</v>
      </c>
      <c r="B16" s="371" t="s">
        <v>264</v>
      </c>
      <c r="C16" s="428" t="s">
        <v>47</v>
      </c>
      <c r="D16" s="305">
        <v>36088</v>
      </c>
      <c r="E16" s="305">
        <v>31717</v>
      </c>
      <c r="F16" s="686">
        <f t="shared" si="0"/>
        <v>67805</v>
      </c>
      <c r="G16" s="305">
        <v>50</v>
      </c>
      <c r="H16" s="305">
        <v>62060</v>
      </c>
      <c r="I16" s="686">
        <f t="shared" si="1"/>
        <v>62110</v>
      </c>
      <c r="J16" s="305">
        <v>46354</v>
      </c>
      <c r="K16" s="305">
        <v>40127</v>
      </c>
      <c r="L16" s="686">
        <f t="shared" si="2"/>
        <v>86481</v>
      </c>
      <c r="M16" s="305">
        <v>2036</v>
      </c>
      <c r="N16" s="305">
        <v>759</v>
      </c>
      <c r="O16" s="686">
        <f t="shared" si="3"/>
        <v>2795</v>
      </c>
      <c r="P16" s="305">
        <v>2974</v>
      </c>
      <c r="Q16" s="305">
        <v>2584</v>
      </c>
      <c r="R16" s="686">
        <f t="shared" si="4"/>
        <v>5558</v>
      </c>
      <c r="S16" s="305">
        <v>477</v>
      </c>
      <c r="T16" s="305">
        <v>22</v>
      </c>
      <c r="U16" s="686">
        <f t="shared" si="5"/>
        <v>499</v>
      </c>
      <c r="V16" s="305">
        <v>494</v>
      </c>
      <c r="W16" s="305">
        <v>39</v>
      </c>
      <c r="X16" s="686">
        <f t="shared" si="6"/>
        <v>533</v>
      </c>
      <c r="Y16" s="305">
        <v>658</v>
      </c>
      <c r="Z16" s="305">
        <v>178</v>
      </c>
      <c r="AA16" s="686">
        <f t="shared" si="7"/>
        <v>836</v>
      </c>
      <c r="AB16" s="305">
        <v>158</v>
      </c>
      <c r="AC16" s="305">
        <v>50</v>
      </c>
      <c r="AD16" s="686">
        <f t="shared" si="8"/>
        <v>208</v>
      </c>
      <c r="AE16" s="305">
        <v>13</v>
      </c>
      <c r="AF16" s="305">
        <v>1</v>
      </c>
      <c r="AG16" s="686">
        <f t="shared" si="9"/>
        <v>14</v>
      </c>
      <c r="AH16" s="305">
        <v>9</v>
      </c>
      <c r="AI16" s="305">
        <v>0</v>
      </c>
      <c r="AJ16" s="686">
        <f t="shared" si="10"/>
        <v>9</v>
      </c>
      <c r="AK16" s="305">
        <v>43</v>
      </c>
      <c r="AL16" s="305">
        <v>6</v>
      </c>
      <c r="AM16" s="686">
        <f t="shared" si="11"/>
        <v>49</v>
      </c>
      <c r="AN16" s="305">
        <v>63</v>
      </c>
      <c r="AO16" s="305">
        <v>1</v>
      </c>
      <c r="AP16" s="686">
        <f t="shared" si="12"/>
        <v>64</v>
      </c>
      <c r="AQ16" s="305">
        <v>95</v>
      </c>
      <c r="AR16" s="305">
        <v>1</v>
      </c>
      <c r="AS16" s="686">
        <f t="shared" si="13"/>
        <v>96</v>
      </c>
      <c r="AT16" s="305">
        <v>58310</v>
      </c>
      <c r="AU16" s="305">
        <v>26773</v>
      </c>
      <c r="AV16" s="686">
        <f t="shared" si="14"/>
        <v>85083</v>
      </c>
      <c r="AW16" s="305">
        <v>1268</v>
      </c>
      <c r="AX16" s="305">
        <v>598</v>
      </c>
      <c r="AY16" s="686">
        <f t="shared" si="15"/>
        <v>1866</v>
      </c>
      <c r="AZ16" s="305">
        <v>89</v>
      </c>
      <c r="BA16" s="305">
        <v>62</v>
      </c>
      <c r="BB16" s="686">
        <f t="shared" si="16"/>
        <v>151</v>
      </c>
      <c r="BC16" s="305">
        <v>455</v>
      </c>
      <c r="BD16" s="305">
        <v>295</v>
      </c>
      <c r="BE16" s="686">
        <f t="shared" si="17"/>
        <v>750</v>
      </c>
      <c r="BF16" s="305">
        <v>5894</v>
      </c>
      <c r="BG16" s="305">
        <v>253</v>
      </c>
      <c r="BH16" s="686">
        <f t="shared" si="18"/>
        <v>6147</v>
      </c>
      <c r="BI16" s="305">
        <v>164</v>
      </c>
      <c r="BJ16" s="305">
        <v>14</v>
      </c>
      <c r="BK16" s="686">
        <f t="shared" si="19"/>
        <v>178</v>
      </c>
      <c r="BL16" s="305">
        <v>2</v>
      </c>
      <c r="BM16" s="305">
        <v>0</v>
      </c>
      <c r="BN16" s="686">
        <f t="shared" si="20"/>
        <v>2</v>
      </c>
      <c r="BO16" s="305">
        <v>4</v>
      </c>
      <c r="BP16" s="305">
        <v>0</v>
      </c>
      <c r="BQ16" s="686">
        <f t="shared" si="21"/>
        <v>4</v>
      </c>
      <c r="BR16" s="305">
        <v>3</v>
      </c>
      <c r="BS16" s="305">
        <v>103</v>
      </c>
      <c r="BT16" s="686">
        <f t="shared" si="22"/>
        <v>106</v>
      </c>
      <c r="BU16" s="305">
        <v>5</v>
      </c>
      <c r="BV16" s="305">
        <v>0</v>
      </c>
      <c r="BW16" s="686">
        <f t="shared" si="23"/>
        <v>5</v>
      </c>
      <c r="BX16" s="305">
        <v>26</v>
      </c>
      <c r="BY16" s="305">
        <v>0</v>
      </c>
      <c r="BZ16" s="686">
        <f t="shared" si="24"/>
        <v>26</v>
      </c>
      <c r="CA16" s="305">
        <v>92</v>
      </c>
      <c r="CB16" s="305">
        <v>0</v>
      </c>
      <c r="CC16" s="686">
        <f t="shared" si="25"/>
        <v>92</v>
      </c>
      <c r="CD16" s="305">
        <v>19</v>
      </c>
      <c r="CE16" s="305">
        <v>0</v>
      </c>
      <c r="CF16" s="686">
        <f t="shared" si="26"/>
        <v>19</v>
      </c>
      <c r="CG16" s="305">
        <v>1</v>
      </c>
      <c r="CH16" s="305">
        <v>0</v>
      </c>
      <c r="CI16" s="686">
        <f t="shared" si="27"/>
        <v>1</v>
      </c>
      <c r="CJ16" s="305">
        <v>24</v>
      </c>
      <c r="CK16" s="305">
        <v>1</v>
      </c>
      <c r="CL16" s="686">
        <f t="shared" si="28"/>
        <v>25</v>
      </c>
      <c r="CM16" s="305">
        <v>48</v>
      </c>
      <c r="CN16" s="305">
        <v>34</v>
      </c>
      <c r="CO16" s="686">
        <f t="shared" si="29"/>
        <v>82</v>
      </c>
      <c r="CP16" s="305">
        <v>0</v>
      </c>
      <c r="CQ16" s="305">
        <v>0</v>
      </c>
      <c r="CR16" s="686">
        <f t="shared" si="30"/>
        <v>0</v>
      </c>
      <c r="CS16" s="305">
        <v>2</v>
      </c>
      <c r="CT16" s="305">
        <v>20</v>
      </c>
      <c r="CU16" s="686">
        <f t="shared" si="31"/>
        <v>22</v>
      </c>
      <c r="CV16" s="305">
        <v>2</v>
      </c>
      <c r="CW16" s="305">
        <v>0</v>
      </c>
      <c r="CX16" s="686">
        <f t="shared" si="32"/>
        <v>2</v>
      </c>
      <c r="CY16" s="305">
        <v>2</v>
      </c>
      <c r="CZ16" s="305">
        <v>18</v>
      </c>
      <c r="DA16" s="686">
        <f t="shared" si="33"/>
        <v>20</v>
      </c>
      <c r="DB16" s="305">
        <v>124</v>
      </c>
      <c r="DC16" s="305">
        <v>0</v>
      </c>
      <c r="DD16" s="686">
        <f t="shared" si="34"/>
        <v>124</v>
      </c>
      <c r="DE16" s="305">
        <v>56</v>
      </c>
      <c r="DF16" s="305">
        <v>9</v>
      </c>
      <c r="DG16" s="686">
        <f t="shared" si="35"/>
        <v>65</v>
      </c>
      <c r="DH16" s="305">
        <v>2</v>
      </c>
      <c r="DI16" s="305">
        <v>0</v>
      </c>
      <c r="DJ16" s="686">
        <f t="shared" si="36"/>
        <v>2</v>
      </c>
      <c r="DK16" s="305">
        <v>1</v>
      </c>
      <c r="DL16" s="305">
        <v>1</v>
      </c>
      <c r="DM16" s="686">
        <f t="shared" si="37"/>
        <v>2</v>
      </c>
      <c r="DN16" s="305">
        <v>0</v>
      </c>
      <c r="DO16" s="305">
        <v>2</v>
      </c>
      <c r="DP16" s="686">
        <f t="shared" si="38"/>
        <v>2</v>
      </c>
      <c r="DQ16" s="305">
        <v>0</v>
      </c>
      <c r="DR16" s="305">
        <v>2</v>
      </c>
      <c r="DS16" s="686">
        <f t="shared" si="39"/>
        <v>2</v>
      </c>
      <c r="DT16" s="305">
        <v>5</v>
      </c>
      <c r="DU16" s="305">
        <v>0</v>
      </c>
      <c r="DV16" s="686">
        <f t="shared" si="40"/>
        <v>5</v>
      </c>
      <c r="DW16" s="305">
        <v>65</v>
      </c>
      <c r="DX16" s="305">
        <v>13</v>
      </c>
      <c r="DY16" s="686">
        <f t="shared" si="41"/>
        <v>78</v>
      </c>
      <c r="DZ16" s="305">
        <v>7</v>
      </c>
      <c r="EA16" s="305">
        <v>0</v>
      </c>
      <c r="EB16" s="686">
        <f t="shared" si="42"/>
        <v>7</v>
      </c>
      <c r="EC16" s="305">
        <v>120</v>
      </c>
      <c r="ED16" s="305">
        <v>12</v>
      </c>
      <c r="EE16" s="686">
        <f t="shared" si="43"/>
        <v>132</v>
      </c>
      <c r="EF16" s="305">
        <v>24</v>
      </c>
      <c r="EG16" s="305">
        <v>11</v>
      </c>
      <c r="EH16" s="686">
        <f t="shared" si="44"/>
        <v>35</v>
      </c>
      <c r="EI16" s="305">
        <v>4</v>
      </c>
      <c r="EJ16" s="305">
        <v>7</v>
      </c>
      <c r="EK16" s="686">
        <f t="shared" si="45"/>
        <v>11</v>
      </c>
      <c r="EL16" s="305">
        <v>3</v>
      </c>
      <c r="EM16" s="305">
        <v>0</v>
      </c>
      <c r="EN16" s="686">
        <f t="shared" si="46"/>
        <v>3</v>
      </c>
      <c r="EO16" s="305">
        <v>1</v>
      </c>
      <c r="EP16" s="305">
        <v>0</v>
      </c>
      <c r="EQ16" s="686">
        <f t="shared" si="47"/>
        <v>1</v>
      </c>
      <c r="ER16" s="305">
        <v>1</v>
      </c>
      <c r="ES16" s="305">
        <v>0</v>
      </c>
      <c r="ET16" s="686">
        <f t="shared" si="48"/>
        <v>1</v>
      </c>
      <c r="EU16" s="305">
        <v>0</v>
      </c>
      <c r="EV16" s="305">
        <v>0</v>
      </c>
      <c r="EW16" s="686">
        <f t="shared" si="49"/>
        <v>0</v>
      </c>
      <c r="EX16" s="305">
        <v>0</v>
      </c>
      <c r="EY16" s="305">
        <v>0</v>
      </c>
      <c r="EZ16" s="686">
        <f t="shared" si="50"/>
        <v>0</v>
      </c>
      <c r="FA16" s="305">
        <v>0</v>
      </c>
      <c r="FB16" s="305">
        <v>0</v>
      </c>
      <c r="FC16" s="686">
        <f t="shared" si="51"/>
        <v>0</v>
      </c>
      <c r="FD16" s="305">
        <v>1</v>
      </c>
      <c r="FE16" s="305">
        <v>0</v>
      </c>
      <c r="FF16" s="686">
        <f t="shared" si="52"/>
        <v>1</v>
      </c>
      <c r="FG16" s="305">
        <v>0</v>
      </c>
      <c r="FH16" s="305">
        <v>0</v>
      </c>
      <c r="FI16" s="686">
        <f t="shared" si="53"/>
        <v>0</v>
      </c>
      <c r="FJ16" s="305">
        <v>0</v>
      </c>
      <c r="FK16" s="305">
        <v>0</v>
      </c>
      <c r="FL16" s="686">
        <f t="shared" si="54"/>
        <v>0</v>
      </c>
      <c r="FM16" s="305">
        <v>0</v>
      </c>
      <c r="FN16" s="305">
        <v>0</v>
      </c>
      <c r="FO16" s="686">
        <f t="shared" si="55"/>
        <v>0</v>
      </c>
      <c r="FP16" s="305">
        <v>0</v>
      </c>
      <c r="FQ16" s="305">
        <v>0</v>
      </c>
      <c r="FR16" s="686">
        <f t="shared" si="56"/>
        <v>0</v>
      </c>
      <c r="FS16" s="305">
        <v>0</v>
      </c>
      <c r="FT16" s="305">
        <v>0</v>
      </c>
      <c r="FU16" s="686">
        <f t="shared" si="57"/>
        <v>0</v>
      </c>
      <c r="FV16" s="305">
        <v>0</v>
      </c>
      <c r="FW16" s="305">
        <v>0</v>
      </c>
      <c r="FX16" s="686">
        <f t="shared" si="58"/>
        <v>0</v>
      </c>
      <c r="FY16" s="305">
        <v>0</v>
      </c>
      <c r="FZ16" s="305">
        <v>0</v>
      </c>
      <c r="GA16" s="686">
        <f t="shared" si="59"/>
        <v>0</v>
      </c>
      <c r="GB16" s="305">
        <v>0</v>
      </c>
      <c r="GC16" s="305">
        <v>0</v>
      </c>
      <c r="GD16" s="686">
        <f t="shared" si="60"/>
        <v>0</v>
      </c>
      <c r="GE16" s="305">
        <v>0</v>
      </c>
      <c r="GF16" s="305">
        <v>0</v>
      </c>
      <c r="GG16" s="686">
        <f t="shared" si="61"/>
        <v>0</v>
      </c>
      <c r="GH16" s="305">
        <v>3</v>
      </c>
      <c r="GI16" s="305">
        <v>0</v>
      </c>
      <c r="GJ16" s="686">
        <f t="shared" si="62"/>
        <v>3</v>
      </c>
      <c r="GK16" s="305">
        <v>148</v>
      </c>
      <c r="GL16" s="305">
        <v>132</v>
      </c>
      <c r="GM16" s="686">
        <f t="shared" si="63"/>
        <v>280</v>
      </c>
      <c r="GN16" s="305">
        <v>1166</v>
      </c>
      <c r="GO16" s="305">
        <v>3288</v>
      </c>
      <c r="GP16" s="686">
        <f t="shared" si="64"/>
        <v>4454</v>
      </c>
      <c r="GQ16" s="305">
        <v>11</v>
      </c>
      <c r="GR16" s="305">
        <v>0</v>
      </c>
      <c r="GS16" s="686">
        <f t="shared" si="65"/>
        <v>11</v>
      </c>
      <c r="GT16" s="305">
        <v>76</v>
      </c>
      <c r="GU16" s="305">
        <v>7</v>
      </c>
      <c r="GV16" s="686">
        <f t="shared" si="66"/>
        <v>83</v>
      </c>
      <c r="GW16" s="305">
        <v>9</v>
      </c>
      <c r="GX16" s="305">
        <v>10</v>
      </c>
      <c r="GY16" s="686">
        <f t="shared" si="67"/>
        <v>19</v>
      </c>
      <c r="GZ16" s="305">
        <v>18</v>
      </c>
      <c r="HA16" s="305">
        <v>4</v>
      </c>
      <c r="HB16" s="686">
        <f t="shared" si="68"/>
        <v>22</v>
      </c>
      <c r="HC16" s="305">
        <v>12</v>
      </c>
      <c r="HD16" s="305">
        <v>3</v>
      </c>
      <c r="HE16" s="686">
        <f t="shared" si="69"/>
        <v>15</v>
      </c>
      <c r="HF16" s="305">
        <v>27</v>
      </c>
      <c r="HG16" s="305">
        <v>6</v>
      </c>
      <c r="HH16" s="686">
        <f t="shared" si="70"/>
        <v>33</v>
      </c>
      <c r="HI16" s="305">
        <v>129</v>
      </c>
      <c r="HJ16" s="305">
        <v>319</v>
      </c>
      <c r="HK16" s="686">
        <f t="shared" si="71"/>
        <v>448</v>
      </c>
      <c r="HL16" s="305">
        <v>0</v>
      </c>
      <c r="HM16" s="305">
        <v>310</v>
      </c>
      <c r="HN16" s="686">
        <f t="shared" si="72"/>
        <v>310</v>
      </c>
      <c r="HO16" s="305">
        <v>76</v>
      </c>
      <c r="HP16" s="305">
        <v>557</v>
      </c>
      <c r="HQ16" s="686">
        <f t="shared" si="73"/>
        <v>633</v>
      </c>
      <c r="HR16" s="305">
        <v>12</v>
      </c>
      <c r="HS16" s="305">
        <v>63</v>
      </c>
      <c r="HT16" s="686">
        <f t="shared" si="74"/>
        <v>75</v>
      </c>
      <c r="HU16" s="305">
        <v>0</v>
      </c>
      <c r="HV16" s="305">
        <v>7</v>
      </c>
      <c r="HW16" s="686">
        <f t="shared" si="75"/>
        <v>7</v>
      </c>
      <c r="HX16" s="305">
        <v>2</v>
      </c>
      <c r="HY16" s="305">
        <v>0</v>
      </c>
      <c r="HZ16" s="686">
        <f t="shared" si="76"/>
        <v>2</v>
      </c>
      <c r="IA16" s="305">
        <v>0</v>
      </c>
      <c r="IB16" s="305">
        <v>2</v>
      </c>
      <c r="IC16" s="686">
        <f t="shared" si="77"/>
        <v>2</v>
      </c>
      <c r="ID16" s="305">
        <v>315</v>
      </c>
      <c r="IE16" s="305">
        <v>1</v>
      </c>
      <c r="IF16" s="686">
        <f t="shared" si="78"/>
        <v>316</v>
      </c>
      <c r="IG16" s="305">
        <v>3</v>
      </c>
      <c r="IH16" s="305">
        <v>2</v>
      </c>
      <c r="II16" s="686">
        <f t="shared" si="79"/>
        <v>5</v>
      </c>
      <c r="IJ16" s="305">
        <v>674</v>
      </c>
      <c r="IK16" s="305">
        <v>1</v>
      </c>
      <c r="IL16" s="686">
        <f t="shared" si="80"/>
        <v>675</v>
      </c>
      <c r="IM16" s="305">
        <v>0</v>
      </c>
      <c r="IN16" s="305">
        <v>0</v>
      </c>
      <c r="IO16" s="686">
        <f t="shared" si="81"/>
        <v>0</v>
      </c>
      <c r="IP16" s="305">
        <v>0</v>
      </c>
      <c r="IQ16" s="305">
        <v>0</v>
      </c>
      <c r="IR16" s="686">
        <f t="shared" si="82"/>
        <v>0</v>
      </c>
      <c r="IS16" s="305">
        <v>1336</v>
      </c>
      <c r="IT16" s="305">
        <v>434</v>
      </c>
      <c r="IU16" s="686">
        <f t="shared" si="83"/>
        <v>1770</v>
      </c>
      <c r="IV16" s="305">
        <v>3</v>
      </c>
      <c r="IW16" s="305">
        <v>2</v>
      </c>
      <c r="IX16" s="686">
        <f t="shared" si="84"/>
        <v>5</v>
      </c>
      <c r="IY16" s="305">
        <v>0</v>
      </c>
      <c r="IZ16" s="305">
        <v>0</v>
      </c>
      <c r="JA16" s="686">
        <f t="shared" si="85"/>
        <v>0</v>
      </c>
      <c r="JB16" s="305">
        <v>1</v>
      </c>
      <c r="JC16" s="305">
        <v>0</v>
      </c>
      <c r="JD16" s="686">
        <f t="shared" si="86"/>
        <v>1</v>
      </c>
      <c r="JE16" s="305">
        <v>14146</v>
      </c>
      <c r="JF16" s="305">
        <v>3180</v>
      </c>
      <c r="JG16" s="686">
        <f t="shared" si="87"/>
        <v>17326</v>
      </c>
      <c r="JH16" s="305">
        <v>5</v>
      </c>
      <c r="JI16" s="305">
        <v>6</v>
      </c>
      <c r="JJ16" s="686">
        <f t="shared" si="88"/>
        <v>11</v>
      </c>
      <c r="JK16" s="305">
        <v>1</v>
      </c>
      <c r="JL16" s="305">
        <v>1</v>
      </c>
      <c r="JM16" s="686">
        <f t="shared" si="89"/>
        <v>2</v>
      </c>
      <c r="JN16" s="305">
        <v>0</v>
      </c>
      <c r="JO16" s="305">
        <v>0</v>
      </c>
      <c r="JP16" s="686">
        <f t="shared" si="90"/>
        <v>0</v>
      </c>
      <c r="JQ16" s="305">
        <v>0</v>
      </c>
      <c r="JR16" s="305">
        <v>0</v>
      </c>
      <c r="JS16" s="686">
        <f t="shared" si="91"/>
        <v>0</v>
      </c>
      <c r="JT16" s="305">
        <v>0</v>
      </c>
      <c r="JU16" s="305">
        <v>0</v>
      </c>
      <c r="JV16" s="686">
        <f t="shared" si="92"/>
        <v>0</v>
      </c>
      <c r="JW16" s="305">
        <v>0</v>
      </c>
      <c r="JX16" s="305">
        <v>0</v>
      </c>
      <c r="JY16" s="686">
        <f t="shared" si="93"/>
        <v>0</v>
      </c>
      <c r="JZ16" s="305">
        <v>0</v>
      </c>
      <c r="KA16" s="305">
        <v>0</v>
      </c>
      <c r="KB16" s="686">
        <f t="shared" si="94"/>
        <v>0</v>
      </c>
      <c r="KC16" s="305">
        <v>0</v>
      </c>
      <c r="KD16" s="305">
        <v>0</v>
      </c>
      <c r="KE16" s="686">
        <f t="shared" si="95"/>
        <v>0</v>
      </c>
      <c r="KF16" s="305">
        <v>2</v>
      </c>
      <c r="KG16" s="305">
        <v>0</v>
      </c>
      <c r="KH16" s="686">
        <f t="shared" si="96"/>
        <v>2</v>
      </c>
      <c r="KI16" s="305">
        <v>0</v>
      </c>
      <c r="KJ16" s="305">
        <v>0</v>
      </c>
      <c r="KK16" s="686">
        <f t="shared" si="97"/>
        <v>0</v>
      </c>
      <c r="KL16" s="686">
        <v>0</v>
      </c>
      <c r="KM16" s="686">
        <v>0</v>
      </c>
      <c r="KN16" s="686">
        <f t="shared" si="98"/>
        <v>0</v>
      </c>
      <c r="KO16" s="686">
        <v>0</v>
      </c>
      <c r="KP16" s="686">
        <v>0</v>
      </c>
      <c r="KQ16" s="686">
        <f t="shared" si="99"/>
        <v>0</v>
      </c>
      <c r="KR16" s="686">
        <v>0</v>
      </c>
      <c r="KS16" s="686">
        <v>0</v>
      </c>
      <c r="KT16" s="686">
        <f t="shared" si="100"/>
        <v>0</v>
      </c>
      <c r="KU16" s="686">
        <v>0</v>
      </c>
      <c r="KV16" s="686">
        <v>0</v>
      </c>
      <c r="KW16" s="686">
        <f t="shared" si="101"/>
        <v>0</v>
      </c>
      <c r="KX16" s="686">
        <v>0</v>
      </c>
      <c r="KY16" s="686">
        <v>0</v>
      </c>
      <c r="KZ16" s="686">
        <f t="shared" si="102"/>
        <v>0</v>
      </c>
      <c r="LA16" s="686">
        <v>0</v>
      </c>
      <c r="LB16" s="686">
        <v>0</v>
      </c>
      <c r="LC16" s="686">
        <f t="shared" si="103"/>
        <v>0</v>
      </c>
      <c r="LD16" s="686">
        <v>0</v>
      </c>
      <c r="LE16" s="686">
        <v>0</v>
      </c>
      <c r="LF16" s="686">
        <f t="shared" si="104"/>
        <v>0</v>
      </c>
      <c r="LG16" s="686">
        <v>0</v>
      </c>
      <c r="LH16" s="686">
        <v>0</v>
      </c>
      <c r="LI16" s="686">
        <f t="shared" si="105"/>
        <v>0</v>
      </c>
      <c r="LJ16" s="305">
        <v>2</v>
      </c>
      <c r="LK16" s="305">
        <v>1</v>
      </c>
      <c r="LL16" s="687">
        <f t="shared" si="106"/>
        <v>3</v>
      </c>
    </row>
    <row r="17" spans="1:324" x14ac:dyDescent="0.35">
      <c r="A17" s="688">
        <v>4</v>
      </c>
      <c r="B17" s="375" t="s">
        <v>265</v>
      </c>
      <c r="C17" s="431" t="s">
        <v>43</v>
      </c>
      <c r="D17" s="312">
        <v>10187</v>
      </c>
      <c r="E17" s="312">
        <v>8759</v>
      </c>
      <c r="F17" s="622">
        <f t="shared" si="0"/>
        <v>18946</v>
      </c>
      <c r="G17" s="312">
        <v>25</v>
      </c>
      <c r="H17" s="312">
        <v>18257</v>
      </c>
      <c r="I17" s="622">
        <f t="shared" si="1"/>
        <v>18282</v>
      </c>
      <c r="J17" s="312">
        <v>12978</v>
      </c>
      <c r="K17" s="312">
        <v>11212</v>
      </c>
      <c r="L17" s="622">
        <f t="shared" si="2"/>
        <v>24190</v>
      </c>
      <c r="M17" s="312">
        <v>430</v>
      </c>
      <c r="N17" s="312">
        <v>132</v>
      </c>
      <c r="O17" s="622">
        <f t="shared" si="3"/>
        <v>562</v>
      </c>
      <c r="P17" s="312">
        <v>630</v>
      </c>
      <c r="Q17" s="312">
        <v>532</v>
      </c>
      <c r="R17" s="622">
        <f t="shared" si="4"/>
        <v>1162</v>
      </c>
      <c r="S17" s="312">
        <v>141</v>
      </c>
      <c r="T17" s="312">
        <v>3</v>
      </c>
      <c r="U17" s="622">
        <f t="shared" si="5"/>
        <v>144</v>
      </c>
      <c r="V17" s="312">
        <v>165</v>
      </c>
      <c r="W17" s="312">
        <v>9</v>
      </c>
      <c r="X17" s="622">
        <f t="shared" si="6"/>
        <v>174</v>
      </c>
      <c r="Y17" s="312">
        <v>191</v>
      </c>
      <c r="Z17" s="312">
        <v>51</v>
      </c>
      <c r="AA17" s="622">
        <f t="shared" si="7"/>
        <v>242</v>
      </c>
      <c r="AB17" s="312">
        <v>41</v>
      </c>
      <c r="AC17" s="312">
        <v>16</v>
      </c>
      <c r="AD17" s="622">
        <f t="shared" si="8"/>
        <v>57</v>
      </c>
      <c r="AE17" s="312">
        <v>2</v>
      </c>
      <c r="AF17" s="312">
        <v>1</v>
      </c>
      <c r="AG17" s="622">
        <f t="shared" si="9"/>
        <v>3</v>
      </c>
      <c r="AH17" s="312">
        <v>3</v>
      </c>
      <c r="AI17" s="312">
        <v>0</v>
      </c>
      <c r="AJ17" s="622">
        <f t="shared" si="10"/>
        <v>3</v>
      </c>
      <c r="AK17" s="312">
        <v>9</v>
      </c>
      <c r="AL17" s="312">
        <v>3</v>
      </c>
      <c r="AM17" s="622">
        <f t="shared" si="11"/>
        <v>12</v>
      </c>
      <c r="AN17" s="312">
        <v>15</v>
      </c>
      <c r="AO17" s="312">
        <v>0</v>
      </c>
      <c r="AP17" s="622">
        <f t="shared" si="12"/>
        <v>15</v>
      </c>
      <c r="AQ17" s="312">
        <v>23</v>
      </c>
      <c r="AR17" s="312">
        <v>1</v>
      </c>
      <c r="AS17" s="622">
        <f t="shared" si="13"/>
        <v>24</v>
      </c>
      <c r="AT17" s="312">
        <v>16649</v>
      </c>
      <c r="AU17" s="312">
        <v>6875</v>
      </c>
      <c r="AV17" s="622">
        <f t="shared" si="14"/>
        <v>23524</v>
      </c>
      <c r="AW17" s="312">
        <v>256</v>
      </c>
      <c r="AX17" s="312">
        <v>99</v>
      </c>
      <c r="AY17" s="622">
        <f t="shared" si="15"/>
        <v>355</v>
      </c>
      <c r="AZ17" s="312">
        <v>22</v>
      </c>
      <c r="BA17" s="312">
        <v>8</v>
      </c>
      <c r="BB17" s="622">
        <f t="shared" si="16"/>
        <v>30</v>
      </c>
      <c r="BC17" s="312">
        <v>93</v>
      </c>
      <c r="BD17" s="312">
        <v>89</v>
      </c>
      <c r="BE17" s="622">
        <f t="shared" si="17"/>
        <v>182</v>
      </c>
      <c r="BF17" s="312">
        <v>1751</v>
      </c>
      <c r="BG17" s="312">
        <v>77</v>
      </c>
      <c r="BH17" s="622">
        <f t="shared" si="18"/>
        <v>1828</v>
      </c>
      <c r="BI17" s="312">
        <v>57</v>
      </c>
      <c r="BJ17" s="312">
        <v>2</v>
      </c>
      <c r="BK17" s="622">
        <f t="shared" si="19"/>
        <v>59</v>
      </c>
      <c r="BL17" s="312">
        <v>1</v>
      </c>
      <c r="BM17" s="312">
        <v>0</v>
      </c>
      <c r="BN17" s="622">
        <f t="shared" si="20"/>
        <v>1</v>
      </c>
      <c r="BO17" s="312">
        <v>0</v>
      </c>
      <c r="BP17" s="312">
        <v>0</v>
      </c>
      <c r="BQ17" s="622">
        <f t="shared" si="21"/>
        <v>0</v>
      </c>
      <c r="BR17" s="312">
        <v>1</v>
      </c>
      <c r="BS17" s="312">
        <v>15</v>
      </c>
      <c r="BT17" s="622">
        <f t="shared" si="22"/>
        <v>16</v>
      </c>
      <c r="BU17" s="312">
        <v>1</v>
      </c>
      <c r="BV17" s="312">
        <v>0</v>
      </c>
      <c r="BW17" s="622">
        <f t="shared" si="23"/>
        <v>1</v>
      </c>
      <c r="BX17" s="312">
        <v>6</v>
      </c>
      <c r="BY17" s="312">
        <v>0</v>
      </c>
      <c r="BZ17" s="622">
        <f t="shared" si="24"/>
        <v>6</v>
      </c>
      <c r="CA17" s="312">
        <v>25</v>
      </c>
      <c r="CB17" s="312">
        <v>0</v>
      </c>
      <c r="CC17" s="622">
        <f t="shared" si="25"/>
        <v>25</v>
      </c>
      <c r="CD17" s="312">
        <v>4</v>
      </c>
      <c r="CE17" s="312">
        <v>0</v>
      </c>
      <c r="CF17" s="622">
        <f t="shared" si="26"/>
        <v>4</v>
      </c>
      <c r="CG17" s="312">
        <v>0</v>
      </c>
      <c r="CH17" s="312">
        <v>0</v>
      </c>
      <c r="CI17" s="622">
        <f t="shared" si="27"/>
        <v>0</v>
      </c>
      <c r="CJ17" s="312">
        <v>2</v>
      </c>
      <c r="CK17" s="312">
        <v>0</v>
      </c>
      <c r="CL17" s="622">
        <f t="shared" si="28"/>
        <v>2</v>
      </c>
      <c r="CM17" s="312">
        <v>16</v>
      </c>
      <c r="CN17" s="312">
        <v>11</v>
      </c>
      <c r="CO17" s="622">
        <f t="shared" si="29"/>
        <v>27</v>
      </c>
      <c r="CP17" s="312">
        <v>0</v>
      </c>
      <c r="CQ17" s="312">
        <v>0</v>
      </c>
      <c r="CR17" s="622">
        <f t="shared" si="30"/>
        <v>0</v>
      </c>
      <c r="CS17" s="312">
        <v>0</v>
      </c>
      <c r="CT17" s="312">
        <v>6</v>
      </c>
      <c r="CU17" s="622">
        <f t="shared" si="31"/>
        <v>6</v>
      </c>
      <c r="CV17" s="312">
        <v>0</v>
      </c>
      <c r="CW17" s="312">
        <v>0</v>
      </c>
      <c r="CX17" s="622">
        <f t="shared" si="32"/>
        <v>0</v>
      </c>
      <c r="CY17" s="312">
        <v>1</v>
      </c>
      <c r="CZ17" s="312">
        <v>6</v>
      </c>
      <c r="DA17" s="622">
        <f t="shared" si="33"/>
        <v>7</v>
      </c>
      <c r="DB17" s="312">
        <v>50</v>
      </c>
      <c r="DC17" s="312">
        <v>0</v>
      </c>
      <c r="DD17" s="622">
        <f t="shared" si="34"/>
        <v>50</v>
      </c>
      <c r="DE17" s="312">
        <v>9</v>
      </c>
      <c r="DF17" s="312">
        <v>1</v>
      </c>
      <c r="DG17" s="622">
        <f t="shared" si="35"/>
        <v>10</v>
      </c>
      <c r="DH17" s="312">
        <v>0</v>
      </c>
      <c r="DI17" s="312">
        <v>0</v>
      </c>
      <c r="DJ17" s="622">
        <f t="shared" si="36"/>
        <v>0</v>
      </c>
      <c r="DK17" s="312">
        <v>1</v>
      </c>
      <c r="DL17" s="312">
        <v>1</v>
      </c>
      <c r="DM17" s="622">
        <f t="shared" si="37"/>
        <v>2</v>
      </c>
      <c r="DN17" s="312">
        <v>0</v>
      </c>
      <c r="DO17" s="312">
        <v>0</v>
      </c>
      <c r="DP17" s="622">
        <f t="shared" si="38"/>
        <v>0</v>
      </c>
      <c r="DQ17" s="312">
        <v>0</v>
      </c>
      <c r="DR17" s="312">
        <v>0</v>
      </c>
      <c r="DS17" s="622">
        <f t="shared" si="39"/>
        <v>0</v>
      </c>
      <c r="DT17" s="312">
        <v>3</v>
      </c>
      <c r="DU17" s="312">
        <v>0</v>
      </c>
      <c r="DV17" s="622">
        <f t="shared" si="40"/>
        <v>3</v>
      </c>
      <c r="DW17" s="312">
        <v>14</v>
      </c>
      <c r="DX17" s="312">
        <v>4</v>
      </c>
      <c r="DY17" s="622">
        <f t="shared" si="41"/>
        <v>18</v>
      </c>
      <c r="DZ17" s="312">
        <v>0</v>
      </c>
      <c r="EA17" s="312">
        <v>0</v>
      </c>
      <c r="EB17" s="622">
        <f t="shared" si="42"/>
        <v>0</v>
      </c>
      <c r="EC17" s="312">
        <v>28</v>
      </c>
      <c r="ED17" s="312">
        <v>0</v>
      </c>
      <c r="EE17" s="622">
        <f t="shared" si="43"/>
        <v>28</v>
      </c>
      <c r="EF17" s="312">
        <v>10</v>
      </c>
      <c r="EG17" s="312">
        <v>6</v>
      </c>
      <c r="EH17" s="622">
        <f t="shared" si="44"/>
        <v>16</v>
      </c>
      <c r="EI17" s="312">
        <v>0</v>
      </c>
      <c r="EJ17" s="312">
        <v>2</v>
      </c>
      <c r="EK17" s="622">
        <f t="shared" si="45"/>
        <v>2</v>
      </c>
      <c r="EL17" s="312">
        <v>0</v>
      </c>
      <c r="EM17" s="312">
        <v>0</v>
      </c>
      <c r="EN17" s="622">
        <f t="shared" si="46"/>
        <v>0</v>
      </c>
      <c r="EO17" s="312">
        <v>0</v>
      </c>
      <c r="EP17" s="312">
        <v>0</v>
      </c>
      <c r="EQ17" s="622">
        <f t="shared" si="47"/>
        <v>0</v>
      </c>
      <c r="ER17" s="312">
        <v>1</v>
      </c>
      <c r="ES17" s="312">
        <v>0</v>
      </c>
      <c r="ET17" s="622">
        <f t="shared" si="48"/>
        <v>1</v>
      </c>
      <c r="EU17" s="312">
        <v>0</v>
      </c>
      <c r="EV17" s="312">
        <v>0</v>
      </c>
      <c r="EW17" s="622">
        <f t="shared" si="49"/>
        <v>0</v>
      </c>
      <c r="EX17" s="312">
        <v>0</v>
      </c>
      <c r="EY17" s="312">
        <v>0</v>
      </c>
      <c r="EZ17" s="622">
        <f t="shared" si="50"/>
        <v>0</v>
      </c>
      <c r="FA17" s="312">
        <v>0</v>
      </c>
      <c r="FB17" s="312">
        <v>0</v>
      </c>
      <c r="FC17" s="622">
        <f t="shared" si="51"/>
        <v>0</v>
      </c>
      <c r="FD17" s="312">
        <v>0</v>
      </c>
      <c r="FE17" s="312">
        <v>0</v>
      </c>
      <c r="FF17" s="622">
        <f t="shared" si="52"/>
        <v>0</v>
      </c>
      <c r="FG17" s="312">
        <v>0</v>
      </c>
      <c r="FH17" s="312">
        <v>0</v>
      </c>
      <c r="FI17" s="622">
        <f t="shared" si="53"/>
        <v>0</v>
      </c>
      <c r="FJ17" s="312">
        <v>0</v>
      </c>
      <c r="FK17" s="312">
        <v>0</v>
      </c>
      <c r="FL17" s="622">
        <f t="shared" si="54"/>
        <v>0</v>
      </c>
      <c r="FM17" s="312">
        <v>0</v>
      </c>
      <c r="FN17" s="312">
        <v>0</v>
      </c>
      <c r="FO17" s="622">
        <f t="shared" si="55"/>
        <v>0</v>
      </c>
      <c r="FP17" s="312">
        <v>0</v>
      </c>
      <c r="FQ17" s="312">
        <v>0</v>
      </c>
      <c r="FR17" s="622">
        <f t="shared" si="56"/>
        <v>0</v>
      </c>
      <c r="FS17" s="312">
        <v>0</v>
      </c>
      <c r="FT17" s="312">
        <v>0</v>
      </c>
      <c r="FU17" s="622">
        <f t="shared" si="57"/>
        <v>0</v>
      </c>
      <c r="FV17" s="312">
        <v>0</v>
      </c>
      <c r="FW17" s="312">
        <v>0</v>
      </c>
      <c r="FX17" s="622">
        <f t="shared" si="58"/>
        <v>0</v>
      </c>
      <c r="FY17" s="312">
        <v>0</v>
      </c>
      <c r="FZ17" s="312">
        <v>0</v>
      </c>
      <c r="GA17" s="622">
        <f t="shared" si="59"/>
        <v>0</v>
      </c>
      <c r="GB17" s="312">
        <v>0</v>
      </c>
      <c r="GC17" s="312">
        <v>0</v>
      </c>
      <c r="GD17" s="622">
        <f t="shared" si="60"/>
        <v>0</v>
      </c>
      <c r="GE17" s="312">
        <v>0</v>
      </c>
      <c r="GF17" s="312">
        <v>0</v>
      </c>
      <c r="GG17" s="622">
        <f t="shared" si="61"/>
        <v>0</v>
      </c>
      <c r="GH17" s="312">
        <v>1</v>
      </c>
      <c r="GI17" s="312">
        <v>0</v>
      </c>
      <c r="GJ17" s="622">
        <f t="shared" si="62"/>
        <v>1</v>
      </c>
      <c r="GK17" s="312">
        <v>34</v>
      </c>
      <c r="GL17" s="312">
        <v>20</v>
      </c>
      <c r="GM17" s="622">
        <f t="shared" si="63"/>
        <v>54</v>
      </c>
      <c r="GN17" s="312">
        <v>412</v>
      </c>
      <c r="GO17" s="312">
        <v>1117</v>
      </c>
      <c r="GP17" s="622">
        <f t="shared" si="64"/>
        <v>1529</v>
      </c>
      <c r="GQ17" s="312">
        <v>2</v>
      </c>
      <c r="GR17" s="312">
        <v>0</v>
      </c>
      <c r="GS17" s="622">
        <f t="shared" si="65"/>
        <v>2</v>
      </c>
      <c r="GT17" s="312">
        <v>17</v>
      </c>
      <c r="GU17" s="312">
        <v>4</v>
      </c>
      <c r="GV17" s="622">
        <f t="shared" si="66"/>
        <v>21</v>
      </c>
      <c r="GW17" s="312">
        <v>2</v>
      </c>
      <c r="GX17" s="312">
        <v>2</v>
      </c>
      <c r="GY17" s="622">
        <f t="shared" si="67"/>
        <v>4</v>
      </c>
      <c r="GZ17" s="312">
        <v>4</v>
      </c>
      <c r="HA17" s="312">
        <v>0</v>
      </c>
      <c r="HB17" s="622">
        <f t="shared" si="68"/>
        <v>4</v>
      </c>
      <c r="HC17" s="312">
        <v>2</v>
      </c>
      <c r="HD17" s="312">
        <v>0</v>
      </c>
      <c r="HE17" s="622">
        <f t="shared" si="69"/>
        <v>2</v>
      </c>
      <c r="HF17" s="312">
        <v>6</v>
      </c>
      <c r="HG17" s="312">
        <v>2</v>
      </c>
      <c r="HH17" s="622">
        <f t="shared" si="70"/>
        <v>8</v>
      </c>
      <c r="HI17" s="312">
        <v>19</v>
      </c>
      <c r="HJ17" s="312">
        <v>48</v>
      </c>
      <c r="HK17" s="622">
        <f t="shared" si="71"/>
        <v>67</v>
      </c>
      <c r="HL17" s="312">
        <v>0</v>
      </c>
      <c r="HM17" s="312">
        <v>94</v>
      </c>
      <c r="HN17" s="622">
        <f t="shared" si="72"/>
        <v>94</v>
      </c>
      <c r="HO17" s="312">
        <v>22</v>
      </c>
      <c r="HP17" s="312">
        <v>156</v>
      </c>
      <c r="HQ17" s="622">
        <f t="shared" si="73"/>
        <v>178</v>
      </c>
      <c r="HR17" s="312">
        <v>5</v>
      </c>
      <c r="HS17" s="312">
        <v>19</v>
      </c>
      <c r="HT17" s="622">
        <f t="shared" si="74"/>
        <v>24</v>
      </c>
      <c r="HU17" s="312">
        <v>0</v>
      </c>
      <c r="HV17" s="312">
        <v>0</v>
      </c>
      <c r="HW17" s="622">
        <f t="shared" si="75"/>
        <v>0</v>
      </c>
      <c r="HX17" s="312">
        <v>0</v>
      </c>
      <c r="HY17" s="312">
        <v>0</v>
      </c>
      <c r="HZ17" s="622">
        <f t="shared" si="76"/>
        <v>0</v>
      </c>
      <c r="IA17" s="312">
        <v>0</v>
      </c>
      <c r="IB17" s="312">
        <v>0</v>
      </c>
      <c r="IC17" s="622">
        <f t="shared" si="77"/>
        <v>0</v>
      </c>
      <c r="ID17" s="312">
        <v>98</v>
      </c>
      <c r="IE17" s="312">
        <v>0</v>
      </c>
      <c r="IF17" s="622">
        <f t="shared" si="78"/>
        <v>98</v>
      </c>
      <c r="IG17" s="312">
        <v>0</v>
      </c>
      <c r="IH17" s="312">
        <v>0</v>
      </c>
      <c r="II17" s="622">
        <f t="shared" si="79"/>
        <v>0</v>
      </c>
      <c r="IJ17" s="312">
        <v>166</v>
      </c>
      <c r="IK17" s="312">
        <v>0</v>
      </c>
      <c r="IL17" s="622">
        <f t="shared" si="80"/>
        <v>166</v>
      </c>
      <c r="IM17" s="312">
        <v>0</v>
      </c>
      <c r="IN17" s="312">
        <v>0</v>
      </c>
      <c r="IO17" s="622">
        <f t="shared" si="81"/>
        <v>0</v>
      </c>
      <c r="IP17" s="312">
        <v>0</v>
      </c>
      <c r="IQ17" s="312">
        <v>0</v>
      </c>
      <c r="IR17" s="622">
        <f t="shared" si="82"/>
        <v>0</v>
      </c>
      <c r="IS17" s="312">
        <v>397</v>
      </c>
      <c r="IT17" s="312">
        <v>123</v>
      </c>
      <c r="IU17" s="622">
        <f t="shared" si="83"/>
        <v>520</v>
      </c>
      <c r="IV17" s="312">
        <v>1</v>
      </c>
      <c r="IW17" s="312">
        <v>0</v>
      </c>
      <c r="IX17" s="622">
        <f t="shared" si="84"/>
        <v>1</v>
      </c>
      <c r="IY17" s="312">
        <v>0</v>
      </c>
      <c r="IZ17" s="312">
        <v>0</v>
      </c>
      <c r="JA17" s="622">
        <f t="shared" si="85"/>
        <v>0</v>
      </c>
      <c r="JB17" s="312">
        <v>0</v>
      </c>
      <c r="JC17" s="312">
        <v>0</v>
      </c>
      <c r="JD17" s="622">
        <f t="shared" si="86"/>
        <v>0</v>
      </c>
      <c r="JE17" s="312">
        <v>3964</v>
      </c>
      <c r="JF17" s="312">
        <v>784</v>
      </c>
      <c r="JG17" s="622">
        <f t="shared" si="87"/>
        <v>4748</v>
      </c>
      <c r="JH17" s="312">
        <v>1</v>
      </c>
      <c r="JI17" s="312">
        <v>1</v>
      </c>
      <c r="JJ17" s="622">
        <f t="shared" si="88"/>
        <v>2</v>
      </c>
      <c r="JK17" s="312">
        <v>0</v>
      </c>
      <c r="JL17" s="312">
        <v>0</v>
      </c>
      <c r="JM17" s="622">
        <f t="shared" si="89"/>
        <v>0</v>
      </c>
      <c r="JN17" s="312">
        <v>0</v>
      </c>
      <c r="JO17" s="312">
        <v>0</v>
      </c>
      <c r="JP17" s="622">
        <f t="shared" si="90"/>
        <v>0</v>
      </c>
      <c r="JQ17" s="312">
        <v>0</v>
      </c>
      <c r="JR17" s="312">
        <v>0</v>
      </c>
      <c r="JS17" s="622">
        <f t="shared" si="91"/>
        <v>0</v>
      </c>
      <c r="JT17" s="312">
        <v>0</v>
      </c>
      <c r="JU17" s="312">
        <v>0</v>
      </c>
      <c r="JV17" s="622">
        <f t="shared" si="92"/>
        <v>0</v>
      </c>
      <c r="JW17" s="312">
        <v>0</v>
      </c>
      <c r="JX17" s="312">
        <v>0</v>
      </c>
      <c r="JY17" s="622">
        <f t="shared" si="93"/>
        <v>0</v>
      </c>
      <c r="JZ17" s="312">
        <v>0</v>
      </c>
      <c r="KA17" s="312">
        <v>0</v>
      </c>
      <c r="KB17" s="622">
        <f t="shared" si="94"/>
        <v>0</v>
      </c>
      <c r="KC17" s="312">
        <v>0</v>
      </c>
      <c r="KD17" s="312">
        <v>0</v>
      </c>
      <c r="KE17" s="622">
        <f t="shared" si="95"/>
        <v>0</v>
      </c>
      <c r="KF17" s="312">
        <v>0</v>
      </c>
      <c r="KG17" s="312">
        <v>0</v>
      </c>
      <c r="KH17" s="622">
        <f t="shared" si="96"/>
        <v>0</v>
      </c>
      <c r="KI17" s="312">
        <v>0</v>
      </c>
      <c r="KJ17" s="312">
        <v>0</v>
      </c>
      <c r="KK17" s="622">
        <f t="shared" si="97"/>
        <v>0</v>
      </c>
      <c r="KL17" s="622">
        <v>0</v>
      </c>
      <c r="KM17" s="622">
        <v>0</v>
      </c>
      <c r="KN17" s="622">
        <f t="shared" si="98"/>
        <v>0</v>
      </c>
      <c r="KO17" s="622">
        <v>0</v>
      </c>
      <c r="KP17" s="622">
        <v>0</v>
      </c>
      <c r="KQ17" s="622">
        <f t="shared" si="99"/>
        <v>0</v>
      </c>
      <c r="KR17" s="622">
        <v>0</v>
      </c>
      <c r="KS17" s="622">
        <v>0</v>
      </c>
      <c r="KT17" s="622">
        <f t="shared" si="100"/>
        <v>0</v>
      </c>
      <c r="KU17" s="622">
        <v>0</v>
      </c>
      <c r="KV17" s="622">
        <v>0</v>
      </c>
      <c r="KW17" s="622">
        <f t="shared" si="101"/>
        <v>0</v>
      </c>
      <c r="KX17" s="622">
        <v>0</v>
      </c>
      <c r="KY17" s="622">
        <v>0</v>
      </c>
      <c r="KZ17" s="622">
        <f t="shared" si="102"/>
        <v>0</v>
      </c>
      <c r="LA17" s="622">
        <v>0</v>
      </c>
      <c r="LB17" s="622">
        <v>0</v>
      </c>
      <c r="LC17" s="622">
        <f t="shared" si="103"/>
        <v>0</v>
      </c>
      <c r="LD17" s="622">
        <v>0</v>
      </c>
      <c r="LE17" s="622">
        <v>0</v>
      </c>
      <c r="LF17" s="622">
        <f t="shared" si="104"/>
        <v>0</v>
      </c>
      <c r="LG17" s="622">
        <v>0</v>
      </c>
      <c r="LH17" s="622">
        <v>0</v>
      </c>
      <c r="LI17" s="622">
        <f t="shared" si="105"/>
        <v>0</v>
      </c>
      <c r="LJ17" s="312">
        <v>1</v>
      </c>
      <c r="LK17" s="312">
        <v>1</v>
      </c>
      <c r="LL17" s="689">
        <f t="shared" si="106"/>
        <v>2</v>
      </c>
    </row>
    <row r="18" spans="1:324" x14ac:dyDescent="0.35">
      <c r="A18" s="688">
        <v>4</v>
      </c>
      <c r="B18" s="375" t="s">
        <v>266</v>
      </c>
      <c r="C18" s="431" t="s">
        <v>45</v>
      </c>
      <c r="D18" s="312">
        <v>4420</v>
      </c>
      <c r="E18" s="312">
        <v>3967</v>
      </c>
      <c r="F18" s="622">
        <f t="shared" si="0"/>
        <v>8387</v>
      </c>
      <c r="G18" s="312">
        <v>5</v>
      </c>
      <c r="H18" s="312">
        <v>7343</v>
      </c>
      <c r="I18" s="622">
        <f t="shared" si="1"/>
        <v>7348</v>
      </c>
      <c r="J18" s="312">
        <v>5316</v>
      </c>
      <c r="K18" s="312">
        <v>4695</v>
      </c>
      <c r="L18" s="622">
        <f t="shared" si="2"/>
        <v>10011</v>
      </c>
      <c r="M18" s="312">
        <v>158</v>
      </c>
      <c r="N18" s="312">
        <v>56</v>
      </c>
      <c r="O18" s="622">
        <f t="shared" si="3"/>
        <v>214</v>
      </c>
      <c r="P18" s="312">
        <v>331</v>
      </c>
      <c r="Q18" s="312">
        <v>253</v>
      </c>
      <c r="R18" s="622">
        <f t="shared" si="4"/>
        <v>584</v>
      </c>
      <c r="S18" s="312">
        <v>46</v>
      </c>
      <c r="T18" s="312">
        <v>1</v>
      </c>
      <c r="U18" s="622">
        <f t="shared" si="5"/>
        <v>47</v>
      </c>
      <c r="V18" s="312">
        <v>43</v>
      </c>
      <c r="W18" s="312">
        <v>3</v>
      </c>
      <c r="X18" s="622">
        <f t="shared" si="6"/>
        <v>46</v>
      </c>
      <c r="Y18" s="312">
        <v>87</v>
      </c>
      <c r="Z18" s="312">
        <v>23</v>
      </c>
      <c r="AA18" s="622">
        <f t="shared" si="7"/>
        <v>110</v>
      </c>
      <c r="AB18" s="312">
        <v>24</v>
      </c>
      <c r="AC18" s="312">
        <v>6</v>
      </c>
      <c r="AD18" s="622">
        <f t="shared" si="8"/>
        <v>30</v>
      </c>
      <c r="AE18" s="312">
        <v>2</v>
      </c>
      <c r="AF18" s="312">
        <v>0</v>
      </c>
      <c r="AG18" s="622">
        <f t="shared" si="9"/>
        <v>2</v>
      </c>
      <c r="AH18" s="312">
        <v>1</v>
      </c>
      <c r="AI18" s="312">
        <v>0</v>
      </c>
      <c r="AJ18" s="622">
        <f t="shared" si="10"/>
        <v>1</v>
      </c>
      <c r="AK18" s="312">
        <v>6</v>
      </c>
      <c r="AL18" s="312">
        <v>0</v>
      </c>
      <c r="AM18" s="622">
        <f t="shared" si="11"/>
        <v>6</v>
      </c>
      <c r="AN18" s="312">
        <v>4</v>
      </c>
      <c r="AO18" s="312">
        <v>0</v>
      </c>
      <c r="AP18" s="622">
        <f t="shared" si="12"/>
        <v>4</v>
      </c>
      <c r="AQ18" s="312">
        <v>14</v>
      </c>
      <c r="AR18" s="312">
        <v>0</v>
      </c>
      <c r="AS18" s="622">
        <f t="shared" si="13"/>
        <v>14</v>
      </c>
      <c r="AT18" s="312">
        <v>6815</v>
      </c>
      <c r="AU18" s="312">
        <v>2870</v>
      </c>
      <c r="AV18" s="622">
        <f t="shared" si="14"/>
        <v>9685</v>
      </c>
      <c r="AW18" s="312">
        <v>96</v>
      </c>
      <c r="AX18" s="312">
        <v>37</v>
      </c>
      <c r="AY18" s="622">
        <f t="shared" si="15"/>
        <v>133</v>
      </c>
      <c r="AZ18" s="312">
        <v>6</v>
      </c>
      <c r="BA18" s="312">
        <v>6</v>
      </c>
      <c r="BB18" s="622">
        <f t="shared" si="16"/>
        <v>12</v>
      </c>
      <c r="BC18" s="312">
        <v>76</v>
      </c>
      <c r="BD18" s="312">
        <v>34</v>
      </c>
      <c r="BE18" s="622">
        <f t="shared" si="17"/>
        <v>110</v>
      </c>
      <c r="BF18" s="312">
        <v>729</v>
      </c>
      <c r="BG18" s="312">
        <v>33</v>
      </c>
      <c r="BH18" s="622">
        <f t="shared" si="18"/>
        <v>762</v>
      </c>
      <c r="BI18" s="312">
        <v>25</v>
      </c>
      <c r="BJ18" s="312">
        <v>2</v>
      </c>
      <c r="BK18" s="622">
        <f t="shared" si="19"/>
        <v>27</v>
      </c>
      <c r="BL18" s="312">
        <v>0</v>
      </c>
      <c r="BM18" s="312">
        <v>0</v>
      </c>
      <c r="BN18" s="622">
        <f t="shared" si="20"/>
        <v>0</v>
      </c>
      <c r="BO18" s="312">
        <v>1</v>
      </c>
      <c r="BP18" s="312">
        <v>0</v>
      </c>
      <c r="BQ18" s="622">
        <f t="shared" si="21"/>
        <v>1</v>
      </c>
      <c r="BR18" s="312">
        <v>0</v>
      </c>
      <c r="BS18" s="312">
        <v>0</v>
      </c>
      <c r="BT18" s="622">
        <f t="shared" si="22"/>
        <v>0</v>
      </c>
      <c r="BU18" s="312">
        <v>0</v>
      </c>
      <c r="BV18" s="312">
        <v>0</v>
      </c>
      <c r="BW18" s="622">
        <f t="shared" si="23"/>
        <v>0</v>
      </c>
      <c r="BX18" s="312">
        <v>7</v>
      </c>
      <c r="BY18" s="312">
        <v>0</v>
      </c>
      <c r="BZ18" s="622">
        <f t="shared" si="24"/>
        <v>7</v>
      </c>
      <c r="CA18" s="312">
        <v>14</v>
      </c>
      <c r="CB18" s="312">
        <v>0</v>
      </c>
      <c r="CC18" s="622">
        <f t="shared" si="25"/>
        <v>14</v>
      </c>
      <c r="CD18" s="312">
        <v>5</v>
      </c>
      <c r="CE18" s="312">
        <v>0</v>
      </c>
      <c r="CF18" s="622">
        <f t="shared" si="26"/>
        <v>5</v>
      </c>
      <c r="CG18" s="312">
        <v>0</v>
      </c>
      <c r="CH18" s="312">
        <v>0</v>
      </c>
      <c r="CI18" s="622">
        <f t="shared" si="27"/>
        <v>0</v>
      </c>
      <c r="CJ18" s="312">
        <v>1</v>
      </c>
      <c r="CK18" s="312">
        <v>0</v>
      </c>
      <c r="CL18" s="622">
        <f t="shared" si="28"/>
        <v>1</v>
      </c>
      <c r="CM18" s="312">
        <v>5</v>
      </c>
      <c r="CN18" s="312">
        <v>2</v>
      </c>
      <c r="CO18" s="622">
        <f t="shared" si="29"/>
        <v>7</v>
      </c>
      <c r="CP18" s="312">
        <v>0</v>
      </c>
      <c r="CQ18" s="312">
        <v>0</v>
      </c>
      <c r="CR18" s="622">
        <f t="shared" si="30"/>
        <v>0</v>
      </c>
      <c r="CS18" s="312">
        <v>1</v>
      </c>
      <c r="CT18" s="312">
        <v>3</v>
      </c>
      <c r="CU18" s="622">
        <f t="shared" si="31"/>
        <v>4</v>
      </c>
      <c r="CV18" s="312">
        <v>1</v>
      </c>
      <c r="CW18" s="312">
        <v>0</v>
      </c>
      <c r="CX18" s="622">
        <f t="shared" si="32"/>
        <v>1</v>
      </c>
      <c r="CY18" s="312">
        <v>0</v>
      </c>
      <c r="CZ18" s="312">
        <v>1</v>
      </c>
      <c r="DA18" s="622">
        <f t="shared" si="33"/>
        <v>1</v>
      </c>
      <c r="DB18" s="312">
        <v>9</v>
      </c>
      <c r="DC18" s="312">
        <v>0</v>
      </c>
      <c r="DD18" s="622">
        <f t="shared" si="34"/>
        <v>9</v>
      </c>
      <c r="DE18" s="312">
        <v>8</v>
      </c>
      <c r="DF18" s="312">
        <v>0</v>
      </c>
      <c r="DG18" s="622">
        <f t="shared" si="35"/>
        <v>8</v>
      </c>
      <c r="DH18" s="312">
        <v>0</v>
      </c>
      <c r="DI18" s="312">
        <v>0</v>
      </c>
      <c r="DJ18" s="622">
        <f t="shared" si="36"/>
        <v>0</v>
      </c>
      <c r="DK18" s="312">
        <v>0</v>
      </c>
      <c r="DL18" s="312">
        <v>0</v>
      </c>
      <c r="DM18" s="622">
        <f t="shared" si="37"/>
        <v>0</v>
      </c>
      <c r="DN18" s="312">
        <v>0</v>
      </c>
      <c r="DO18" s="312">
        <v>0</v>
      </c>
      <c r="DP18" s="622">
        <f t="shared" si="38"/>
        <v>0</v>
      </c>
      <c r="DQ18" s="312">
        <v>0</v>
      </c>
      <c r="DR18" s="312">
        <v>0</v>
      </c>
      <c r="DS18" s="622">
        <f t="shared" si="39"/>
        <v>0</v>
      </c>
      <c r="DT18" s="312">
        <v>1</v>
      </c>
      <c r="DU18" s="312">
        <v>0</v>
      </c>
      <c r="DV18" s="622">
        <f t="shared" si="40"/>
        <v>1</v>
      </c>
      <c r="DW18" s="312">
        <v>6</v>
      </c>
      <c r="DX18" s="312">
        <v>1</v>
      </c>
      <c r="DY18" s="622">
        <f t="shared" si="41"/>
        <v>7</v>
      </c>
      <c r="DZ18" s="312">
        <v>0</v>
      </c>
      <c r="EA18" s="312">
        <v>0</v>
      </c>
      <c r="EB18" s="622">
        <f t="shared" si="42"/>
        <v>0</v>
      </c>
      <c r="EC18" s="312">
        <v>13</v>
      </c>
      <c r="ED18" s="312">
        <v>4</v>
      </c>
      <c r="EE18" s="622">
        <f t="shared" si="43"/>
        <v>17</v>
      </c>
      <c r="EF18" s="312">
        <v>2</v>
      </c>
      <c r="EG18" s="312">
        <v>2</v>
      </c>
      <c r="EH18" s="622">
        <f t="shared" si="44"/>
        <v>4</v>
      </c>
      <c r="EI18" s="312">
        <v>1</v>
      </c>
      <c r="EJ18" s="312">
        <v>2</v>
      </c>
      <c r="EK18" s="622">
        <f t="shared" si="45"/>
        <v>3</v>
      </c>
      <c r="EL18" s="312">
        <v>0</v>
      </c>
      <c r="EM18" s="312">
        <v>0</v>
      </c>
      <c r="EN18" s="622">
        <f t="shared" si="46"/>
        <v>0</v>
      </c>
      <c r="EO18" s="312">
        <v>0</v>
      </c>
      <c r="EP18" s="312">
        <v>0</v>
      </c>
      <c r="EQ18" s="622">
        <f t="shared" si="47"/>
        <v>0</v>
      </c>
      <c r="ER18" s="312">
        <v>0</v>
      </c>
      <c r="ES18" s="312">
        <v>0</v>
      </c>
      <c r="ET18" s="622">
        <f t="shared" si="48"/>
        <v>0</v>
      </c>
      <c r="EU18" s="312">
        <v>0</v>
      </c>
      <c r="EV18" s="312">
        <v>0</v>
      </c>
      <c r="EW18" s="622">
        <f t="shared" si="49"/>
        <v>0</v>
      </c>
      <c r="EX18" s="312">
        <v>0</v>
      </c>
      <c r="EY18" s="312">
        <v>0</v>
      </c>
      <c r="EZ18" s="622">
        <f t="shared" si="50"/>
        <v>0</v>
      </c>
      <c r="FA18" s="312">
        <v>0</v>
      </c>
      <c r="FB18" s="312">
        <v>0</v>
      </c>
      <c r="FC18" s="622">
        <f t="shared" si="51"/>
        <v>0</v>
      </c>
      <c r="FD18" s="312">
        <v>0</v>
      </c>
      <c r="FE18" s="312">
        <v>0</v>
      </c>
      <c r="FF18" s="622">
        <f t="shared" si="52"/>
        <v>0</v>
      </c>
      <c r="FG18" s="312">
        <v>0</v>
      </c>
      <c r="FH18" s="312">
        <v>0</v>
      </c>
      <c r="FI18" s="622">
        <f t="shared" si="53"/>
        <v>0</v>
      </c>
      <c r="FJ18" s="312">
        <v>0</v>
      </c>
      <c r="FK18" s="312">
        <v>0</v>
      </c>
      <c r="FL18" s="622">
        <f t="shared" si="54"/>
        <v>0</v>
      </c>
      <c r="FM18" s="312">
        <v>0</v>
      </c>
      <c r="FN18" s="312">
        <v>0</v>
      </c>
      <c r="FO18" s="622">
        <f t="shared" si="55"/>
        <v>0</v>
      </c>
      <c r="FP18" s="312">
        <v>0</v>
      </c>
      <c r="FQ18" s="312">
        <v>0</v>
      </c>
      <c r="FR18" s="622">
        <f t="shared" si="56"/>
        <v>0</v>
      </c>
      <c r="FS18" s="312">
        <v>0</v>
      </c>
      <c r="FT18" s="312">
        <v>0</v>
      </c>
      <c r="FU18" s="622">
        <f t="shared" si="57"/>
        <v>0</v>
      </c>
      <c r="FV18" s="312">
        <v>0</v>
      </c>
      <c r="FW18" s="312">
        <v>0</v>
      </c>
      <c r="FX18" s="622">
        <f t="shared" si="58"/>
        <v>0</v>
      </c>
      <c r="FY18" s="312">
        <v>0</v>
      </c>
      <c r="FZ18" s="312">
        <v>0</v>
      </c>
      <c r="GA18" s="622">
        <f t="shared" si="59"/>
        <v>0</v>
      </c>
      <c r="GB18" s="312">
        <v>0</v>
      </c>
      <c r="GC18" s="312">
        <v>0</v>
      </c>
      <c r="GD18" s="622">
        <f t="shared" si="60"/>
        <v>0</v>
      </c>
      <c r="GE18" s="312">
        <v>0</v>
      </c>
      <c r="GF18" s="312">
        <v>0</v>
      </c>
      <c r="GG18" s="622">
        <f t="shared" si="61"/>
        <v>0</v>
      </c>
      <c r="GH18" s="312">
        <v>0</v>
      </c>
      <c r="GI18" s="312">
        <v>0</v>
      </c>
      <c r="GJ18" s="622">
        <f t="shared" si="62"/>
        <v>0</v>
      </c>
      <c r="GK18" s="312">
        <v>13</v>
      </c>
      <c r="GL18" s="312">
        <v>10</v>
      </c>
      <c r="GM18" s="622">
        <f t="shared" si="63"/>
        <v>23</v>
      </c>
      <c r="GN18" s="312">
        <v>188</v>
      </c>
      <c r="GO18" s="312">
        <v>470</v>
      </c>
      <c r="GP18" s="622">
        <f t="shared" si="64"/>
        <v>658</v>
      </c>
      <c r="GQ18" s="312">
        <v>0</v>
      </c>
      <c r="GR18" s="312">
        <v>0</v>
      </c>
      <c r="GS18" s="622">
        <f t="shared" si="65"/>
        <v>0</v>
      </c>
      <c r="GT18" s="312">
        <v>8</v>
      </c>
      <c r="GU18" s="312">
        <v>0</v>
      </c>
      <c r="GV18" s="622">
        <f t="shared" si="66"/>
        <v>8</v>
      </c>
      <c r="GW18" s="312">
        <v>0</v>
      </c>
      <c r="GX18" s="312">
        <v>0</v>
      </c>
      <c r="GY18" s="622">
        <f t="shared" si="67"/>
        <v>0</v>
      </c>
      <c r="GZ18" s="312">
        <v>2</v>
      </c>
      <c r="HA18" s="312">
        <v>1</v>
      </c>
      <c r="HB18" s="622">
        <f t="shared" si="68"/>
        <v>3</v>
      </c>
      <c r="HC18" s="312">
        <v>2</v>
      </c>
      <c r="HD18" s="312">
        <v>0</v>
      </c>
      <c r="HE18" s="622">
        <f t="shared" si="69"/>
        <v>2</v>
      </c>
      <c r="HF18" s="312">
        <v>4</v>
      </c>
      <c r="HG18" s="312">
        <v>0</v>
      </c>
      <c r="HH18" s="622">
        <f t="shared" si="70"/>
        <v>4</v>
      </c>
      <c r="HI18" s="312">
        <v>9</v>
      </c>
      <c r="HJ18" s="312">
        <v>9</v>
      </c>
      <c r="HK18" s="622">
        <f t="shared" si="71"/>
        <v>18</v>
      </c>
      <c r="HL18" s="312">
        <v>0</v>
      </c>
      <c r="HM18" s="312">
        <v>43</v>
      </c>
      <c r="HN18" s="622">
        <f t="shared" si="72"/>
        <v>43</v>
      </c>
      <c r="HO18" s="312">
        <v>11</v>
      </c>
      <c r="HP18" s="312">
        <v>75</v>
      </c>
      <c r="HQ18" s="622">
        <f t="shared" si="73"/>
        <v>86</v>
      </c>
      <c r="HR18" s="312">
        <v>0</v>
      </c>
      <c r="HS18" s="312">
        <v>7</v>
      </c>
      <c r="HT18" s="622">
        <f t="shared" si="74"/>
        <v>7</v>
      </c>
      <c r="HU18" s="312">
        <v>0</v>
      </c>
      <c r="HV18" s="312">
        <v>0</v>
      </c>
      <c r="HW18" s="622">
        <f t="shared" si="75"/>
        <v>0</v>
      </c>
      <c r="HX18" s="312">
        <v>0</v>
      </c>
      <c r="HY18" s="312">
        <v>0</v>
      </c>
      <c r="HZ18" s="622">
        <f t="shared" si="76"/>
        <v>0</v>
      </c>
      <c r="IA18" s="312">
        <v>0</v>
      </c>
      <c r="IB18" s="312">
        <v>1</v>
      </c>
      <c r="IC18" s="622">
        <f t="shared" si="77"/>
        <v>1</v>
      </c>
      <c r="ID18" s="312">
        <v>20</v>
      </c>
      <c r="IE18" s="312">
        <v>0</v>
      </c>
      <c r="IF18" s="622">
        <f t="shared" si="78"/>
        <v>20</v>
      </c>
      <c r="IG18" s="312">
        <v>0</v>
      </c>
      <c r="IH18" s="312">
        <v>0</v>
      </c>
      <c r="II18" s="622">
        <f t="shared" si="79"/>
        <v>0</v>
      </c>
      <c r="IJ18" s="312">
        <v>75</v>
      </c>
      <c r="IK18" s="312">
        <v>0</v>
      </c>
      <c r="IL18" s="622">
        <f t="shared" si="80"/>
        <v>75</v>
      </c>
      <c r="IM18" s="312">
        <v>0</v>
      </c>
      <c r="IN18" s="312">
        <v>0</v>
      </c>
      <c r="IO18" s="622">
        <f t="shared" si="81"/>
        <v>0</v>
      </c>
      <c r="IP18" s="312">
        <v>0</v>
      </c>
      <c r="IQ18" s="312">
        <v>0</v>
      </c>
      <c r="IR18" s="622">
        <f t="shared" si="82"/>
        <v>0</v>
      </c>
      <c r="IS18" s="312">
        <v>226</v>
      </c>
      <c r="IT18" s="312">
        <v>64</v>
      </c>
      <c r="IU18" s="622">
        <f t="shared" si="83"/>
        <v>290</v>
      </c>
      <c r="IV18" s="312">
        <v>0</v>
      </c>
      <c r="IW18" s="312">
        <v>1</v>
      </c>
      <c r="IX18" s="622">
        <f t="shared" si="84"/>
        <v>1</v>
      </c>
      <c r="IY18" s="312">
        <v>0</v>
      </c>
      <c r="IZ18" s="312">
        <v>0</v>
      </c>
      <c r="JA18" s="622">
        <f t="shared" si="85"/>
        <v>0</v>
      </c>
      <c r="JB18" s="312">
        <v>0</v>
      </c>
      <c r="JC18" s="312">
        <v>0</v>
      </c>
      <c r="JD18" s="622">
        <f t="shared" si="86"/>
        <v>0</v>
      </c>
      <c r="JE18" s="312">
        <v>1597</v>
      </c>
      <c r="JF18" s="312">
        <v>349</v>
      </c>
      <c r="JG18" s="622">
        <f t="shared" si="87"/>
        <v>1946</v>
      </c>
      <c r="JH18" s="312">
        <v>0</v>
      </c>
      <c r="JI18" s="312">
        <v>0</v>
      </c>
      <c r="JJ18" s="622">
        <f t="shared" si="88"/>
        <v>0</v>
      </c>
      <c r="JK18" s="312">
        <v>0</v>
      </c>
      <c r="JL18" s="312">
        <v>0</v>
      </c>
      <c r="JM18" s="622">
        <f t="shared" si="89"/>
        <v>0</v>
      </c>
      <c r="JN18" s="312">
        <v>0</v>
      </c>
      <c r="JO18" s="312">
        <v>0</v>
      </c>
      <c r="JP18" s="622">
        <f t="shared" si="90"/>
        <v>0</v>
      </c>
      <c r="JQ18" s="312">
        <v>0</v>
      </c>
      <c r="JR18" s="312">
        <v>0</v>
      </c>
      <c r="JS18" s="622">
        <f t="shared" si="91"/>
        <v>0</v>
      </c>
      <c r="JT18" s="312">
        <v>0</v>
      </c>
      <c r="JU18" s="312">
        <v>0</v>
      </c>
      <c r="JV18" s="622">
        <f t="shared" si="92"/>
        <v>0</v>
      </c>
      <c r="JW18" s="312">
        <v>0</v>
      </c>
      <c r="JX18" s="312">
        <v>0</v>
      </c>
      <c r="JY18" s="622">
        <f t="shared" si="93"/>
        <v>0</v>
      </c>
      <c r="JZ18" s="312">
        <v>0</v>
      </c>
      <c r="KA18" s="312">
        <v>0</v>
      </c>
      <c r="KB18" s="622">
        <f t="shared" si="94"/>
        <v>0</v>
      </c>
      <c r="KC18" s="312">
        <v>0</v>
      </c>
      <c r="KD18" s="312">
        <v>0</v>
      </c>
      <c r="KE18" s="622">
        <f t="shared" si="95"/>
        <v>0</v>
      </c>
      <c r="KF18" s="312">
        <v>0</v>
      </c>
      <c r="KG18" s="312">
        <v>0</v>
      </c>
      <c r="KH18" s="622">
        <f t="shared" si="96"/>
        <v>0</v>
      </c>
      <c r="KI18" s="312">
        <v>0</v>
      </c>
      <c r="KJ18" s="312">
        <v>0</v>
      </c>
      <c r="KK18" s="622">
        <f t="shared" si="97"/>
        <v>0</v>
      </c>
      <c r="KL18" s="622">
        <v>0</v>
      </c>
      <c r="KM18" s="622">
        <v>0</v>
      </c>
      <c r="KN18" s="622">
        <f t="shared" si="98"/>
        <v>0</v>
      </c>
      <c r="KO18" s="622">
        <v>0</v>
      </c>
      <c r="KP18" s="622">
        <v>0</v>
      </c>
      <c r="KQ18" s="622">
        <f t="shared" si="99"/>
        <v>0</v>
      </c>
      <c r="KR18" s="622">
        <v>0</v>
      </c>
      <c r="KS18" s="622">
        <v>0</v>
      </c>
      <c r="KT18" s="622">
        <f t="shared" si="100"/>
        <v>0</v>
      </c>
      <c r="KU18" s="622">
        <v>0</v>
      </c>
      <c r="KV18" s="622">
        <v>0</v>
      </c>
      <c r="KW18" s="622">
        <f t="shared" si="101"/>
        <v>0</v>
      </c>
      <c r="KX18" s="622">
        <v>0</v>
      </c>
      <c r="KY18" s="622">
        <v>0</v>
      </c>
      <c r="KZ18" s="622">
        <f t="shared" si="102"/>
        <v>0</v>
      </c>
      <c r="LA18" s="622">
        <v>0</v>
      </c>
      <c r="LB18" s="622">
        <v>0</v>
      </c>
      <c r="LC18" s="622">
        <f t="shared" si="103"/>
        <v>0</v>
      </c>
      <c r="LD18" s="622">
        <v>0</v>
      </c>
      <c r="LE18" s="622">
        <v>0</v>
      </c>
      <c r="LF18" s="622">
        <f t="shared" si="104"/>
        <v>0</v>
      </c>
      <c r="LG18" s="622">
        <v>0</v>
      </c>
      <c r="LH18" s="622">
        <v>0</v>
      </c>
      <c r="LI18" s="622">
        <f t="shared" si="105"/>
        <v>0</v>
      </c>
      <c r="LJ18" s="312">
        <v>0</v>
      </c>
      <c r="LK18" s="312">
        <v>0</v>
      </c>
      <c r="LL18" s="689">
        <f t="shared" si="106"/>
        <v>0</v>
      </c>
    </row>
    <row r="19" spans="1:324" x14ac:dyDescent="0.35">
      <c r="A19" s="688">
        <v>4</v>
      </c>
      <c r="B19" s="375" t="s">
        <v>267</v>
      </c>
      <c r="C19" s="431" t="s">
        <v>48</v>
      </c>
      <c r="D19" s="312">
        <v>2660</v>
      </c>
      <c r="E19" s="312">
        <v>2330</v>
      </c>
      <c r="F19" s="622">
        <f t="shared" si="0"/>
        <v>4990</v>
      </c>
      <c r="G19" s="312">
        <v>4</v>
      </c>
      <c r="H19" s="312">
        <v>4492</v>
      </c>
      <c r="I19" s="622">
        <f t="shared" si="1"/>
        <v>4496</v>
      </c>
      <c r="J19" s="312">
        <v>4409</v>
      </c>
      <c r="K19" s="312">
        <v>3821</v>
      </c>
      <c r="L19" s="622">
        <f t="shared" si="2"/>
        <v>8230</v>
      </c>
      <c r="M19" s="312">
        <v>90</v>
      </c>
      <c r="N19" s="312">
        <v>35</v>
      </c>
      <c r="O19" s="622">
        <f t="shared" si="3"/>
        <v>125</v>
      </c>
      <c r="P19" s="312">
        <v>436</v>
      </c>
      <c r="Q19" s="312">
        <v>363</v>
      </c>
      <c r="R19" s="622">
        <f t="shared" si="4"/>
        <v>799</v>
      </c>
      <c r="S19" s="312">
        <v>48</v>
      </c>
      <c r="T19" s="312">
        <v>1</v>
      </c>
      <c r="U19" s="622">
        <f t="shared" si="5"/>
        <v>49</v>
      </c>
      <c r="V19" s="312">
        <v>56</v>
      </c>
      <c r="W19" s="312">
        <v>5</v>
      </c>
      <c r="X19" s="622">
        <f t="shared" si="6"/>
        <v>61</v>
      </c>
      <c r="Y19" s="312">
        <v>60</v>
      </c>
      <c r="Z19" s="312">
        <v>21</v>
      </c>
      <c r="AA19" s="622">
        <f t="shared" si="7"/>
        <v>81</v>
      </c>
      <c r="AB19" s="312">
        <v>17</v>
      </c>
      <c r="AC19" s="312">
        <v>3</v>
      </c>
      <c r="AD19" s="622">
        <f t="shared" si="8"/>
        <v>20</v>
      </c>
      <c r="AE19" s="312">
        <v>4</v>
      </c>
      <c r="AF19" s="312">
        <v>0</v>
      </c>
      <c r="AG19" s="622">
        <f t="shared" si="9"/>
        <v>4</v>
      </c>
      <c r="AH19" s="312">
        <v>1</v>
      </c>
      <c r="AI19" s="312">
        <v>0</v>
      </c>
      <c r="AJ19" s="622">
        <f t="shared" si="10"/>
        <v>1</v>
      </c>
      <c r="AK19" s="312">
        <v>2</v>
      </c>
      <c r="AL19" s="312">
        <v>0</v>
      </c>
      <c r="AM19" s="622">
        <f t="shared" si="11"/>
        <v>2</v>
      </c>
      <c r="AN19" s="312">
        <v>7</v>
      </c>
      <c r="AO19" s="312">
        <v>0</v>
      </c>
      <c r="AP19" s="622">
        <f t="shared" si="12"/>
        <v>7</v>
      </c>
      <c r="AQ19" s="312">
        <v>13</v>
      </c>
      <c r="AR19" s="312">
        <v>0</v>
      </c>
      <c r="AS19" s="622">
        <f t="shared" si="13"/>
        <v>13</v>
      </c>
      <c r="AT19" s="312">
        <v>4716</v>
      </c>
      <c r="AU19" s="312">
        <v>2442</v>
      </c>
      <c r="AV19" s="622">
        <f t="shared" si="14"/>
        <v>7158</v>
      </c>
      <c r="AW19" s="312">
        <v>208</v>
      </c>
      <c r="AX19" s="312">
        <v>121</v>
      </c>
      <c r="AY19" s="622">
        <f t="shared" si="15"/>
        <v>329</v>
      </c>
      <c r="AZ19" s="312">
        <v>15</v>
      </c>
      <c r="BA19" s="312">
        <v>9</v>
      </c>
      <c r="BB19" s="622">
        <f t="shared" si="16"/>
        <v>24</v>
      </c>
      <c r="BC19" s="312">
        <v>37</v>
      </c>
      <c r="BD19" s="312">
        <v>23</v>
      </c>
      <c r="BE19" s="622">
        <f t="shared" si="17"/>
        <v>60</v>
      </c>
      <c r="BF19" s="312">
        <v>477</v>
      </c>
      <c r="BG19" s="312">
        <v>10</v>
      </c>
      <c r="BH19" s="622">
        <f t="shared" si="18"/>
        <v>487</v>
      </c>
      <c r="BI19" s="312">
        <v>10</v>
      </c>
      <c r="BJ19" s="312">
        <v>0</v>
      </c>
      <c r="BK19" s="622">
        <f t="shared" si="19"/>
        <v>10</v>
      </c>
      <c r="BL19" s="312">
        <v>0</v>
      </c>
      <c r="BM19" s="312">
        <v>0</v>
      </c>
      <c r="BN19" s="622">
        <f t="shared" si="20"/>
        <v>0</v>
      </c>
      <c r="BO19" s="312">
        <v>1</v>
      </c>
      <c r="BP19" s="312">
        <v>0</v>
      </c>
      <c r="BQ19" s="622">
        <f t="shared" si="21"/>
        <v>1</v>
      </c>
      <c r="BR19" s="312">
        <v>0</v>
      </c>
      <c r="BS19" s="312">
        <v>29</v>
      </c>
      <c r="BT19" s="622">
        <f t="shared" si="22"/>
        <v>29</v>
      </c>
      <c r="BU19" s="312">
        <v>0</v>
      </c>
      <c r="BV19" s="312">
        <v>0</v>
      </c>
      <c r="BW19" s="622">
        <f t="shared" si="23"/>
        <v>0</v>
      </c>
      <c r="BX19" s="312">
        <v>3</v>
      </c>
      <c r="BY19" s="312">
        <v>0</v>
      </c>
      <c r="BZ19" s="622">
        <f t="shared" si="24"/>
        <v>3</v>
      </c>
      <c r="CA19" s="312">
        <v>4</v>
      </c>
      <c r="CB19" s="312">
        <v>0</v>
      </c>
      <c r="CC19" s="622">
        <f t="shared" si="25"/>
        <v>4</v>
      </c>
      <c r="CD19" s="312">
        <v>0</v>
      </c>
      <c r="CE19" s="312">
        <v>0</v>
      </c>
      <c r="CF19" s="622">
        <f t="shared" si="26"/>
        <v>0</v>
      </c>
      <c r="CG19" s="312">
        <v>1</v>
      </c>
      <c r="CH19" s="312">
        <v>0</v>
      </c>
      <c r="CI19" s="622">
        <f t="shared" si="27"/>
        <v>1</v>
      </c>
      <c r="CJ19" s="312">
        <v>2</v>
      </c>
      <c r="CK19" s="312">
        <v>1</v>
      </c>
      <c r="CL19" s="622">
        <f t="shared" si="28"/>
        <v>3</v>
      </c>
      <c r="CM19" s="312">
        <v>4</v>
      </c>
      <c r="CN19" s="312">
        <v>3</v>
      </c>
      <c r="CO19" s="622">
        <f t="shared" si="29"/>
        <v>7</v>
      </c>
      <c r="CP19" s="312">
        <v>0</v>
      </c>
      <c r="CQ19" s="312">
        <v>0</v>
      </c>
      <c r="CR19" s="622">
        <f t="shared" si="30"/>
        <v>0</v>
      </c>
      <c r="CS19" s="312">
        <v>0</v>
      </c>
      <c r="CT19" s="312">
        <v>0</v>
      </c>
      <c r="CU19" s="622">
        <f t="shared" si="31"/>
        <v>0</v>
      </c>
      <c r="CV19" s="312">
        <v>0</v>
      </c>
      <c r="CW19" s="312">
        <v>0</v>
      </c>
      <c r="CX19" s="622">
        <f t="shared" si="32"/>
        <v>0</v>
      </c>
      <c r="CY19" s="312">
        <v>0</v>
      </c>
      <c r="CZ19" s="312">
        <v>3</v>
      </c>
      <c r="DA19" s="622">
        <f t="shared" si="33"/>
        <v>3</v>
      </c>
      <c r="DB19" s="312">
        <v>11</v>
      </c>
      <c r="DC19" s="312">
        <v>0</v>
      </c>
      <c r="DD19" s="622">
        <f t="shared" si="34"/>
        <v>11</v>
      </c>
      <c r="DE19" s="312">
        <v>3</v>
      </c>
      <c r="DF19" s="312">
        <v>2</v>
      </c>
      <c r="DG19" s="622">
        <f t="shared" si="35"/>
        <v>5</v>
      </c>
      <c r="DH19" s="312">
        <v>0</v>
      </c>
      <c r="DI19" s="312">
        <v>0</v>
      </c>
      <c r="DJ19" s="622">
        <f t="shared" si="36"/>
        <v>0</v>
      </c>
      <c r="DK19" s="312">
        <v>0</v>
      </c>
      <c r="DL19" s="312">
        <v>0</v>
      </c>
      <c r="DM19" s="622">
        <f t="shared" si="37"/>
        <v>0</v>
      </c>
      <c r="DN19" s="312">
        <v>0</v>
      </c>
      <c r="DO19" s="312">
        <v>0</v>
      </c>
      <c r="DP19" s="622">
        <f t="shared" si="38"/>
        <v>0</v>
      </c>
      <c r="DQ19" s="312">
        <v>0</v>
      </c>
      <c r="DR19" s="312">
        <v>2</v>
      </c>
      <c r="DS19" s="622">
        <f t="shared" si="39"/>
        <v>2</v>
      </c>
      <c r="DT19" s="312">
        <v>0</v>
      </c>
      <c r="DU19" s="312">
        <v>0</v>
      </c>
      <c r="DV19" s="622">
        <f t="shared" si="40"/>
        <v>0</v>
      </c>
      <c r="DW19" s="312">
        <v>12</v>
      </c>
      <c r="DX19" s="312">
        <v>1</v>
      </c>
      <c r="DY19" s="622">
        <f t="shared" si="41"/>
        <v>13</v>
      </c>
      <c r="DZ19" s="312">
        <v>7</v>
      </c>
      <c r="EA19" s="312">
        <v>0</v>
      </c>
      <c r="EB19" s="622">
        <f t="shared" si="42"/>
        <v>7</v>
      </c>
      <c r="EC19" s="312">
        <v>17</v>
      </c>
      <c r="ED19" s="312">
        <v>2</v>
      </c>
      <c r="EE19" s="622">
        <f t="shared" si="43"/>
        <v>19</v>
      </c>
      <c r="EF19" s="312">
        <v>0</v>
      </c>
      <c r="EG19" s="312">
        <v>0</v>
      </c>
      <c r="EH19" s="622">
        <f t="shared" si="44"/>
        <v>0</v>
      </c>
      <c r="EI19" s="312">
        <v>0</v>
      </c>
      <c r="EJ19" s="312">
        <v>0</v>
      </c>
      <c r="EK19" s="622">
        <f t="shared" si="45"/>
        <v>0</v>
      </c>
      <c r="EL19" s="312">
        <v>1</v>
      </c>
      <c r="EM19" s="312">
        <v>0</v>
      </c>
      <c r="EN19" s="622">
        <f t="shared" si="46"/>
        <v>1</v>
      </c>
      <c r="EO19" s="312">
        <v>1</v>
      </c>
      <c r="EP19" s="312">
        <v>0</v>
      </c>
      <c r="EQ19" s="622">
        <f t="shared" si="47"/>
        <v>1</v>
      </c>
      <c r="ER19" s="312">
        <v>0</v>
      </c>
      <c r="ES19" s="312">
        <v>0</v>
      </c>
      <c r="ET19" s="622">
        <f t="shared" si="48"/>
        <v>0</v>
      </c>
      <c r="EU19" s="312">
        <v>0</v>
      </c>
      <c r="EV19" s="312">
        <v>0</v>
      </c>
      <c r="EW19" s="622">
        <f t="shared" si="49"/>
        <v>0</v>
      </c>
      <c r="EX19" s="312">
        <v>0</v>
      </c>
      <c r="EY19" s="312">
        <v>0</v>
      </c>
      <c r="EZ19" s="622">
        <f t="shared" si="50"/>
        <v>0</v>
      </c>
      <c r="FA19" s="312">
        <v>0</v>
      </c>
      <c r="FB19" s="312">
        <v>0</v>
      </c>
      <c r="FC19" s="622">
        <f t="shared" si="51"/>
        <v>0</v>
      </c>
      <c r="FD19" s="312">
        <v>0</v>
      </c>
      <c r="FE19" s="312">
        <v>0</v>
      </c>
      <c r="FF19" s="622">
        <f t="shared" si="52"/>
        <v>0</v>
      </c>
      <c r="FG19" s="312">
        <v>0</v>
      </c>
      <c r="FH19" s="312">
        <v>0</v>
      </c>
      <c r="FI19" s="622">
        <f t="shared" si="53"/>
        <v>0</v>
      </c>
      <c r="FJ19" s="312">
        <v>0</v>
      </c>
      <c r="FK19" s="312">
        <v>0</v>
      </c>
      <c r="FL19" s="622">
        <f t="shared" si="54"/>
        <v>0</v>
      </c>
      <c r="FM19" s="312">
        <v>0</v>
      </c>
      <c r="FN19" s="312">
        <v>0</v>
      </c>
      <c r="FO19" s="622">
        <f t="shared" si="55"/>
        <v>0</v>
      </c>
      <c r="FP19" s="312">
        <v>0</v>
      </c>
      <c r="FQ19" s="312">
        <v>0</v>
      </c>
      <c r="FR19" s="622">
        <f t="shared" si="56"/>
        <v>0</v>
      </c>
      <c r="FS19" s="312">
        <v>0</v>
      </c>
      <c r="FT19" s="312">
        <v>0</v>
      </c>
      <c r="FU19" s="622">
        <f t="shared" si="57"/>
        <v>0</v>
      </c>
      <c r="FV19" s="312">
        <v>0</v>
      </c>
      <c r="FW19" s="312">
        <v>0</v>
      </c>
      <c r="FX19" s="622">
        <f t="shared" si="58"/>
        <v>0</v>
      </c>
      <c r="FY19" s="312">
        <v>0</v>
      </c>
      <c r="FZ19" s="312">
        <v>0</v>
      </c>
      <c r="GA19" s="622">
        <f t="shared" si="59"/>
        <v>0</v>
      </c>
      <c r="GB19" s="312">
        <v>0</v>
      </c>
      <c r="GC19" s="312">
        <v>0</v>
      </c>
      <c r="GD19" s="622">
        <f t="shared" si="60"/>
        <v>0</v>
      </c>
      <c r="GE19" s="312">
        <v>0</v>
      </c>
      <c r="GF19" s="312">
        <v>0</v>
      </c>
      <c r="GG19" s="622">
        <f t="shared" si="61"/>
        <v>0</v>
      </c>
      <c r="GH19" s="312">
        <v>0</v>
      </c>
      <c r="GI19" s="312">
        <v>0</v>
      </c>
      <c r="GJ19" s="622">
        <f t="shared" si="62"/>
        <v>0</v>
      </c>
      <c r="GK19" s="312">
        <v>20</v>
      </c>
      <c r="GL19" s="312">
        <v>23</v>
      </c>
      <c r="GM19" s="622">
        <f t="shared" si="63"/>
        <v>43</v>
      </c>
      <c r="GN19" s="312">
        <v>71</v>
      </c>
      <c r="GO19" s="312">
        <v>203</v>
      </c>
      <c r="GP19" s="622">
        <f t="shared" si="64"/>
        <v>274</v>
      </c>
      <c r="GQ19" s="312">
        <v>4</v>
      </c>
      <c r="GR19" s="312">
        <v>0</v>
      </c>
      <c r="GS19" s="622">
        <f t="shared" si="65"/>
        <v>4</v>
      </c>
      <c r="GT19" s="312">
        <v>11</v>
      </c>
      <c r="GU19" s="312">
        <v>2</v>
      </c>
      <c r="GV19" s="622">
        <f t="shared" si="66"/>
        <v>13</v>
      </c>
      <c r="GW19" s="312">
        <v>3</v>
      </c>
      <c r="GX19" s="312">
        <v>2</v>
      </c>
      <c r="GY19" s="622">
        <f t="shared" si="67"/>
        <v>5</v>
      </c>
      <c r="GZ19" s="312">
        <v>3</v>
      </c>
      <c r="HA19" s="312">
        <v>1</v>
      </c>
      <c r="HB19" s="622">
        <f t="shared" si="68"/>
        <v>4</v>
      </c>
      <c r="HC19" s="312">
        <v>0</v>
      </c>
      <c r="HD19" s="312">
        <v>1</v>
      </c>
      <c r="HE19" s="622">
        <f t="shared" si="69"/>
        <v>1</v>
      </c>
      <c r="HF19" s="312">
        <v>7</v>
      </c>
      <c r="HG19" s="312">
        <v>2</v>
      </c>
      <c r="HH19" s="622">
        <f t="shared" si="70"/>
        <v>9</v>
      </c>
      <c r="HI19" s="312">
        <v>27</v>
      </c>
      <c r="HJ19" s="312">
        <v>70</v>
      </c>
      <c r="HK19" s="622">
        <f t="shared" si="71"/>
        <v>97</v>
      </c>
      <c r="HL19" s="312">
        <v>0</v>
      </c>
      <c r="HM19" s="312">
        <v>21</v>
      </c>
      <c r="HN19" s="622">
        <f t="shared" si="72"/>
        <v>21</v>
      </c>
      <c r="HO19" s="312">
        <v>3</v>
      </c>
      <c r="HP19" s="312">
        <v>48</v>
      </c>
      <c r="HQ19" s="622">
        <f t="shared" si="73"/>
        <v>51</v>
      </c>
      <c r="HR19" s="312">
        <v>0</v>
      </c>
      <c r="HS19" s="312">
        <v>9</v>
      </c>
      <c r="HT19" s="622">
        <f t="shared" si="74"/>
        <v>9</v>
      </c>
      <c r="HU19" s="312">
        <v>0</v>
      </c>
      <c r="HV19" s="312">
        <v>1</v>
      </c>
      <c r="HW19" s="622">
        <f t="shared" si="75"/>
        <v>1</v>
      </c>
      <c r="HX19" s="312">
        <v>2</v>
      </c>
      <c r="HY19" s="312">
        <v>0</v>
      </c>
      <c r="HZ19" s="622">
        <f t="shared" si="76"/>
        <v>2</v>
      </c>
      <c r="IA19" s="312">
        <v>0</v>
      </c>
      <c r="IB19" s="312">
        <v>0</v>
      </c>
      <c r="IC19" s="622">
        <f t="shared" si="77"/>
        <v>0</v>
      </c>
      <c r="ID19" s="312">
        <v>15</v>
      </c>
      <c r="IE19" s="312">
        <v>0</v>
      </c>
      <c r="IF19" s="622">
        <f t="shared" si="78"/>
        <v>15</v>
      </c>
      <c r="IG19" s="312">
        <v>0</v>
      </c>
      <c r="IH19" s="312">
        <v>0</v>
      </c>
      <c r="II19" s="622">
        <f t="shared" si="79"/>
        <v>0</v>
      </c>
      <c r="IJ19" s="312">
        <v>42</v>
      </c>
      <c r="IK19" s="312">
        <v>1</v>
      </c>
      <c r="IL19" s="622">
        <f t="shared" si="80"/>
        <v>43</v>
      </c>
      <c r="IM19" s="312">
        <v>0</v>
      </c>
      <c r="IN19" s="312">
        <v>0</v>
      </c>
      <c r="IO19" s="622">
        <f t="shared" si="81"/>
        <v>0</v>
      </c>
      <c r="IP19" s="312">
        <v>0</v>
      </c>
      <c r="IQ19" s="312">
        <v>0</v>
      </c>
      <c r="IR19" s="622">
        <f t="shared" si="82"/>
        <v>0</v>
      </c>
      <c r="IS19" s="312">
        <v>78</v>
      </c>
      <c r="IT19" s="312">
        <v>16</v>
      </c>
      <c r="IU19" s="622">
        <f t="shared" si="83"/>
        <v>94</v>
      </c>
      <c r="IV19" s="312">
        <v>0</v>
      </c>
      <c r="IW19" s="312">
        <v>0</v>
      </c>
      <c r="IX19" s="622">
        <f t="shared" si="84"/>
        <v>0</v>
      </c>
      <c r="IY19" s="312">
        <v>0</v>
      </c>
      <c r="IZ19" s="312">
        <v>0</v>
      </c>
      <c r="JA19" s="622">
        <f t="shared" si="85"/>
        <v>0</v>
      </c>
      <c r="JB19" s="312">
        <v>0</v>
      </c>
      <c r="JC19" s="312">
        <v>0</v>
      </c>
      <c r="JD19" s="622">
        <f t="shared" si="86"/>
        <v>0</v>
      </c>
      <c r="JE19" s="312">
        <v>1059</v>
      </c>
      <c r="JF19" s="312">
        <v>288</v>
      </c>
      <c r="JG19" s="622">
        <f t="shared" si="87"/>
        <v>1347</v>
      </c>
      <c r="JH19" s="312">
        <v>1</v>
      </c>
      <c r="JI19" s="312">
        <v>0</v>
      </c>
      <c r="JJ19" s="622">
        <f t="shared" si="88"/>
        <v>1</v>
      </c>
      <c r="JK19" s="312">
        <v>0</v>
      </c>
      <c r="JL19" s="312">
        <v>1</v>
      </c>
      <c r="JM19" s="622">
        <f t="shared" si="89"/>
        <v>1</v>
      </c>
      <c r="JN19" s="312">
        <v>0</v>
      </c>
      <c r="JO19" s="312">
        <v>0</v>
      </c>
      <c r="JP19" s="622">
        <f t="shared" si="90"/>
        <v>0</v>
      </c>
      <c r="JQ19" s="312">
        <v>0</v>
      </c>
      <c r="JR19" s="312">
        <v>0</v>
      </c>
      <c r="JS19" s="622">
        <f t="shared" si="91"/>
        <v>0</v>
      </c>
      <c r="JT19" s="312">
        <v>0</v>
      </c>
      <c r="JU19" s="312">
        <v>0</v>
      </c>
      <c r="JV19" s="622">
        <f t="shared" si="92"/>
        <v>0</v>
      </c>
      <c r="JW19" s="312">
        <v>0</v>
      </c>
      <c r="JX19" s="312">
        <v>0</v>
      </c>
      <c r="JY19" s="622">
        <f t="shared" si="93"/>
        <v>0</v>
      </c>
      <c r="JZ19" s="312">
        <v>0</v>
      </c>
      <c r="KA19" s="312">
        <v>0</v>
      </c>
      <c r="KB19" s="622">
        <f t="shared" si="94"/>
        <v>0</v>
      </c>
      <c r="KC19" s="312">
        <v>0</v>
      </c>
      <c r="KD19" s="312">
        <v>0</v>
      </c>
      <c r="KE19" s="622">
        <f t="shared" si="95"/>
        <v>0</v>
      </c>
      <c r="KF19" s="312">
        <v>0</v>
      </c>
      <c r="KG19" s="312">
        <v>0</v>
      </c>
      <c r="KH19" s="622">
        <f t="shared" si="96"/>
        <v>0</v>
      </c>
      <c r="KI19" s="312">
        <v>0</v>
      </c>
      <c r="KJ19" s="312">
        <v>0</v>
      </c>
      <c r="KK19" s="622">
        <f t="shared" si="97"/>
        <v>0</v>
      </c>
      <c r="KL19" s="622">
        <v>0</v>
      </c>
      <c r="KM19" s="622">
        <v>0</v>
      </c>
      <c r="KN19" s="622">
        <f t="shared" si="98"/>
        <v>0</v>
      </c>
      <c r="KO19" s="622">
        <v>0</v>
      </c>
      <c r="KP19" s="622">
        <v>0</v>
      </c>
      <c r="KQ19" s="622">
        <f t="shared" si="99"/>
        <v>0</v>
      </c>
      <c r="KR19" s="622">
        <v>0</v>
      </c>
      <c r="KS19" s="622">
        <v>0</v>
      </c>
      <c r="KT19" s="622">
        <f t="shared" si="100"/>
        <v>0</v>
      </c>
      <c r="KU19" s="622">
        <v>0</v>
      </c>
      <c r="KV19" s="622">
        <v>0</v>
      </c>
      <c r="KW19" s="622">
        <f t="shared" si="101"/>
        <v>0</v>
      </c>
      <c r="KX19" s="622">
        <v>0</v>
      </c>
      <c r="KY19" s="622">
        <v>0</v>
      </c>
      <c r="KZ19" s="622">
        <f t="shared" si="102"/>
        <v>0</v>
      </c>
      <c r="LA19" s="622">
        <v>0</v>
      </c>
      <c r="LB19" s="622">
        <v>0</v>
      </c>
      <c r="LC19" s="622">
        <f t="shared" si="103"/>
        <v>0</v>
      </c>
      <c r="LD19" s="622">
        <v>0</v>
      </c>
      <c r="LE19" s="622">
        <v>0</v>
      </c>
      <c r="LF19" s="622">
        <f t="shared" si="104"/>
        <v>0</v>
      </c>
      <c r="LG19" s="622">
        <v>0</v>
      </c>
      <c r="LH19" s="622">
        <v>0</v>
      </c>
      <c r="LI19" s="622">
        <f t="shared" si="105"/>
        <v>0</v>
      </c>
      <c r="LJ19" s="312">
        <v>0</v>
      </c>
      <c r="LK19" s="312">
        <v>0</v>
      </c>
      <c r="LL19" s="689">
        <f t="shared" si="106"/>
        <v>0</v>
      </c>
    </row>
    <row r="20" spans="1:324" x14ac:dyDescent="0.35">
      <c r="A20" s="688">
        <v>4</v>
      </c>
      <c r="B20" s="375" t="s">
        <v>268</v>
      </c>
      <c r="C20" s="431" t="s">
        <v>50</v>
      </c>
      <c r="D20" s="312">
        <v>7528</v>
      </c>
      <c r="E20" s="312">
        <v>6526</v>
      </c>
      <c r="F20" s="622">
        <f t="shared" si="0"/>
        <v>14054</v>
      </c>
      <c r="G20" s="312">
        <v>7</v>
      </c>
      <c r="H20" s="312">
        <v>12696</v>
      </c>
      <c r="I20" s="622">
        <f t="shared" si="1"/>
        <v>12703</v>
      </c>
      <c r="J20" s="312">
        <v>9393</v>
      </c>
      <c r="K20" s="312">
        <v>7795</v>
      </c>
      <c r="L20" s="622">
        <f t="shared" si="2"/>
        <v>17188</v>
      </c>
      <c r="M20" s="312">
        <v>700</v>
      </c>
      <c r="N20" s="312">
        <v>263</v>
      </c>
      <c r="O20" s="622">
        <f t="shared" si="3"/>
        <v>963</v>
      </c>
      <c r="P20" s="312">
        <v>830</v>
      </c>
      <c r="Q20" s="312">
        <v>746</v>
      </c>
      <c r="R20" s="622">
        <f t="shared" si="4"/>
        <v>1576</v>
      </c>
      <c r="S20" s="312">
        <v>135</v>
      </c>
      <c r="T20" s="312">
        <v>10</v>
      </c>
      <c r="U20" s="622">
        <f t="shared" si="5"/>
        <v>145</v>
      </c>
      <c r="V20" s="312">
        <v>111</v>
      </c>
      <c r="W20" s="312">
        <v>14</v>
      </c>
      <c r="X20" s="622">
        <f t="shared" si="6"/>
        <v>125</v>
      </c>
      <c r="Y20" s="312">
        <v>90</v>
      </c>
      <c r="Z20" s="312">
        <v>22</v>
      </c>
      <c r="AA20" s="622">
        <f t="shared" si="7"/>
        <v>112</v>
      </c>
      <c r="AB20" s="312">
        <v>27</v>
      </c>
      <c r="AC20" s="312">
        <v>5</v>
      </c>
      <c r="AD20" s="622">
        <f t="shared" si="8"/>
        <v>32</v>
      </c>
      <c r="AE20" s="312">
        <v>2</v>
      </c>
      <c r="AF20" s="312">
        <v>0</v>
      </c>
      <c r="AG20" s="622">
        <f t="shared" si="9"/>
        <v>2</v>
      </c>
      <c r="AH20" s="312">
        <v>1</v>
      </c>
      <c r="AI20" s="312">
        <v>0</v>
      </c>
      <c r="AJ20" s="622">
        <f t="shared" si="10"/>
        <v>1</v>
      </c>
      <c r="AK20" s="312">
        <v>9</v>
      </c>
      <c r="AL20" s="312">
        <v>0</v>
      </c>
      <c r="AM20" s="622">
        <f t="shared" si="11"/>
        <v>9</v>
      </c>
      <c r="AN20" s="312">
        <v>11</v>
      </c>
      <c r="AO20" s="312">
        <v>0</v>
      </c>
      <c r="AP20" s="622">
        <f t="shared" si="12"/>
        <v>11</v>
      </c>
      <c r="AQ20" s="312">
        <v>12</v>
      </c>
      <c r="AR20" s="312">
        <v>0</v>
      </c>
      <c r="AS20" s="622">
        <f t="shared" si="13"/>
        <v>12</v>
      </c>
      <c r="AT20" s="312">
        <v>11662</v>
      </c>
      <c r="AU20" s="312">
        <v>5672</v>
      </c>
      <c r="AV20" s="622">
        <f t="shared" si="14"/>
        <v>17334</v>
      </c>
      <c r="AW20" s="312">
        <v>352</v>
      </c>
      <c r="AX20" s="312">
        <v>160</v>
      </c>
      <c r="AY20" s="622">
        <f t="shared" si="15"/>
        <v>512</v>
      </c>
      <c r="AZ20" s="312">
        <v>28</v>
      </c>
      <c r="BA20" s="312">
        <v>24</v>
      </c>
      <c r="BB20" s="622">
        <f t="shared" si="16"/>
        <v>52</v>
      </c>
      <c r="BC20" s="312">
        <v>116</v>
      </c>
      <c r="BD20" s="312">
        <v>68</v>
      </c>
      <c r="BE20" s="622">
        <f t="shared" si="17"/>
        <v>184</v>
      </c>
      <c r="BF20" s="312">
        <v>1001</v>
      </c>
      <c r="BG20" s="312">
        <v>38</v>
      </c>
      <c r="BH20" s="622">
        <f t="shared" si="18"/>
        <v>1039</v>
      </c>
      <c r="BI20" s="312">
        <v>35</v>
      </c>
      <c r="BJ20" s="312">
        <v>3</v>
      </c>
      <c r="BK20" s="622">
        <f t="shared" si="19"/>
        <v>38</v>
      </c>
      <c r="BL20" s="312">
        <v>1</v>
      </c>
      <c r="BM20" s="312">
        <v>0</v>
      </c>
      <c r="BN20" s="622">
        <f t="shared" si="20"/>
        <v>1</v>
      </c>
      <c r="BO20" s="312">
        <v>2</v>
      </c>
      <c r="BP20" s="312">
        <v>0</v>
      </c>
      <c r="BQ20" s="622">
        <f t="shared" si="21"/>
        <v>2</v>
      </c>
      <c r="BR20" s="312">
        <v>1</v>
      </c>
      <c r="BS20" s="312">
        <v>23</v>
      </c>
      <c r="BT20" s="622">
        <f t="shared" si="22"/>
        <v>24</v>
      </c>
      <c r="BU20" s="312">
        <v>1</v>
      </c>
      <c r="BV20" s="312">
        <v>0</v>
      </c>
      <c r="BW20" s="622">
        <f t="shared" si="23"/>
        <v>1</v>
      </c>
      <c r="BX20" s="312">
        <v>4</v>
      </c>
      <c r="BY20" s="312">
        <v>0</v>
      </c>
      <c r="BZ20" s="622">
        <f t="shared" si="24"/>
        <v>4</v>
      </c>
      <c r="CA20" s="312">
        <v>13</v>
      </c>
      <c r="CB20" s="312">
        <v>0</v>
      </c>
      <c r="CC20" s="622">
        <f t="shared" si="25"/>
        <v>13</v>
      </c>
      <c r="CD20" s="312">
        <v>4</v>
      </c>
      <c r="CE20" s="312">
        <v>0</v>
      </c>
      <c r="CF20" s="622">
        <f t="shared" si="26"/>
        <v>4</v>
      </c>
      <c r="CG20" s="312">
        <v>0</v>
      </c>
      <c r="CH20" s="312">
        <v>0</v>
      </c>
      <c r="CI20" s="622">
        <f t="shared" si="27"/>
        <v>0</v>
      </c>
      <c r="CJ20" s="312">
        <v>6</v>
      </c>
      <c r="CK20" s="312">
        <v>0</v>
      </c>
      <c r="CL20" s="622">
        <f t="shared" si="28"/>
        <v>6</v>
      </c>
      <c r="CM20" s="312">
        <v>7</v>
      </c>
      <c r="CN20" s="312">
        <v>5</v>
      </c>
      <c r="CO20" s="622">
        <f t="shared" si="29"/>
        <v>12</v>
      </c>
      <c r="CP20" s="312">
        <v>0</v>
      </c>
      <c r="CQ20" s="312">
        <v>0</v>
      </c>
      <c r="CR20" s="622">
        <f t="shared" si="30"/>
        <v>0</v>
      </c>
      <c r="CS20" s="312">
        <v>1</v>
      </c>
      <c r="CT20" s="312">
        <v>4</v>
      </c>
      <c r="CU20" s="622">
        <f t="shared" si="31"/>
        <v>5</v>
      </c>
      <c r="CV20" s="312">
        <v>0</v>
      </c>
      <c r="CW20" s="312">
        <v>0</v>
      </c>
      <c r="CX20" s="622">
        <f t="shared" si="32"/>
        <v>0</v>
      </c>
      <c r="CY20" s="312">
        <v>0</v>
      </c>
      <c r="CZ20" s="312">
        <v>5</v>
      </c>
      <c r="DA20" s="622">
        <f t="shared" si="33"/>
        <v>5</v>
      </c>
      <c r="DB20" s="312">
        <v>18</v>
      </c>
      <c r="DC20" s="312">
        <v>0</v>
      </c>
      <c r="DD20" s="622">
        <f t="shared" si="34"/>
        <v>18</v>
      </c>
      <c r="DE20" s="312">
        <v>9</v>
      </c>
      <c r="DF20" s="312">
        <v>1</v>
      </c>
      <c r="DG20" s="622">
        <f t="shared" si="35"/>
        <v>10</v>
      </c>
      <c r="DH20" s="312">
        <v>0</v>
      </c>
      <c r="DI20" s="312">
        <v>0</v>
      </c>
      <c r="DJ20" s="622">
        <f t="shared" si="36"/>
        <v>0</v>
      </c>
      <c r="DK20" s="312">
        <v>0</v>
      </c>
      <c r="DL20" s="312">
        <v>0</v>
      </c>
      <c r="DM20" s="622">
        <f t="shared" si="37"/>
        <v>0</v>
      </c>
      <c r="DN20" s="312">
        <v>0</v>
      </c>
      <c r="DO20" s="312">
        <v>1</v>
      </c>
      <c r="DP20" s="622">
        <f t="shared" si="38"/>
        <v>1</v>
      </c>
      <c r="DQ20" s="312">
        <v>0</v>
      </c>
      <c r="DR20" s="312">
        <v>0</v>
      </c>
      <c r="DS20" s="622">
        <f t="shared" si="39"/>
        <v>0</v>
      </c>
      <c r="DT20" s="312">
        <v>1</v>
      </c>
      <c r="DU20" s="312">
        <v>0</v>
      </c>
      <c r="DV20" s="622">
        <f t="shared" si="40"/>
        <v>1</v>
      </c>
      <c r="DW20" s="312">
        <v>16</v>
      </c>
      <c r="DX20" s="312">
        <v>3</v>
      </c>
      <c r="DY20" s="622">
        <f t="shared" si="41"/>
        <v>19</v>
      </c>
      <c r="DZ20" s="312">
        <v>0</v>
      </c>
      <c r="EA20" s="312">
        <v>0</v>
      </c>
      <c r="EB20" s="622">
        <f t="shared" si="42"/>
        <v>0</v>
      </c>
      <c r="EC20" s="312">
        <v>31</v>
      </c>
      <c r="ED20" s="312">
        <v>1</v>
      </c>
      <c r="EE20" s="622">
        <f t="shared" si="43"/>
        <v>32</v>
      </c>
      <c r="EF20" s="312">
        <v>3</v>
      </c>
      <c r="EG20" s="312">
        <v>1</v>
      </c>
      <c r="EH20" s="622">
        <f t="shared" si="44"/>
        <v>4</v>
      </c>
      <c r="EI20" s="312">
        <v>1</v>
      </c>
      <c r="EJ20" s="312">
        <v>1</v>
      </c>
      <c r="EK20" s="622">
        <f t="shared" si="45"/>
        <v>2</v>
      </c>
      <c r="EL20" s="312">
        <v>0</v>
      </c>
      <c r="EM20" s="312">
        <v>0</v>
      </c>
      <c r="EN20" s="622">
        <f t="shared" si="46"/>
        <v>0</v>
      </c>
      <c r="EO20" s="312">
        <v>0</v>
      </c>
      <c r="EP20" s="312">
        <v>0</v>
      </c>
      <c r="EQ20" s="622">
        <f t="shared" si="47"/>
        <v>0</v>
      </c>
      <c r="ER20" s="312">
        <v>0</v>
      </c>
      <c r="ES20" s="312">
        <v>0</v>
      </c>
      <c r="ET20" s="622">
        <f t="shared" si="48"/>
        <v>0</v>
      </c>
      <c r="EU20" s="312">
        <v>0</v>
      </c>
      <c r="EV20" s="312">
        <v>0</v>
      </c>
      <c r="EW20" s="622">
        <f t="shared" si="49"/>
        <v>0</v>
      </c>
      <c r="EX20" s="312">
        <v>0</v>
      </c>
      <c r="EY20" s="312">
        <v>0</v>
      </c>
      <c r="EZ20" s="622">
        <f t="shared" si="50"/>
        <v>0</v>
      </c>
      <c r="FA20" s="312">
        <v>0</v>
      </c>
      <c r="FB20" s="312">
        <v>0</v>
      </c>
      <c r="FC20" s="622">
        <f t="shared" si="51"/>
        <v>0</v>
      </c>
      <c r="FD20" s="312">
        <v>1</v>
      </c>
      <c r="FE20" s="312">
        <v>0</v>
      </c>
      <c r="FF20" s="622">
        <f t="shared" si="52"/>
        <v>1</v>
      </c>
      <c r="FG20" s="312">
        <v>0</v>
      </c>
      <c r="FH20" s="312">
        <v>0</v>
      </c>
      <c r="FI20" s="622">
        <f t="shared" si="53"/>
        <v>0</v>
      </c>
      <c r="FJ20" s="312">
        <v>0</v>
      </c>
      <c r="FK20" s="312">
        <v>0</v>
      </c>
      <c r="FL20" s="622">
        <f t="shared" si="54"/>
        <v>0</v>
      </c>
      <c r="FM20" s="312">
        <v>0</v>
      </c>
      <c r="FN20" s="312">
        <v>0</v>
      </c>
      <c r="FO20" s="622">
        <f t="shared" si="55"/>
        <v>0</v>
      </c>
      <c r="FP20" s="312">
        <v>0</v>
      </c>
      <c r="FQ20" s="312">
        <v>0</v>
      </c>
      <c r="FR20" s="622">
        <f t="shared" si="56"/>
        <v>0</v>
      </c>
      <c r="FS20" s="312">
        <v>0</v>
      </c>
      <c r="FT20" s="312">
        <v>0</v>
      </c>
      <c r="FU20" s="622">
        <f t="shared" si="57"/>
        <v>0</v>
      </c>
      <c r="FV20" s="312">
        <v>0</v>
      </c>
      <c r="FW20" s="312">
        <v>0</v>
      </c>
      <c r="FX20" s="622">
        <f t="shared" si="58"/>
        <v>0</v>
      </c>
      <c r="FY20" s="312">
        <v>0</v>
      </c>
      <c r="FZ20" s="312">
        <v>0</v>
      </c>
      <c r="GA20" s="622">
        <f t="shared" si="59"/>
        <v>0</v>
      </c>
      <c r="GB20" s="312">
        <v>0</v>
      </c>
      <c r="GC20" s="312">
        <v>0</v>
      </c>
      <c r="GD20" s="622">
        <f t="shared" si="60"/>
        <v>0</v>
      </c>
      <c r="GE20" s="312">
        <v>0</v>
      </c>
      <c r="GF20" s="312">
        <v>0</v>
      </c>
      <c r="GG20" s="622">
        <f t="shared" si="61"/>
        <v>0</v>
      </c>
      <c r="GH20" s="312">
        <v>1</v>
      </c>
      <c r="GI20" s="312">
        <v>0</v>
      </c>
      <c r="GJ20" s="622">
        <f t="shared" si="62"/>
        <v>1</v>
      </c>
      <c r="GK20" s="312">
        <v>32</v>
      </c>
      <c r="GL20" s="312">
        <v>36</v>
      </c>
      <c r="GM20" s="622">
        <f t="shared" si="63"/>
        <v>68</v>
      </c>
      <c r="GN20" s="312">
        <v>198</v>
      </c>
      <c r="GO20" s="312">
        <v>612</v>
      </c>
      <c r="GP20" s="622">
        <f t="shared" si="64"/>
        <v>810</v>
      </c>
      <c r="GQ20" s="312">
        <v>3</v>
      </c>
      <c r="GR20" s="312">
        <v>0</v>
      </c>
      <c r="GS20" s="622">
        <f t="shared" si="65"/>
        <v>3</v>
      </c>
      <c r="GT20" s="312">
        <v>11</v>
      </c>
      <c r="GU20" s="312">
        <v>0</v>
      </c>
      <c r="GV20" s="622">
        <f t="shared" si="66"/>
        <v>11</v>
      </c>
      <c r="GW20" s="312">
        <v>2</v>
      </c>
      <c r="GX20" s="312">
        <v>0</v>
      </c>
      <c r="GY20" s="622">
        <f t="shared" si="67"/>
        <v>2</v>
      </c>
      <c r="GZ20" s="312">
        <v>3</v>
      </c>
      <c r="HA20" s="312">
        <v>1</v>
      </c>
      <c r="HB20" s="622">
        <f t="shared" si="68"/>
        <v>4</v>
      </c>
      <c r="HC20" s="312">
        <v>3</v>
      </c>
      <c r="HD20" s="312">
        <v>0</v>
      </c>
      <c r="HE20" s="622">
        <f t="shared" si="69"/>
        <v>3</v>
      </c>
      <c r="HF20" s="312">
        <v>5</v>
      </c>
      <c r="HG20" s="312">
        <v>1</v>
      </c>
      <c r="HH20" s="622">
        <f t="shared" si="70"/>
        <v>6</v>
      </c>
      <c r="HI20" s="312">
        <v>23</v>
      </c>
      <c r="HJ20" s="312">
        <v>77</v>
      </c>
      <c r="HK20" s="622">
        <f t="shared" si="71"/>
        <v>100</v>
      </c>
      <c r="HL20" s="312">
        <v>0</v>
      </c>
      <c r="HM20" s="312">
        <v>66</v>
      </c>
      <c r="HN20" s="622">
        <f t="shared" si="72"/>
        <v>66</v>
      </c>
      <c r="HO20" s="312">
        <v>21</v>
      </c>
      <c r="HP20" s="312">
        <v>120</v>
      </c>
      <c r="HQ20" s="622">
        <f t="shared" si="73"/>
        <v>141</v>
      </c>
      <c r="HR20" s="312">
        <v>3</v>
      </c>
      <c r="HS20" s="312">
        <v>7</v>
      </c>
      <c r="HT20" s="622">
        <f t="shared" si="74"/>
        <v>10</v>
      </c>
      <c r="HU20" s="312">
        <v>0</v>
      </c>
      <c r="HV20" s="312">
        <v>2</v>
      </c>
      <c r="HW20" s="622">
        <f t="shared" si="75"/>
        <v>2</v>
      </c>
      <c r="HX20" s="312">
        <v>0</v>
      </c>
      <c r="HY20" s="312">
        <v>0</v>
      </c>
      <c r="HZ20" s="622">
        <f t="shared" si="76"/>
        <v>0</v>
      </c>
      <c r="IA20" s="312">
        <v>0</v>
      </c>
      <c r="IB20" s="312">
        <v>1</v>
      </c>
      <c r="IC20" s="622">
        <f t="shared" si="77"/>
        <v>1</v>
      </c>
      <c r="ID20" s="312">
        <v>76</v>
      </c>
      <c r="IE20" s="312">
        <v>1</v>
      </c>
      <c r="IF20" s="622">
        <f t="shared" si="78"/>
        <v>77</v>
      </c>
      <c r="IG20" s="312">
        <v>1</v>
      </c>
      <c r="IH20" s="312">
        <v>1</v>
      </c>
      <c r="II20" s="622">
        <f t="shared" si="79"/>
        <v>2</v>
      </c>
      <c r="IJ20" s="312">
        <v>108</v>
      </c>
      <c r="IK20" s="312">
        <v>0</v>
      </c>
      <c r="IL20" s="622">
        <f t="shared" si="80"/>
        <v>108</v>
      </c>
      <c r="IM20" s="312">
        <v>0</v>
      </c>
      <c r="IN20" s="312">
        <v>0</v>
      </c>
      <c r="IO20" s="622">
        <f t="shared" si="81"/>
        <v>0</v>
      </c>
      <c r="IP20" s="312">
        <v>0</v>
      </c>
      <c r="IQ20" s="312">
        <v>0</v>
      </c>
      <c r="IR20" s="622">
        <f t="shared" si="82"/>
        <v>0</v>
      </c>
      <c r="IS20" s="312">
        <v>207</v>
      </c>
      <c r="IT20" s="312">
        <v>57</v>
      </c>
      <c r="IU20" s="622">
        <f t="shared" si="83"/>
        <v>264</v>
      </c>
      <c r="IV20" s="312">
        <v>1</v>
      </c>
      <c r="IW20" s="312">
        <v>0</v>
      </c>
      <c r="IX20" s="622">
        <f t="shared" si="84"/>
        <v>1</v>
      </c>
      <c r="IY20" s="312">
        <v>0</v>
      </c>
      <c r="IZ20" s="312">
        <v>0</v>
      </c>
      <c r="JA20" s="622">
        <f t="shared" si="85"/>
        <v>0</v>
      </c>
      <c r="JB20" s="312">
        <v>0</v>
      </c>
      <c r="JC20" s="312">
        <v>0</v>
      </c>
      <c r="JD20" s="622">
        <f t="shared" si="86"/>
        <v>0</v>
      </c>
      <c r="JE20" s="312">
        <v>3178</v>
      </c>
      <c r="JF20" s="312">
        <v>715</v>
      </c>
      <c r="JG20" s="622">
        <f t="shared" si="87"/>
        <v>3893</v>
      </c>
      <c r="JH20" s="312">
        <v>0</v>
      </c>
      <c r="JI20" s="312">
        <v>2</v>
      </c>
      <c r="JJ20" s="622">
        <f t="shared" si="88"/>
        <v>2</v>
      </c>
      <c r="JK20" s="312">
        <v>0</v>
      </c>
      <c r="JL20" s="312">
        <v>0</v>
      </c>
      <c r="JM20" s="622">
        <f t="shared" si="89"/>
        <v>0</v>
      </c>
      <c r="JN20" s="312">
        <v>0</v>
      </c>
      <c r="JO20" s="312">
        <v>0</v>
      </c>
      <c r="JP20" s="622">
        <f t="shared" si="90"/>
        <v>0</v>
      </c>
      <c r="JQ20" s="312">
        <v>0</v>
      </c>
      <c r="JR20" s="312">
        <v>0</v>
      </c>
      <c r="JS20" s="622">
        <f t="shared" si="91"/>
        <v>0</v>
      </c>
      <c r="JT20" s="312">
        <v>0</v>
      </c>
      <c r="JU20" s="312">
        <v>0</v>
      </c>
      <c r="JV20" s="622">
        <f t="shared" si="92"/>
        <v>0</v>
      </c>
      <c r="JW20" s="312">
        <v>0</v>
      </c>
      <c r="JX20" s="312">
        <v>0</v>
      </c>
      <c r="JY20" s="622">
        <f t="shared" si="93"/>
        <v>0</v>
      </c>
      <c r="JZ20" s="312">
        <v>0</v>
      </c>
      <c r="KA20" s="312">
        <v>0</v>
      </c>
      <c r="KB20" s="622">
        <f t="shared" si="94"/>
        <v>0</v>
      </c>
      <c r="KC20" s="312">
        <v>0</v>
      </c>
      <c r="KD20" s="312">
        <v>0</v>
      </c>
      <c r="KE20" s="622">
        <f t="shared" si="95"/>
        <v>0</v>
      </c>
      <c r="KF20" s="312">
        <v>2</v>
      </c>
      <c r="KG20" s="312">
        <v>0</v>
      </c>
      <c r="KH20" s="622">
        <f t="shared" si="96"/>
        <v>2</v>
      </c>
      <c r="KI20" s="312">
        <v>0</v>
      </c>
      <c r="KJ20" s="312">
        <v>0</v>
      </c>
      <c r="KK20" s="622">
        <f t="shared" si="97"/>
        <v>0</v>
      </c>
      <c r="KL20" s="622">
        <v>0</v>
      </c>
      <c r="KM20" s="622">
        <v>0</v>
      </c>
      <c r="KN20" s="622">
        <f t="shared" si="98"/>
        <v>0</v>
      </c>
      <c r="KO20" s="622">
        <v>0</v>
      </c>
      <c r="KP20" s="622">
        <v>0</v>
      </c>
      <c r="KQ20" s="622">
        <f t="shared" si="99"/>
        <v>0</v>
      </c>
      <c r="KR20" s="622">
        <v>0</v>
      </c>
      <c r="KS20" s="622">
        <v>0</v>
      </c>
      <c r="KT20" s="622">
        <f t="shared" si="100"/>
        <v>0</v>
      </c>
      <c r="KU20" s="622">
        <v>0</v>
      </c>
      <c r="KV20" s="622">
        <v>0</v>
      </c>
      <c r="KW20" s="622">
        <f t="shared" si="101"/>
        <v>0</v>
      </c>
      <c r="KX20" s="622">
        <v>0</v>
      </c>
      <c r="KY20" s="622">
        <v>0</v>
      </c>
      <c r="KZ20" s="622">
        <f t="shared" si="102"/>
        <v>0</v>
      </c>
      <c r="LA20" s="622">
        <v>0</v>
      </c>
      <c r="LB20" s="622">
        <v>0</v>
      </c>
      <c r="LC20" s="622">
        <f t="shared" si="103"/>
        <v>0</v>
      </c>
      <c r="LD20" s="622">
        <v>0</v>
      </c>
      <c r="LE20" s="622">
        <v>0</v>
      </c>
      <c r="LF20" s="622">
        <f t="shared" si="104"/>
        <v>0</v>
      </c>
      <c r="LG20" s="622">
        <v>0</v>
      </c>
      <c r="LH20" s="622">
        <v>0</v>
      </c>
      <c r="LI20" s="622">
        <f t="shared" si="105"/>
        <v>0</v>
      </c>
      <c r="LJ20" s="312">
        <v>1</v>
      </c>
      <c r="LK20" s="312">
        <v>0</v>
      </c>
      <c r="LL20" s="689">
        <f t="shared" si="106"/>
        <v>1</v>
      </c>
    </row>
    <row r="21" spans="1:324" x14ac:dyDescent="0.35">
      <c r="A21" s="688">
        <v>4</v>
      </c>
      <c r="B21" s="375" t="s">
        <v>269</v>
      </c>
      <c r="C21" s="431" t="s">
        <v>52</v>
      </c>
      <c r="D21" s="312">
        <v>2604</v>
      </c>
      <c r="E21" s="312">
        <v>2355</v>
      </c>
      <c r="F21" s="622">
        <f t="shared" si="0"/>
        <v>4959</v>
      </c>
      <c r="G21" s="312">
        <v>1</v>
      </c>
      <c r="H21" s="312">
        <v>4640</v>
      </c>
      <c r="I21" s="622">
        <f t="shared" si="1"/>
        <v>4641</v>
      </c>
      <c r="J21" s="312">
        <v>3214</v>
      </c>
      <c r="K21" s="312">
        <v>2715</v>
      </c>
      <c r="L21" s="622">
        <f t="shared" si="2"/>
        <v>5929</v>
      </c>
      <c r="M21" s="312">
        <v>79</v>
      </c>
      <c r="N21" s="312">
        <v>21</v>
      </c>
      <c r="O21" s="622">
        <f t="shared" si="3"/>
        <v>100</v>
      </c>
      <c r="P21" s="312">
        <v>157</v>
      </c>
      <c r="Q21" s="312">
        <v>136</v>
      </c>
      <c r="R21" s="622">
        <f t="shared" si="4"/>
        <v>293</v>
      </c>
      <c r="S21" s="312">
        <v>16</v>
      </c>
      <c r="T21" s="312">
        <v>2</v>
      </c>
      <c r="U21" s="622">
        <f t="shared" si="5"/>
        <v>18</v>
      </c>
      <c r="V21" s="312">
        <v>30</v>
      </c>
      <c r="W21" s="312">
        <v>3</v>
      </c>
      <c r="X21" s="622">
        <f t="shared" si="6"/>
        <v>33</v>
      </c>
      <c r="Y21" s="312">
        <v>91</v>
      </c>
      <c r="Z21" s="312">
        <v>14</v>
      </c>
      <c r="AA21" s="622">
        <f t="shared" si="7"/>
        <v>105</v>
      </c>
      <c r="AB21" s="312">
        <v>14</v>
      </c>
      <c r="AC21" s="312">
        <v>4</v>
      </c>
      <c r="AD21" s="622">
        <f t="shared" si="8"/>
        <v>18</v>
      </c>
      <c r="AE21" s="312">
        <v>2</v>
      </c>
      <c r="AF21" s="312">
        <v>0</v>
      </c>
      <c r="AG21" s="622">
        <f t="shared" si="9"/>
        <v>2</v>
      </c>
      <c r="AH21" s="312">
        <v>1</v>
      </c>
      <c r="AI21" s="312">
        <v>0</v>
      </c>
      <c r="AJ21" s="622">
        <f t="shared" si="10"/>
        <v>1</v>
      </c>
      <c r="AK21" s="312">
        <v>2</v>
      </c>
      <c r="AL21" s="312">
        <v>0</v>
      </c>
      <c r="AM21" s="622">
        <f t="shared" si="11"/>
        <v>2</v>
      </c>
      <c r="AN21" s="312">
        <v>4</v>
      </c>
      <c r="AO21" s="312">
        <v>0</v>
      </c>
      <c r="AP21" s="622">
        <f t="shared" si="12"/>
        <v>4</v>
      </c>
      <c r="AQ21" s="312">
        <v>8</v>
      </c>
      <c r="AR21" s="312">
        <v>0</v>
      </c>
      <c r="AS21" s="622">
        <f t="shared" si="13"/>
        <v>8</v>
      </c>
      <c r="AT21" s="312">
        <v>4187</v>
      </c>
      <c r="AU21" s="312">
        <v>1872</v>
      </c>
      <c r="AV21" s="622">
        <f t="shared" si="14"/>
        <v>6059</v>
      </c>
      <c r="AW21" s="312">
        <v>67</v>
      </c>
      <c r="AX21" s="312">
        <v>33</v>
      </c>
      <c r="AY21" s="622">
        <f t="shared" si="15"/>
        <v>100</v>
      </c>
      <c r="AZ21" s="312">
        <v>0</v>
      </c>
      <c r="BA21" s="312">
        <v>5</v>
      </c>
      <c r="BB21" s="622">
        <f t="shared" si="16"/>
        <v>5</v>
      </c>
      <c r="BC21" s="312">
        <v>47</v>
      </c>
      <c r="BD21" s="312">
        <v>19</v>
      </c>
      <c r="BE21" s="622">
        <f t="shared" si="17"/>
        <v>66</v>
      </c>
      <c r="BF21" s="312">
        <v>607</v>
      </c>
      <c r="BG21" s="312">
        <v>22</v>
      </c>
      <c r="BH21" s="622">
        <f t="shared" si="18"/>
        <v>629</v>
      </c>
      <c r="BI21" s="312">
        <v>14</v>
      </c>
      <c r="BJ21" s="312">
        <v>2</v>
      </c>
      <c r="BK21" s="622">
        <f t="shared" si="19"/>
        <v>16</v>
      </c>
      <c r="BL21" s="312">
        <v>0</v>
      </c>
      <c r="BM21" s="312">
        <v>0</v>
      </c>
      <c r="BN21" s="622">
        <f t="shared" si="20"/>
        <v>0</v>
      </c>
      <c r="BO21" s="312">
        <v>0</v>
      </c>
      <c r="BP21" s="312">
        <v>0</v>
      </c>
      <c r="BQ21" s="622">
        <f t="shared" si="21"/>
        <v>0</v>
      </c>
      <c r="BR21" s="312">
        <v>1</v>
      </c>
      <c r="BS21" s="312">
        <v>13</v>
      </c>
      <c r="BT21" s="622">
        <f t="shared" si="22"/>
        <v>14</v>
      </c>
      <c r="BU21" s="312">
        <v>1</v>
      </c>
      <c r="BV21" s="312">
        <v>0</v>
      </c>
      <c r="BW21" s="622">
        <f t="shared" si="23"/>
        <v>1</v>
      </c>
      <c r="BX21" s="312">
        <v>1</v>
      </c>
      <c r="BY21" s="312">
        <v>0</v>
      </c>
      <c r="BZ21" s="622">
        <f t="shared" si="24"/>
        <v>1</v>
      </c>
      <c r="CA21" s="312">
        <v>8</v>
      </c>
      <c r="CB21" s="312">
        <v>0</v>
      </c>
      <c r="CC21" s="622">
        <f t="shared" si="25"/>
        <v>8</v>
      </c>
      <c r="CD21" s="312">
        <v>0</v>
      </c>
      <c r="CE21" s="312">
        <v>0</v>
      </c>
      <c r="CF21" s="622">
        <f t="shared" si="26"/>
        <v>0</v>
      </c>
      <c r="CG21" s="312">
        <v>0</v>
      </c>
      <c r="CH21" s="312">
        <v>0</v>
      </c>
      <c r="CI21" s="622">
        <f t="shared" si="27"/>
        <v>0</v>
      </c>
      <c r="CJ21" s="312">
        <v>8</v>
      </c>
      <c r="CK21" s="312">
        <v>0</v>
      </c>
      <c r="CL21" s="622">
        <f t="shared" si="28"/>
        <v>8</v>
      </c>
      <c r="CM21" s="312">
        <v>2</v>
      </c>
      <c r="CN21" s="312">
        <v>3</v>
      </c>
      <c r="CO21" s="622">
        <f t="shared" si="29"/>
        <v>5</v>
      </c>
      <c r="CP21" s="312">
        <v>0</v>
      </c>
      <c r="CQ21" s="312">
        <v>0</v>
      </c>
      <c r="CR21" s="622">
        <f t="shared" si="30"/>
        <v>0</v>
      </c>
      <c r="CS21" s="312">
        <v>0</v>
      </c>
      <c r="CT21" s="312">
        <v>3</v>
      </c>
      <c r="CU21" s="622">
        <f t="shared" si="31"/>
        <v>3</v>
      </c>
      <c r="CV21" s="312">
        <v>0</v>
      </c>
      <c r="CW21" s="312">
        <v>0</v>
      </c>
      <c r="CX21" s="622">
        <f t="shared" si="32"/>
        <v>0</v>
      </c>
      <c r="CY21" s="312">
        <v>1</v>
      </c>
      <c r="CZ21" s="312">
        <v>1</v>
      </c>
      <c r="DA21" s="622">
        <f t="shared" si="33"/>
        <v>2</v>
      </c>
      <c r="DB21" s="312">
        <v>14</v>
      </c>
      <c r="DC21" s="312">
        <v>0</v>
      </c>
      <c r="DD21" s="622">
        <f t="shared" si="34"/>
        <v>14</v>
      </c>
      <c r="DE21" s="312">
        <v>5</v>
      </c>
      <c r="DF21" s="312">
        <v>2</v>
      </c>
      <c r="DG21" s="622">
        <f t="shared" si="35"/>
        <v>7</v>
      </c>
      <c r="DH21" s="312">
        <v>0</v>
      </c>
      <c r="DI21" s="312">
        <v>0</v>
      </c>
      <c r="DJ21" s="622">
        <f t="shared" si="36"/>
        <v>0</v>
      </c>
      <c r="DK21" s="312">
        <v>0</v>
      </c>
      <c r="DL21" s="312">
        <v>0</v>
      </c>
      <c r="DM21" s="622">
        <f t="shared" si="37"/>
        <v>0</v>
      </c>
      <c r="DN21" s="312">
        <v>0</v>
      </c>
      <c r="DO21" s="312">
        <v>0</v>
      </c>
      <c r="DP21" s="622">
        <f t="shared" si="38"/>
        <v>0</v>
      </c>
      <c r="DQ21" s="312">
        <v>0</v>
      </c>
      <c r="DR21" s="312">
        <v>0</v>
      </c>
      <c r="DS21" s="622">
        <f t="shared" si="39"/>
        <v>0</v>
      </c>
      <c r="DT21" s="312">
        <v>0</v>
      </c>
      <c r="DU21" s="312">
        <v>0</v>
      </c>
      <c r="DV21" s="622">
        <f t="shared" si="40"/>
        <v>0</v>
      </c>
      <c r="DW21" s="312">
        <v>4</v>
      </c>
      <c r="DX21" s="312">
        <v>0</v>
      </c>
      <c r="DY21" s="622">
        <f t="shared" si="41"/>
        <v>4</v>
      </c>
      <c r="DZ21" s="312">
        <v>0</v>
      </c>
      <c r="EA21" s="312">
        <v>0</v>
      </c>
      <c r="EB21" s="622">
        <f t="shared" si="42"/>
        <v>0</v>
      </c>
      <c r="EC21" s="312">
        <v>7</v>
      </c>
      <c r="ED21" s="312">
        <v>1</v>
      </c>
      <c r="EE21" s="622">
        <f t="shared" si="43"/>
        <v>8</v>
      </c>
      <c r="EF21" s="312">
        <v>2</v>
      </c>
      <c r="EG21" s="312">
        <v>0</v>
      </c>
      <c r="EH21" s="622">
        <f t="shared" si="44"/>
        <v>2</v>
      </c>
      <c r="EI21" s="312">
        <v>1</v>
      </c>
      <c r="EJ21" s="312">
        <v>0</v>
      </c>
      <c r="EK21" s="622">
        <f t="shared" si="45"/>
        <v>1</v>
      </c>
      <c r="EL21" s="312">
        <v>0</v>
      </c>
      <c r="EM21" s="312">
        <v>0</v>
      </c>
      <c r="EN21" s="622">
        <f t="shared" si="46"/>
        <v>0</v>
      </c>
      <c r="EO21" s="312">
        <v>0</v>
      </c>
      <c r="EP21" s="312">
        <v>0</v>
      </c>
      <c r="EQ21" s="622">
        <f t="shared" si="47"/>
        <v>0</v>
      </c>
      <c r="ER21" s="312">
        <v>0</v>
      </c>
      <c r="ES21" s="312">
        <v>0</v>
      </c>
      <c r="ET21" s="622">
        <f t="shared" si="48"/>
        <v>0</v>
      </c>
      <c r="EU21" s="312">
        <v>0</v>
      </c>
      <c r="EV21" s="312">
        <v>0</v>
      </c>
      <c r="EW21" s="622">
        <f t="shared" si="49"/>
        <v>0</v>
      </c>
      <c r="EX21" s="312">
        <v>0</v>
      </c>
      <c r="EY21" s="312">
        <v>0</v>
      </c>
      <c r="EZ21" s="622">
        <f t="shared" si="50"/>
        <v>0</v>
      </c>
      <c r="FA21" s="312">
        <v>0</v>
      </c>
      <c r="FB21" s="312">
        <v>0</v>
      </c>
      <c r="FC21" s="622">
        <f t="shared" si="51"/>
        <v>0</v>
      </c>
      <c r="FD21" s="312">
        <v>0</v>
      </c>
      <c r="FE21" s="312">
        <v>0</v>
      </c>
      <c r="FF21" s="622">
        <f t="shared" si="52"/>
        <v>0</v>
      </c>
      <c r="FG21" s="312">
        <v>0</v>
      </c>
      <c r="FH21" s="312">
        <v>0</v>
      </c>
      <c r="FI21" s="622">
        <f t="shared" si="53"/>
        <v>0</v>
      </c>
      <c r="FJ21" s="312">
        <v>0</v>
      </c>
      <c r="FK21" s="312">
        <v>0</v>
      </c>
      <c r="FL21" s="622">
        <f t="shared" si="54"/>
        <v>0</v>
      </c>
      <c r="FM21" s="312">
        <v>0</v>
      </c>
      <c r="FN21" s="312">
        <v>0</v>
      </c>
      <c r="FO21" s="622">
        <f t="shared" si="55"/>
        <v>0</v>
      </c>
      <c r="FP21" s="312">
        <v>0</v>
      </c>
      <c r="FQ21" s="312">
        <v>0</v>
      </c>
      <c r="FR21" s="622">
        <f t="shared" si="56"/>
        <v>0</v>
      </c>
      <c r="FS21" s="312">
        <v>0</v>
      </c>
      <c r="FT21" s="312">
        <v>0</v>
      </c>
      <c r="FU21" s="622">
        <f t="shared" si="57"/>
        <v>0</v>
      </c>
      <c r="FV21" s="312">
        <v>0</v>
      </c>
      <c r="FW21" s="312">
        <v>0</v>
      </c>
      <c r="FX21" s="622">
        <f t="shared" si="58"/>
        <v>0</v>
      </c>
      <c r="FY21" s="312">
        <v>0</v>
      </c>
      <c r="FZ21" s="312">
        <v>0</v>
      </c>
      <c r="GA21" s="622">
        <f t="shared" si="59"/>
        <v>0</v>
      </c>
      <c r="GB21" s="312">
        <v>0</v>
      </c>
      <c r="GC21" s="312">
        <v>0</v>
      </c>
      <c r="GD21" s="622">
        <f t="shared" si="60"/>
        <v>0</v>
      </c>
      <c r="GE21" s="312">
        <v>0</v>
      </c>
      <c r="GF21" s="312">
        <v>0</v>
      </c>
      <c r="GG21" s="622">
        <f t="shared" si="61"/>
        <v>0</v>
      </c>
      <c r="GH21" s="312">
        <v>0</v>
      </c>
      <c r="GI21" s="312">
        <v>0</v>
      </c>
      <c r="GJ21" s="622">
        <f t="shared" si="62"/>
        <v>0</v>
      </c>
      <c r="GK21" s="312">
        <v>9</v>
      </c>
      <c r="GL21" s="312">
        <v>13</v>
      </c>
      <c r="GM21" s="622">
        <f t="shared" si="63"/>
        <v>22</v>
      </c>
      <c r="GN21" s="312">
        <v>64</v>
      </c>
      <c r="GO21" s="312">
        <v>190</v>
      </c>
      <c r="GP21" s="622">
        <f t="shared" si="64"/>
        <v>254</v>
      </c>
      <c r="GQ21" s="312">
        <v>0</v>
      </c>
      <c r="GR21" s="312">
        <v>0</v>
      </c>
      <c r="GS21" s="622">
        <f t="shared" si="65"/>
        <v>0</v>
      </c>
      <c r="GT21" s="312">
        <v>4</v>
      </c>
      <c r="GU21" s="312">
        <v>0</v>
      </c>
      <c r="GV21" s="622">
        <f t="shared" si="66"/>
        <v>4</v>
      </c>
      <c r="GW21" s="312">
        <v>0</v>
      </c>
      <c r="GX21" s="312">
        <v>1</v>
      </c>
      <c r="GY21" s="622">
        <f t="shared" si="67"/>
        <v>1</v>
      </c>
      <c r="GZ21" s="312">
        <v>0</v>
      </c>
      <c r="HA21" s="312">
        <v>0</v>
      </c>
      <c r="HB21" s="622">
        <f t="shared" si="68"/>
        <v>0</v>
      </c>
      <c r="HC21" s="312">
        <v>0</v>
      </c>
      <c r="HD21" s="312">
        <v>0</v>
      </c>
      <c r="HE21" s="622">
        <f t="shared" si="69"/>
        <v>0</v>
      </c>
      <c r="HF21" s="312">
        <v>1</v>
      </c>
      <c r="HG21" s="312">
        <v>1</v>
      </c>
      <c r="HH21" s="622">
        <f t="shared" si="70"/>
        <v>2</v>
      </c>
      <c r="HI21" s="312">
        <v>20</v>
      </c>
      <c r="HJ21" s="312">
        <v>28</v>
      </c>
      <c r="HK21" s="622">
        <f t="shared" si="71"/>
        <v>48</v>
      </c>
      <c r="HL21" s="312">
        <v>0</v>
      </c>
      <c r="HM21" s="312">
        <v>16</v>
      </c>
      <c r="HN21" s="622">
        <f t="shared" si="72"/>
        <v>16</v>
      </c>
      <c r="HO21" s="312">
        <v>3</v>
      </c>
      <c r="HP21" s="312">
        <v>23</v>
      </c>
      <c r="HQ21" s="622">
        <f t="shared" si="73"/>
        <v>26</v>
      </c>
      <c r="HR21" s="312">
        <v>0</v>
      </c>
      <c r="HS21" s="312">
        <v>1</v>
      </c>
      <c r="HT21" s="622">
        <f t="shared" si="74"/>
        <v>1</v>
      </c>
      <c r="HU21" s="312">
        <v>0</v>
      </c>
      <c r="HV21" s="312">
        <v>0</v>
      </c>
      <c r="HW21" s="622">
        <f t="shared" si="75"/>
        <v>0</v>
      </c>
      <c r="HX21" s="312">
        <v>0</v>
      </c>
      <c r="HY21" s="312">
        <v>0</v>
      </c>
      <c r="HZ21" s="622">
        <f t="shared" si="76"/>
        <v>0</v>
      </c>
      <c r="IA21" s="312">
        <v>0</v>
      </c>
      <c r="IB21" s="312">
        <v>0</v>
      </c>
      <c r="IC21" s="622">
        <f t="shared" si="77"/>
        <v>0</v>
      </c>
      <c r="ID21" s="312">
        <v>10</v>
      </c>
      <c r="IE21" s="312">
        <v>0</v>
      </c>
      <c r="IF21" s="622">
        <f t="shared" si="78"/>
        <v>10</v>
      </c>
      <c r="IG21" s="312">
        <v>0</v>
      </c>
      <c r="IH21" s="312">
        <v>0</v>
      </c>
      <c r="II21" s="622">
        <f t="shared" si="79"/>
        <v>0</v>
      </c>
      <c r="IJ21" s="312">
        <v>89</v>
      </c>
      <c r="IK21" s="312">
        <v>0</v>
      </c>
      <c r="IL21" s="622">
        <f t="shared" si="80"/>
        <v>89</v>
      </c>
      <c r="IM21" s="312">
        <v>0</v>
      </c>
      <c r="IN21" s="312">
        <v>0</v>
      </c>
      <c r="IO21" s="622">
        <f t="shared" si="81"/>
        <v>0</v>
      </c>
      <c r="IP21" s="312">
        <v>0</v>
      </c>
      <c r="IQ21" s="312">
        <v>0</v>
      </c>
      <c r="IR21" s="622">
        <f t="shared" si="82"/>
        <v>0</v>
      </c>
      <c r="IS21" s="312">
        <v>121</v>
      </c>
      <c r="IT21" s="312">
        <v>44</v>
      </c>
      <c r="IU21" s="622">
        <f t="shared" si="83"/>
        <v>165</v>
      </c>
      <c r="IV21" s="312">
        <v>1</v>
      </c>
      <c r="IW21" s="312">
        <v>0</v>
      </c>
      <c r="IX21" s="622">
        <f t="shared" si="84"/>
        <v>1</v>
      </c>
      <c r="IY21" s="312">
        <v>0</v>
      </c>
      <c r="IZ21" s="312">
        <v>0</v>
      </c>
      <c r="JA21" s="622">
        <f t="shared" si="85"/>
        <v>0</v>
      </c>
      <c r="JB21" s="312">
        <v>0</v>
      </c>
      <c r="JC21" s="312">
        <v>0</v>
      </c>
      <c r="JD21" s="622">
        <f t="shared" si="86"/>
        <v>0</v>
      </c>
      <c r="JE21" s="312">
        <v>1074</v>
      </c>
      <c r="JF21" s="312">
        <v>263</v>
      </c>
      <c r="JG21" s="622">
        <f t="shared" si="87"/>
        <v>1337</v>
      </c>
      <c r="JH21" s="312">
        <v>0</v>
      </c>
      <c r="JI21" s="312">
        <v>1</v>
      </c>
      <c r="JJ21" s="622">
        <f t="shared" si="88"/>
        <v>1</v>
      </c>
      <c r="JK21" s="312">
        <v>0</v>
      </c>
      <c r="JL21" s="312">
        <v>0</v>
      </c>
      <c r="JM21" s="622">
        <f t="shared" si="89"/>
        <v>0</v>
      </c>
      <c r="JN21" s="312">
        <v>0</v>
      </c>
      <c r="JO21" s="312">
        <v>0</v>
      </c>
      <c r="JP21" s="622">
        <f t="shared" si="90"/>
        <v>0</v>
      </c>
      <c r="JQ21" s="312">
        <v>0</v>
      </c>
      <c r="JR21" s="312">
        <v>0</v>
      </c>
      <c r="JS21" s="622">
        <f t="shared" si="91"/>
        <v>0</v>
      </c>
      <c r="JT21" s="312">
        <v>0</v>
      </c>
      <c r="JU21" s="312">
        <v>0</v>
      </c>
      <c r="JV21" s="622">
        <f t="shared" si="92"/>
        <v>0</v>
      </c>
      <c r="JW21" s="312">
        <v>0</v>
      </c>
      <c r="JX21" s="312">
        <v>0</v>
      </c>
      <c r="JY21" s="622">
        <f t="shared" si="93"/>
        <v>0</v>
      </c>
      <c r="JZ21" s="312">
        <v>0</v>
      </c>
      <c r="KA21" s="312">
        <v>0</v>
      </c>
      <c r="KB21" s="622">
        <f t="shared" si="94"/>
        <v>0</v>
      </c>
      <c r="KC21" s="312">
        <v>0</v>
      </c>
      <c r="KD21" s="312">
        <v>0</v>
      </c>
      <c r="KE21" s="622">
        <f t="shared" si="95"/>
        <v>0</v>
      </c>
      <c r="KF21" s="312">
        <v>0</v>
      </c>
      <c r="KG21" s="312">
        <v>0</v>
      </c>
      <c r="KH21" s="622">
        <f t="shared" si="96"/>
        <v>0</v>
      </c>
      <c r="KI21" s="312">
        <v>0</v>
      </c>
      <c r="KJ21" s="312">
        <v>0</v>
      </c>
      <c r="KK21" s="622">
        <f t="shared" si="97"/>
        <v>0</v>
      </c>
      <c r="KL21" s="622">
        <v>0</v>
      </c>
      <c r="KM21" s="622">
        <v>0</v>
      </c>
      <c r="KN21" s="622">
        <f t="shared" si="98"/>
        <v>0</v>
      </c>
      <c r="KO21" s="622">
        <v>0</v>
      </c>
      <c r="KP21" s="622">
        <v>0</v>
      </c>
      <c r="KQ21" s="622">
        <f t="shared" si="99"/>
        <v>0</v>
      </c>
      <c r="KR21" s="622">
        <v>0</v>
      </c>
      <c r="KS21" s="622">
        <v>0</v>
      </c>
      <c r="KT21" s="622">
        <f t="shared" si="100"/>
        <v>0</v>
      </c>
      <c r="KU21" s="622">
        <v>0</v>
      </c>
      <c r="KV21" s="622">
        <v>0</v>
      </c>
      <c r="KW21" s="622">
        <f t="shared" si="101"/>
        <v>0</v>
      </c>
      <c r="KX21" s="622">
        <v>0</v>
      </c>
      <c r="KY21" s="622">
        <v>0</v>
      </c>
      <c r="KZ21" s="622">
        <f t="shared" si="102"/>
        <v>0</v>
      </c>
      <c r="LA21" s="622">
        <v>0</v>
      </c>
      <c r="LB21" s="622">
        <v>0</v>
      </c>
      <c r="LC21" s="622">
        <f t="shared" si="103"/>
        <v>0</v>
      </c>
      <c r="LD21" s="622">
        <v>0</v>
      </c>
      <c r="LE21" s="622">
        <v>0</v>
      </c>
      <c r="LF21" s="622">
        <f t="shared" si="104"/>
        <v>0</v>
      </c>
      <c r="LG21" s="622">
        <v>0</v>
      </c>
      <c r="LH21" s="622">
        <v>0</v>
      </c>
      <c r="LI21" s="622">
        <f t="shared" si="105"/>
        <v>0</v>
      </c>
      <c r="LJ21" s="312">
        <v>0</v>
      </c>
      <c r="LK21" s="312">
        <v>0</v>
      </c>
      <c r="LL21" s="689">
        <f t="shared" si="106"/>
        <v>0</v>
      </c>
    </row>
    <row r="22" spans="1:324" ht="15" thickBot="1" x14ac:dyDescent="0.4">
      <c r="A22" s="690">
        <v>4</v>
      </c>
      <c r="B22" s="379" t="s">
        <v>270</v>
      </c>
      <c r="C22" s="434" t="s">
        <v>54</v>
      </c>
      <c r="D22" s="318">
        <v>8689</v>
      </c>
      <c r="E22" s="318">
        <v>7780</v>
      </c>
      <c r="F22" s="691">
        <f t="shared" si="0"/>
        <v>16469</v>
      </c>
      <c r="G22" s="318">
        <v>8</v>
      </c>
      <c r="H22" s="318">
        <v>14632</v>
      </c>
      <c r="I22" s="691">
        <f t="shared" si="1"/>
        <v>14640</v>
      </c>
      <c r="J22" s="318">
        <v>11044</v>
      </c>
      <c r="K22" s="318">
        <v>9889</v>
      </c>
      <c r="L22" s="691">
        <f t="shared" si="2"/>
        <v>20933</v>
      </c>
      <c r="M22" s="318">
        <v>579</v>
      </c>
      <c r="N22" s="318">
        <v>252</v>
      </c>
      <c r="O22" s="691">
        <f t="shared" si="3"/>
        <v>831</v>
      </c>
      <c r="P22" s="318">
        <v>590</v>
      </c>
      <c r="Q22" s="318">
        <v>554</v>
      </c>
      <c r="R22" s="691">
        <f t="shared" si="4"/>
        <v>1144</v>
      </c>
      <c r="S22" s="318">
        <v>91</v>
      </c>
      <c r="T22" s="318">
        <v>5</v>
      </c>
      <c r="U22" s="691">
        <f t="shared" si="5"/>
        <v>96</v>
      </c>
      <c r="V22" s="318">
        <v>89</v>
      </c>
      <c r="W22" s="318">
        <v>5</v>
      </c>
      <c r="X22" s="691">
        <f t="shared" si="6"/>
        <v>94</v>
      </c>
      <c r="Y22" s="318">
        <v>139</v>
      </c>
      <c r="Z22" s="318">
        <v>47</v>
      </c>
      <c r="AA22" s="691">
        <f t="shared" si="7"/>
        <v>186</v>
      </c>
      <c r="AB22" s="318">
        <v>35</v>
      </c>
      <c r="AC22" s="318">
        <v>16</v>
      </c>
      <c r="AD22" s="691">
        <f t="shared" si="8"/>
        <v>51</v>
      </c>
      <c r="AE22" s="318">
        <v>1</v>
      </c>
      <c r="AF22" s="318">
        <v>0</v>
      </c>
      <c r="AG22" s="691">
        <f t="shared" si="9"/>
        <v>1</v>
      </c>
      <c r="AH22" s="318">
        <v>2</v>
      </c>
      <c r="AI22" s="318">
        <v>0</v>
      </c>
      <c r="AJ22" s="691">
        <f t="shared" si="10"/>
        <v>2</v>
      </c>
      <c r="AK22" s="318">
        <v>15</v>
      </c>
      <c r="AL22" s="318">
        <v>3</v>
      </c>
      <c r="AM22" s="691">
        <f t="shared" si="11"/>
        <v>18</v>
      </c>
      <c r="AN22" s="318">
        <v>22</v>
      </c>
      <c r="AO22" s="318">
        <v>1</v>
      </c>
      <c r="AP22" s="691">
        <f t="shared" si="12"/>
        <v>23</v>
      </c>
      <c r="AQ22" s="318">
        <v>25</v>
      </c>
      <c r="AR22" s="318">
        <v>0</v>
      </c>
      <c r="AS22" s="691">
        <f t="shared" si="13"/>
        <v>25</v>
      </c>
      <c r="AT22" s="318">
        <v>14281</v>
      </c>
      <c r="AU22" s="318">
        <v>7042</v>
      </c>
      <c r="AV22" s="691">
        <f t="shared" si="14"/>
        <v>21323</v>
      </c>
      <c r="AW22" s="318">
        <v>289</v>
      </c>
      <c r="AX22" s="318">
        <v>148</v>
      </c>
      <c r="AY22" s="691">
        <f t="shared" si="15"/>
        <v>437</v>
      </c>
      <c r="AZ22" s="318">
        <v>18</v>
      </c>
      <c r="BA22" s="318">
        <v>10</v>
      </c>
      <c r="BB22" s="691">
        <f t="shared" si="16"/>
        <v>28</v>
      </c>
      <c r="BC22" s="318">
        <v>86</v>
      </c>
      <c r="BD22" s="318">
        <v>62</v>
      </c>
      <c r="BE22" s="691">
        <f t="shared" si="17"/>
        <v>148</v>
      </c>
      <c r="BF22" s="318">
        <v>1329</v>
      </c>
      <c r="BG22" s="318">
        <v>73</v>
      </c>
      <c r="BH22" s="691">
        <f t="shared" si="18"/>
        <v>1402</v>
      </c>
      <c r="BI22" s="318">
        <v>23</v>
      </c>
      <c r="BJ22" s="318">
        <v>5</v>
      </c>
      <c r="BK22" s="691">
        <f t="shared" si="19"/>
        <v>28</v>
      </c>
      <c r="BL22" s="318">
        <v>0</v>
      </c>
      <c r="BM22" s="318">
        <v>0</v>
      </c>
      <c r="BN22" s="691">
        <f t="shared" si="20"/>
        <v>0</v>
      </c>
      <c r="BO22" s="318">
        <v>0</v>
      </c>
      <c r="BP22" s="318">
        <v>0</v>
      </c>
      <c r="BQ22" s="691">
        <f t="shared" si="21"/>
        <v>0</v>
      </c>
      <c r="BR22" s="318">
        <v>0</v>
      </c>
      <c r="BS22" s="318">
        <v>23</v>
      </c>
      <c r="BT22" s="691">
        <f t="shared" si="22"/>
        <v>23</v>
      </c>
      <c r="BU22" s="318">
        <v>2</v>
      </c>
      <c r="BV22" s="318">
        <v>0</v>
      </c>
      <c r="BW22" s="691">
        <f t="shared" si="23"/>
        <v>2</v>
      </c>
      <c r="BX22" s="318">
        <v>5</v>
      </c>
      <c r="BY22" s="318">
        <v>0</v>
      </c>
      <c r="BZ22" s="691">
        <f t="shared" si="24"/>
        <v>5</v>
      </c>
      <c r="CA22" s="318">
        <v>28</v>
      </c>
      <c r="CB22" s="318">
        <v>0</v>
      </c>
      <c r="CC22" s="691">
        <f t="shared" si="25"/>
        <v>28</v>
      </c>
      <c r="CD22" s="318">
        <v>6</v>
      </c>
      <c r="CE22" s="318">
        <v>0</v>
      </c>
      <c r="CF22" s="691">
        <f t="shared" si="26"/>
        <v>6</v>
      </c>
      <c r="CG22" s="318">
        <v>0</v>
      </c>
      <c r="CH22" s="318">
        <v>0</v>
      </c>
      <c r="CI22" s="691">
        <f t="shared" si="27"/>
        <v>0</v>
      </c>
      <c r="CJ22" s="318">
        <v>5</v>
      </c>
      <c r="CK22" s="318">
        <v>0</v>
      </c>
      <c r="CL22" s="691">
        <f t="shared" si="28"/>
        <v>5</v>
      </c>
      <c r="CM22" s="318">
        <v>14</v>
      </c>
      <c r="CN22" s="318">
        <v>10</v>
      </c>
      <c r="CO22" s="691">
        <f t="shared" si="29"/>
        <v>24</v>
      </c>
      <c r="CP22" s="318">
        <v>0</v>
      </c>
      <c r="CQ22" s="318">
        <v>0</v>
      </c>
      <c r="CR22" s="691">
        <f t="shared" si="30"/>
        <v>0</v>
      </c>
      <c r="CS22" s="318">
        <v>0</v>
      </c>
      <c r="CT22" s="318">
        <v>4</v>
      </c>
      <c r="CU22" s="691">
        <f t="shared" si="31"/>
        <v>4</v>
      </c>
      <c r="CV22" s="318">
        <v>1</v>
      </c>
      <c r="CW22" s="318">
        <v>0</v>
      </c>
      <c r="CX22" s="691">
        <f t="shared" si="32"/>
        <v>1</v>
      </c>
      <c r="CY22" s="318">
        <v>0</v>
      </c>
      <c r="CZ22" s="318">
        <v>2</v>
      </c>
      <c r="DA22" s="691">
        <f t="shared" si="33"/>
        <v>2</v>
      </c>
      <c r="DB22" s="318">
        <v>22</v>
      </c>
      <c r="DC22" s="318">
        <v>0</v>
      </c>
      <c r="DD22" s="691">
        <f t="shared" si="34"/>
        <v>22</v>
      </c>
      <c r="DE22" s="318">
        <v>22</v>
      </c>
      <c r="DF22" s="318">
        <v>3</v>
      </c>
      <c r="DG22" s="691">
        <f t="shared" si="35"/>
        <v>25</v>
      </c>
      <c r="DH22" s="318">
        <v>2</v>
      </c>
      <c r="DI22" s="318">
        <v>0</v>
      </c>
      <c r="DJ22" s="691">
        <f t="shared" si="36"/>
        <v>2</v>
      </c>
      <c r="DK22" s="318">
        <v>0</v>
      </c>
      <c r="DL22" s="318">
        <v>0</v>
      </c>
      <c r="DM22" s="691">
        <f t="shared" si="37"/>
        <v>0</v>
      </c>
      <c r="DN22" s="318">
        <v>0</v>
      </c>
      <c r="DO22" s="318">
        <v>1</v>
      </c>
      <c r="DP22" s="691">
        <f t="shared" si="38"/>
        <v>1</v>
      </c>
      <c r="DQ22" s="318">
        <v>0</v>
      </c>
      <c r="DR22" s="318">
        <v>0</v>
      </c>
      <c r="DS22" s="691">
        <f t="shared" si="39"/>
        <v>0</v>
      </c>
      <c r="DT22" s="318">
        <v>0</v>
      </c>
      <c r="DU22" s="318">
        <v>0</v>
      </c>
      <c r="DV22" s="691">
        <f t="shared" si="40"/>
        <v>0</v>
      </c>
      <c r="DW22" s="318">
        <v>13</v>
      </c>
      <c r="DX22" s="318">
        <v>4</v>
      </c>
      <c r="DY22" s="691">
        <f t="shared" si="41"/>
        <v>17</v>
      </c>
      <c r="DZ22" s="318">
        <v>0</v>
      </c>
      <c r="EA22" s="318">
        <v>0</v>
      </c>
      <c r="EB22" s="691">
        <f t="shared" si="42"/>
        <v>0</v>
      </c>
      <c r="EC22" s="318">
        <v>24</v>
      </c>
      <c r="ED22" s="318">
        <v>4</v>
      </c>
      <c r="EE22" s="691">
        <f t="shared" si="43"/>
        <v>28</v>
      </c>
      <c r="EF22" s="318">
        <v>7</v>
      </c>
      <c r="EG22" s="318">
        <v>2</v>
      </c>
      <c r="EH22" s="691">
        <f t="shared" si="44"/>
        <v>9</v>
      </c>
      <c r="EI22" s="318">
        <v>1</v>
      </c>
      <c r="EJ22" s="318">
        <v>2</v>
      </c>
      <c r="EK22" s="691">
        <f t="shared" si="45"/>
        <v>3</v>
      </c>
      <c r="EL22" s="318">
        <v>2</v>
      </c>
      <c r="EM22" s="318">
        <v>0</v>
      </c>
      <c r="EN22" s="691">
        <f t="shared" si="46"/>
        <v>2</v>
      </c>
      <c r="EO22" s="318">
        <v>0</v>
      </c>
      <c r="EP22" s="318">
        <v>0</v>
      </c>
      <c r="EQ22" s="691">
        <f t="shared" si="47"/>
        <v>0</v>
      </c>
      <c r="ER22" s="318">
        <v>0</v>
      </c>
      <c r="ES22" s="318">
        <v>0</v>
      </c>
      <c r="ET22" s="691">
        <f t="shared" si="48"/>
        <v>0</v>
      </c>
      <c r="EU22" s="318">
        <v>0</v>
      </c>
      <c r="EV22" s="318">
        <v>0</v>
      </c>
      <c r="EW22" s="691">
        <f t="shared" si="49"/>
        <v>0</v>
      </c>
      <c r="EX22" s="318">
        <v>0</v>
      </c>
      <c r="EY22" s="318">
        <v>0</v>
      </c>
      <c r="EZ22" s="691">
        <f t="shared" si="50"/>
        <v>0</v>
      </c>
      <c r="FA22" s="318">
        <v>0</v>
      </c>
      <c r="FB22" s="318">
        <v>0</v>
      </c>
      <c r="FC22" s="691">
        <f t="shared" si="51"/>
        <v>0</v>
      </c>
      <c r="FD22" s="318">
        <v>0</v>
      </c>
      <c r="FE22" s="318">
        <v>0</v>
      </c>
      <c r="FF22" s="691">
        <f t="shared" si="52"/>
        <v>0</v>
      </c>
      <c r="FG22" s="318">
        <v>0</v>
      </c>
      <c r="FH22" s="318">
        <v>0</v>
      </c>
      <c r="FI22" s="691">
        <f t="shared" si="53"/>
        <v>0</v>
      </c>
      <c r="FJ22" s="318">
        <v>0</v>
      </c>
      <c r="FK22" s="318">
        <v>0</v>
      </c>
      <c r="FL22" s="691">
        <f t="shared" si="54"/>
        <v>0</v>
      </c>
      <c r="FM22" s="318">
        <v>0</v>
      </c>
      <c r="FN22" s="318">
        <v>0</v>
      </c>
      <c r="FO22" s="691">
        <f t="shared" si="55"/>
        <v>0</v>
      </c>
      <c r="FP22" s="318">
        <v>0</v>
      </c>
      <c r="FQ22" s="318">
        <v>0</v>
      </c>
      <c r="FR22" s="691">
        <f t="shared" si="56"/>
        <v>0</v>
      </c>
      <c r="FS22" s="318">
        <v>0</v>
      </c>
      <c r="FT22" s="318">
        <v>0</v>
      </c>
      <c r="FU22" s="691">
        <f t="shared" si="57"/>
        <v>0</v>
      </c>
      <c r="FV22" s="318">
        <v>0</v>
      </c>
      <c r="FW22" s="318">
        <v>0</v>
      </c>
      <c r="FX22" s="691">
        <f t="shared" si="58"/>
        <v>0</v>
      </c>
      <c r="FY22" s="318">
        <v>0</v>
      </c>
      <c r="FZ22" s="318">
        <v>0</v>
      </c>
      <c r="GA22" s="691">
        <f t="shared" si="59"/>
        <v>0</v>
      </c>
      <c r="GB22" s="318">
        <v>0</v>
      </c>
      <c r="GC22" s="318">
        <v>0</v>
      </c>
      <c r="GD22" s="691">
        <f t="shared" si="60"/>
        <v>0</v>
      </c>
      <c r="GE22" s="318">
        <v>0</v>
      </c>
      <c r="GF22" s="318">
        <v>0</v>
      </c>
      <c r="GG22" s="691">
        <f t="shared" si="61"/>
        <v>0</v>
      </c>
      <c r="GH22" s="318">
        <v>1</v>
      </c>
      <c r="GI22" s="318">
        <v>0</v>
      </c>
      <c r="GJ22" s="691">
        <f t="shared" si="62"/>
        <v>1</v>
      </c>
      <c r="GK22" s="318">
        <v>40</v>
      </c>
      <c r="GL22" s="318">
        <v>30</v>
      </c>
      <c r="GM22" s="691">
        <f t="shared" si="63"/>
        <v>70</v>
      </c>
      <c r="GN22" s="318">
        <v>233</v>
      </c>
      <c r="GO22" s="318">
        <v>696</v>
      </c>
      <c r="GP22" s="691">
        <f t="shared" si="64"/>
        <v>929</v>
      </c>
      <c r="GQ22" s="318">
        <v>2</v>
      </c>
      <c r="GR22" s="318">
        <v>0</v>
      </c>
      <c r="GS22" s="691">
        <f t="shared" si="65"/>
        <v>2</v>
      </c>
      <c r="GT22" s="318">
        <v>25</v>
      </c>
      <c r="GU22" s="318">
        <v>1</v>
      </c>
      <c r="GV22" s="691">
        <f t="shared" si="66"/>
        <v>26</v>
      </c>
      <c r="GW22" s="318">
        <v>2</v>
      </c>
      <c r="GX22" s="318">
        <v>5</v>
      </c>
      <c r="GY22" s="691">
        <f t="shared" si="67"/>
        <v>7</v>
      </c>
      <c r="GZ22" s="318">
        <v>6</v>
      </c>
      <c r="HA22" s="318">
        <v>1</v>
      </c>
      <c r="HB22" s="691">
        <f t="shared" si="68"/>
        <v>7</v>
      </c>
      <c r="HC22" s="318">
        <v>5</v>
      </c>
      <c r="HD22" s="318">
        <v>2</v>
      </c>
      <c r="HE22" s="691">
        <f t="shared" si="69"/>
        <v>7</v>
      </c>
      <c r="HF22" s="318">
        <v>4</v>
      </c>
      <c r="HG22" s="318">
        <v>0</v>
      </c>
      <c r="HH22" s="691">
        <f t="shared" si="70"/>
        <v>4</v>
      </c>
      <c r="HI22" s="318">
        <v>31</v>
      </c>
      <c r="HJ22" s="318">
        <v>87</v>
      </c>
      <c r="HK22" s="691">
        <f t="shared" si="71"/>
        <v>118</v>
      </c>
      <c r="HL22" s="318">
        <v>0</v>
      </c>
      <c r="HM22" s="318">
        <v>70</v>
      </c>
      <c r="HN22" s="691">
        <f t="shared" si="72"/>
        <v>70</v>
      </c>
      <c r="HO22" s="318">
        <v>16</v>
      </c>
      <c r="HP22" s="318">
        <v>135</v>
      </c>
      <c r="HQ22" s="691">
        <f t="shared" si="73"/>
        <v>151</v>
      </c>
      <c r="HR22" s="318">
        <v>4</v>
      </c>
      <c r="HS22" s="318">
        <v>20</v>
      </c>
      <c r="HT22" s="691">
        <f t="shared" si="74"/>
        <v>24</v>
      </c>
      <c r="HU22" s="318">
        <v>0</v>
      </c>
      <c r="HV22" s="318">
        <v>4</v>
      </c>
      <c r="HW22" s="691">
        <f t="shared" si="75"/>
        <v>4</v>
      </c>
      <c r="HX22" s="318">
        <v>0</v>
      </c>
      <c r="HY22" s="318">
        <v>0</v>
      </c>
      <c r="HZ22" s="691">
        <f t="shared" si="76"/>
        <v>0</v>
      </c>
      <c r="IA22" s="318">
        <v>0</v>
      </c>
      <c r="IB22" s="318">
        <v>0</v>
      </c>
      <c r="IC22" s="691">
        <f t="shared" si="77"/>
        <v>0</v>
      </c>
      <c r="ID22" s="318">
        <v>96</v>
      </c>
      <c r="IE22" s="318">
        <v>0</v>
      </c>
      <c r="IF22" s="691">
        <f t="shared" si="78"/>
        <v>96</v>
      </c>
      <c r="IG22" s="318">
        <v>2</v>
      </c>
      <c r="IH22" s="318">
        <v>1</v>
      </c>
      <c r="II22" s="691">
        <f t="shared" si="79"/>
        <v>3</v>
      </c>
      <c r="IJ22" s="318">
        <v>194</v>
      </c>
      <c r="IK22" s="318">
        <v>0</v>
      </c>
      <c r="IL22" s="691">
        <f t="shared" si="80"/>
        <v>194</v>
      </c>
      <c r="IM22" s="318">
        <v>0</v>
      </c>
      <c r="IN22" s="318">
        <v>0</v>
      </c>
      <c r="IO22" s="691">
        <f t="shared" si="81"/>
        <v>0</v>
      </c>
      <c r="IP22" s="318">
        <v>0</v>
      </c>
      <c r="IQ22" s="318">
        <v>0</v>
      </c>
      <c r="IR22" s="691">
        <f t="shared" si="82"/>
        <v>0</v>
      </c>
      <c r="IS22" s="318">
        <v>307</v>
      </c>
      <c r="IT22" s="318">
        <v>130</v>
      </c>
      <c r="IU22" s="691">
        <f t="shared" si="83"/>
        <v>437</v>
      </c>
      <c r="IV22" s="318">
        <v>0</v>
      </c>
      <c r="IW22" s="318">
        <v>1</v>
      </c>
      <c r="IX22" s="691">
        <f t="shared" si="84"/>
        <v>1</v>
      </c>
      <c r="IY22" s="318">
        <v>0</v>
      </c>
      <c r="IZ22" s="318">
        <v>0</v>
      </c>
      <c r="JA22" s="691">
        <f t="shared" si="85"/>
        <v>0</v>
      </c>
      <c r="JB22" s="318">
        <v>1</v>
      </c>
      <c r="JC22" s="318">
        <v>0</v>
      </c>
      <c r="JD22" s="691">
        <f t="shared" si="86"/>
        <v>1</v>
      </c>
      <c r="JE22" s="318">
        <v>3274</v>
      </c>
      <c r="JF22" s="318">
        <v>781</v>
      </c>
      <c r="JG22" s="691">
        <f t="shared" si="87"/>
        <v>4055</v>
      </c>
      <c r="JH22" s="318">
        <v>3</v>
      </c>
      <c r="JI22" s="318">
        <v>2</v>
      </c>
      <c r="JJ22" s="691">
        <f t="shared" si="88"/>
        <v>5</v>
      </c>
      <c r="JK22" s="318">
        <v>1</v>
      </c>
      <c r="JL22" s="318">
        <v>0</v>
      </c>
      <c r="JM22" s="691">
        <f t="shared" si="89"/>
        <v>1</v>
      </c>
      <c r="JN22" s="318">
        <v>0</v>
      </c>
      <c r="JO22" s="318">
        <v>0</v>
      </c>
      <c r="JP22" s="691">
        <f t="shared" si="90"/>
        <v>0</v>
      </c>
      <c r="JQ22" s="318">
        <v>0</v>
      </c>
      <c r="JR22" s="318">
        <v>0</v>
      </c>
      <c r="JS22" s="691">
        <f t="shared" si="91"/>
        <v>0</v>
      </c>
      <c r="JT22" s="318">
        <v>0</v>
      </c>
      <c r="JU22" s="318">
        <v>0</v>
      </c>
      <c r="JV22" s="691">
        <f t="shared" si="92"/>
        <v>0</v>
      </c>
      <c r="JW22" s="318">
        <v>0</v>
      </c>
      <c r="JX22" s="318">
        <v>0</v>
      </c>
      <c r="JY22" s="691">
        <f t="shared" si="93"/>
        <v>0</v>
      </c>
      <c r="JZ22" s="318">
        <v>0</v>
      </c>
      <c r="KA22" s="318">
        <v>0</v>
      </c>
      <c r="KB22" s="691">
        <f t="shared" si="94"/>
        <v>0</v>
      </c>
      <c r="KC22" s="318">
        <v>0</v>
      </c>
      <c r="KD22" s="318">
        <v>0</v>
      </c>
      <c r="KE22" s="691">
        <f t="shared" si="95"/>
        <v>0</v>
      </c>
      <c r="KF22" s="318">
        <v>0</v>
      </c>
      <c r="KG22" s="318">
        <v>0</v>
      </c>
      <c r="KH22" s="691">
        <f t="shared" si="96"/>
        <v>0</v>
      </c>
      <c r="KI22" s="318">
        <v>0</v>
      </c>
      <c r="KJ22" s="318">
        <v>0</v>
      </c>
      <c r="KK22" s="691">
        <f t="shared" si="97"/>
        <v>0</v>
      </c>
      <c r="KL22" s="691">
        <v>0</v>
      </c>
      <c r="KM22" s="691">
        <v>0</v>
      </c>
      <c r="KN22" s="691">
        <f t="shared" si="98"/>
        <v>0</v>
      </c>
      <c r="KO22" s="691">
        <v>0</v>
      </c>
      <c r="KP22" s="691">
        <v>0</v>
      </c>
      <c r="KQ22" s="691">
        <f t="shared" si="99"/>
        <v>0</v>
      </c>
      <c r="KR22" s="691">
        <v>0</v>
      </c>
      <c r="KS22" s="691">
        <v>0</v>
      </c>
      <c r="KT22" s="691">
        <f t="shared" si="100"/>
        <v>0</v>
      </c>
      <c r="KU22" s="691">
        <v>0</v>
      </c>
      <c r="KV22" s="691">
        <v>0</v>
      </c>
      <c r="KW22" s="691">
        <f t="shared" si="101"/>
        <v>0</v>
      </c>
      <c r="KX22" s="691">
        <v>0</v>
      </c>
      <c r="KY22" s="691">
        <v>0</v>
      </c>
      <c r="KZ22" s="691">
        <f t="shared" si="102"/>
        <v>0</v>
      </c>
      <c r="LA22" s="691">
        <v>0</v>
      </c>
      <c r="LB22" s="691">
        <v>0</v>
      </c>
      <c r="LC22" s="691">
        <f t="shared" si="103"/>
        <v>0</v>
      </c>
      <c r="LD22" s="691">
        <v>0</v>
      </c>
      <c r="LE22" s="691">
        <v>0</v>
      </c>
      <c r="LF22" s="691">
        <f t="shared" si="104"/>
        <v>0</v>
      </c>
      <c r="LG22" s="691">
        <v>0</v>
      </c>
      <c r="LH22" s="691">
        <v>0</v>
      </c>
      <c r="LI22" s="691">
        <f t="shared" si="105"/>
        <v>0</v>
      </c>
      <c r="LJ22" s="318">
        <v>0</v>
      </c>
      <c r="LK22" s="318">
        <v>0</v>
      </c>
      <c r="LL22" s="692">
        <f t="shared" si="106"/>
        <v>0</v>
      </c>
    </row>
    <row r="23" spans="1:324" x14ac:dyDescent="0.35">
      <c r="A23" s="693">
        <v>3</v>
      </c>
      <c r="B23" s="383" t="s">
        <v>271</v>
      </c>
      <c r="C23" s="437" t="s">
        <v>61</v>
      </c>
      <c r="D23" s="324">
        <v>23360</v>
      </c>
      <c r="E23" s="324">
        <v>21542</v>
      </c>
      <c r="F23" s="694">
        <f t="shared" si="0"/>
        <v>44902</v>
      </c>
      <c r="G23" s="324">
        <v>15</v>
      </c>
      <c r="H23" s="324">
        <v>37254</v>
      </c>
      <c r="I23" s="694">
        <f t="shared" si="1"/>
        <v>37269</v>
      </c>
      <c r="J23" s="324">
        <v>27109</v>
      </c>
      <c r="K23" s="324">
        <v>24023</v>
      </c>
      <c r="L23" s="694">
        <f t="shared" si="2"/>
        <v>51132</v>
      </c>
      <c r="M23" s="324">
        <v>1764</v>
      </c>
      <c r="N23" s="324">
        <v>746</v>
      </c>
      <c r="O23" s="694">
        <f t="shared" si="3"/>
        <v>2510</v>
      </c>
      <c r="P23" s="324">
        <v>2076</v>
      </c>
      <c r="Q23" s="324">
        <v>1918</v>
      </c>
      <c r="R23" s="694">
        <f t="shared" si="4"/>
        <v>3994</v>
      </c>
      <c r="S23" s="324">
        <v>204</v>
      </c>
      <c r="T23" s="324">
        <v>12</v>
      </c>
      <c r="U23" s="694">
        <f t="shared" si="5"/>
        <v>216</v>
      </c>
      <c r="V23" s="324">
        <v>340</v>
      </c>
      <c r="W23" s="324">
        <v>27</v>
      </c>
      <c r="X23" s="694">
        <f t="shared" si="6"/>
        <v>367</v>
      </c>
      <c r="Y23" s="324">
        <v>350</v>
      </c>
      <c r="Z23" s="324">
        <v>127</v>
      </c>
      <c r="AA23" s="694">
        <f t="shared" si="7"/>
        <v>477</v>
      </c>
      <c r="AB23" s="324">
        <v>116</v>
      </c>
      <c r="AC23" s="324">
        <v>42</v>
      </c>
      <c r="AD23" s="694">
        <f t="shared" si="8"/>
        <v>158</v>
      </c>
      <c r="AE23" s="324">
        <v>6</v>
      </c>
      <c r="AF23" s="324">
        <v>0</v>
      </c>
      <c r="AG23" s="694">
        <f t="shared" si="9"/>
        <v>6</v>
      </c>
      <c r="AH23" s="324">
        <v>7</v>
      </c>
      <c r="AI23" s="324">
        <v>0</v>
      </c>
      <c r="AJ23" s="694">
        <f t="shared" si="10"/>
        <v>7</v>
      </c>
      <c r="AK23" s="324">
        <v>27</v>
      </c>
      <c r="AL23" s="324">
        <v>3</v>
      </c>
      <c r="AM23" s="694">
        <f t="shared" si="11"/>
        <v>30</v>
      </c>
      <c r="AN23" s="324">
        <v>29</v>
      </c>
      <c r="AO23" s="324">
        <v>2</v>
      </c>
      <c r="AP23" s="694">
        <f t="shared" si="12"/>
        <v>31</v>
      </c>
      <c r="AQ23" s="324">
        <v>101</v>
      </c>
      <c r="AR23" s="324">
        <v>4</v>
      </c>
      <c r="AS23" s="694">
        <f t="shared" si="13"/>
        <v>105</v>
      </c>
      <c r="AT23" s="324">
        <v>33415</v>
      </c>
      <c r="AU23" s="324">
        <v>18820</v>
      </c>
      <c r="AV23" s="694">
        <f t="shared" si="14"/>
        <v>52235</v>
      </c>
      <c r="AW23" s="324">
        <v>1020</v>
      </c>
      <c r="AX23" s="324">
        <v>575</v>
      </c>
      <c r="AY23" s="694">
        <f t="shared" si="15"/>
        <v>1595</v>
      </c>
      <c r="AZ23" s="324">
        <v>67</v>
      </c>
      <c r="BA23" s="324">
        <v>55</v>
      </c>
      <c r="BB23" s="694">
        <f t="shared" si="16"/>
        <v>122</v>
      </c>
      <c r="BC23" s="324">
        <v>305</v>
      </c>
      <c r="BD23" s="324">
        <v>169</v>
      </c>
      <c r="BE23" s="694">
        <f t="shared" si="17"/>
        <v>474</v>
      </c>
      <c r="BF23" s="324">
        <v>2871</v>
      </c>
      <c r="BG23" s="324">
        <v>159</v>
      </c>
      <c r="BH23" s="694">
        <f t="shared" si="18"/>
        <v>3030</v>
      </c>
      <c r="BI23" s="324">
        <v>157</v>
      </c>
      <c r="BJ23" s="324">
        <v>15</v>
      </c>
      <c r="BK23" s="694">
        <f t="shared" si="19"/>
        <v>172</v>
      </c>
      <c r="BL23" s="324">
        <v>6</v>
      </c>
      <c r="BM23" s="324">
        <v>1</v>
      </c>
      <c r="BN23" s="694">
        <f t="shared" si="20"/>
        <v>7</v>
      </c>
      <c r="BO23" s="324">
        <v>4</v>
      </c>
      <c r="BP23" s="324">
        <v>1</v>
      </c>
      <c r="BQ23" s="694">
        <f t="shared" si="21"/>
        <v>5</v>
      </c>
      <c r="BR23" s="324">
        <v>4</v>
      </c>
      <c r="BS23" s="324">
        <v>130</v>
      </c>
      <c r="BT23" s="694">
        <f t="shared" si="22"/>
        <v>134</v>
      </c>
      <c r="BU23" s="324">
        <v>4</v>
      </c>
      <c r="BV23" s="324">
        <v>0</v>
      </c>
      <c r="BW23" s="694">
        <f t="shared" si="23"/>
        <v>4</v>
      </c>
      <c r="BX23" s="324">
        <v>16</v>
      </c>
      <c r="BY23" s="324">
        <v>0</v>
      </c>
      <c r="BZ23" s="694">
        <f t="shared" si="24"/>
        <v>16</v>
      </c>
      <c r="CA23" s="324">
        <v>53</v>
      </c>
      <c r="CB23" s="324">
        <v>0</v>
      </c>
      <c r="CC23" s="694">
        <f t="shared" si="25"/>
        <v>53</v>
      </c>
      <c r="CD23" s="324">
        <v>22</v>
      </c>
      <c r="CE23" s="324">
        <v>0</v>
      </c>
      <c r="CF23" s="694">
        <f t="shared" si="26"/>
        <v>22</v>
      </c>
      <c r="CG23" s="324">
        <v>2</v>
      </c>
      <c r="CH23" s="324">
        <v>0</v>
      </c>
      <c r="CI23" s="694">
        <f t="shared" si="27"/>
        <v>2</v>
      </c>
      <c r="CJ23" s="324">
        <v>12</v>
      </c>
      <c r="CK23" s="324">
        <v>0</v>
      </c>
      <c r="CL23" s="694">
        <f t="shared" si="28"/>
        <v>12</v>
      </c>
      <c r="CM23" s="324">
        <v>22</v>
      </c>
      <c r="CN23" s="324">
        <v>18</v>
      </c>
      <c r="CO23" s="694">
        <f t="shared" si="29"/>
        <v>40</v>
      </c>
      <c r="CP23" s="324">
        <v>1</v>
      </c>
      <c r="CQ23" s="324">
        <v>1</v>
      </c>
      <c r="CR23" s="694">
        <f t="shared" si="30"/>
        <v>2</v>
      </c>
      <c r="CS23" s="324">
        <v>0</v>
      </c>
      <c r="CT23" s="324">
        <v>13</v>
      </c>
      <c r="CU23" s="694">
        <f t="shared" si="31"/>
        <v>13</v>
      </c>
      <c r="CV23" s="324">
        <v>0</v>
      </c>
      <c r="CW23" s="324">
        <v>4</v>
      </c>
      <c r="CX23" s="694">
        <f t="shared" si="32"/>
        <v>4</v>
      </c>
      <c r="CY23" s="324">
        <v>1</v>
      </c>
      <c r="CZ23" s="324">
        <v>4</v>
      </c>
      <c r="DA23" s="694">
        <f t="shared" si="33"/>
        <v>5</v>
      </c>
      <c r="DB23" s="324">
        <v>47</v>
      </c>
      <c r="DC23" s="324">
        <v>1</v>
      </c>
      <c r="DD23" s="694">
        <f t="shared" si="34"/>
        <v>48</v>
      </c>
      <c r="DE23" s="324">
        <v>63</v>
      </c>
      <c r="DF23" s="324">
        <v>16</v>
      </c>
      <c r="DG23" s="694">
        <f t="shared" si="35"/>
        <v>79</v>
      </c>
      <c r="DH23" s="324">
        <v>3</v>
      </c>
      <c r="DI23" s="324">
        <v>0</v>
      </c>
      <c r="DJ23" s="694">
        <f t="shared" si="36"/>
        <v>3</v>
      </c>
      <c r="DK23" s="324">
        <v>1</v>
      </c>
      <c r="DL23" s="324">
        <v>2</v>
      </c>
      <c r="DM23" s="694">
        <f t="shared" si="37"/>
        <v>3</v>
      </c>
      <c r="DN23" s="324">
        <v>0</v>
      </c>
      <c r="DO23" s="324">
        <v>1</v>
      </c>
      <c r="DP23" s="694">
        <f t="shared" si="38"/>
        <v>1</v>
      </c>
      <c r="DQ23" s="324">
        <v>2</v>
      </c>
      <c r="DR23" s="324">
        <v>1</v>
      </c>
      <c r="DS23" s="694">
        <f t="shared" si="39"/>
        <v>3</v>
      </c>
      <c r="DT23" s="324">
        <v>5</v>
      </c>
      <c r="DU23" s="324">
        <v>0</v>
      </c>
      <c r="DV23" s="694">
        <f t="shared" si="40"/>
        <v>5</v>
      </c>
      <c r="DW23" s="324">
        <v>62</v>
      </c>
      <c r="DX23" s="324">
        <v>24</v>
      </c>
      <c r="DY23" s="694">
        <f t="shared" si="41"/>
        <v>86</v>
      </c>
      <c r="DZ23" s="324">
        <v>6</v>
      </c>
      <c r="EA23" s="324">
        <v>0</v>
      </c>
      <c r="EB23" s="694">
        <f t="shared" si="42"/>
        <v>6</v>
      </c>
      <c r="EC23" s="324">
        <v>68</v>
      </c>
      <c r="ED23" s="324">
        <v>20</v>
      </c>
      <c r="EE23" s="694">
        <f t="shared" si="43"/>
        <v>88</v>
      </c>
      <c r="EF23" s="324">
        <v>15</v>
      </c>
      <c r="EG23" s="324">
        <v>6</v>
      </c>
      <c r="EH23" s="694">
        <f t="shared" si="44"/>
        <v>21</v>
      </c>
      <c r="EI23" s="324">
        <v>4</v>
      </c>
      <c r="EJ23" s="324">
        <v>4</v>
      </c>
      <c r="EK23" s="694">
        <f t="shared" si="45"/>
        <v>8</v>
      </c>
      <c r="EL23" s="324">
        <v>0</v>
      </c>
      <c r="EM23" s="324">
        <v>0</v>
      </c>
      <c r="EN23" s="694">
        <f t="shared" si="46"/>
        <v>0</v>
      </c>
      <c r="EO23" s="324">
        <v>2</v>
      </c>
      <c r="EP23" s="324">
        <v>0</v>
      </c>
      <c r="EQ23" s="694">
        <f t="shared" si="47"/>
        <v>2</v>
      </c>
      <c r="ER23" s="324">
        <v>0</v>
      </c>
      <c r="ES23" s="324">
        <v>0</v>
      </c>
      <c r="ET23" s="694">
        <f t="shared" si="48"/>
        <v>0</v>
      </c>
      <c r="EU23" s="324">
        <v>0</v>
      </c>
      <c r="EV23" s="324">
        <v>0</v>
      </c>
      <c r="EW23" s="694">
        <f t="shared" si="49"/>
        <v>0</v>
      </c>
      <c r="EX23" s="324">
        <v>0</v>
      </c>
      <c r="EY23" s="324">
        <v>0</v>
      </c>
      <c r="EZ23" s="694">
        <f t="shared" si="50"/>
        <v>0</v>
      </c>
      <c r="FA23" s="324">
        <v>0</v>
      </c>
      <c r="FB23" s="324">
        <v>0</v>
      </c>
      <c r="FC23" s="694">
        <f t="shared" si="51"/>
        <v>0</v>
      </c>
      <c r="FD23" s="324">
        <v>0</v>
      </c>
      <c r="FE23" s="324">
        <v>0</v>
      </c>
      <c r="FF23" s="694">
        <f t="shared" si="52"/>
        <v>0</v>
      </c>
      <c r="FG23" s="324">
        <v>0</v>
      </c>
      <c r="FH23" s="324">
        <v>0</v>
      </c>
      <c r="FI23" s="694">
        <f t="shared" si="53"/>
        <v>0</v>
      </c>
      <c r="FJ23" s="324">
        <v>0</v>
      </c>
      <c r="FK23" s="324">
        <v>0</v>
      </c>
      <c r="FL23" s="694">
        <f t="shared" si="54"/>
        <v>0</v>
      </c>
      <c r="FM23" s="324">
        <v>0</v>
      </c>
      <c r="FN23" s="324">
        <v>0</v>
      </c>
      <c r="FO23" s="694">
        <f t="shared" si="55"/>
        <v>0</v>
      </c>
      <c r="FP23" s="324">
        <v>0</v>
      </c>
      <c r="FQ23" s="324">
        <v>0</v>
      </c>
      <c r="FR23" s="694">
        <f t="shared" si="56"/>
        <v>0</v>
      </c>
      <c r="FS23" s="324">
        <v>0</v>
      </c>
      <c r="FT23" s="324">
        <v>0</v>
      </c>
      <c r="FU23" s="694">
        <f t="shared" si="57"/>
        <v>0</v>
      </c>
      <c r="FV23" s="324">
        <v>0</v>
      </c>
      <c r="FW23" s="324">
        <v>0</v>
      </c>
      <c r="FX23" s="694">
        <f t="shared" si="58"/>
        <v>0</v>
      </c>
      <c r="FY23" s="324">
        <v>0</v>
      </c>
      <c r="FZ23" s="324">
        <v>0</v>
      </c>
      <c r="GA23" s="694">
        <f t="shared" si="59"/>
        <v>0</v>
      </c>
      <c r="GB23" s="324">
        <v>0</v>
      </c>
      <c r="GC23" s="324">
        <v>0</v>
      </c>
      <c r="GD23" s="694">
        <f t="shared" si="60"/>
        <v>0</v>
      </c>
      <c r="GE23" s="324">
        <v>0</v>
      </c>
      <c r="GF23" s="324">
        <v>0</v>
      </c>
      <c r="GG23" s="694">
        <f t="shared" si="61"/>
        <v>0</v>
      </c>
      <c r="GH23" s="324">
        <v>3</v>
      </c>
      <c r="GI23" s="324">
        <v>1</v>
      </c>
      <c r="GJ23" s="694">
        <f t="shared" si="62"/>
        <v>4</v>
      </c>
      <c r="GK23" s="324">
        <v>129</v>
      </c>
      <c r="GL23" s="324">
        <v>102</v>
      </c>
      <c r="GM23" s="694">
        <f t="shared" si="63"/>
        <v>231</v>
      </c>
      <c r="GN23" s="324">
        <v>542</v>
      </c>
      <c r="GO23" s="324">
        <v>1461</v>
      </c>
      <c r="GP23" s="694">
        <f t="shared" si="64"/>
        <v>2003</v>
      </c>
      <c r="GQ23" s="324">
        <v>47</v>
      </c>
      <c r="GR23" s="324">
        <v>4</v>
      </c>
      <c r="GS23" s="694">
        <f t="shared" si="65"/>
        <v>51</v>
      </c>
      <c r="GT23" s="324">
        <v>74</v>
      </c>
      <c r="GU23" s="324">
        <v>10</v>
      </c>
      <c r="GV23" s="694">
        <f t="shared" si="66"/>
        <v>84</v>
      </c>
      <c r="GW23" s="324">
        <v>13</v>
      </c>
      <c r="GX23" s="324">
        <v>21</v>
      </c>
      <c r="GY23" s="694">
        <f t="shared" si="67"/>
        <v>34</v>
      </c>
      <c r="GZ23" s="324">
        <v>27</v>
      </c>
      <c r="HA23" s="324">
        <v>8</v>
      </c>
      <c r="HB23" s="694">
        <f t="shared" si="68"/>
        <v>35</v>
      </c>
      <c r="HC23" s="324">
        <v>6</v>
      </c>
      <c r="HD23" s="324">
        <v>15</v>
      </c>
      <c r="HE23" s="694">
        <f t="shared" si="69"/>
        <v>21</v>
      </c>
      <c r="HF23" s="324">
        <v>40</v>
      </c>
      <c r="HG23" s="324">
        <v>6</v>
      </c>
      <c r="HH23" s="694">
        <f t="shared" si="70"/>
        <v>46</v>
      </c>
      <c r="HI23" s="324">
        <v>232</v>
      </c>
      <c r="HJ23" s="324">
        <v>458</v>
      </c>
      <c r="HK23" s="694">
        <f t="shared" si="71"/>
        <v>690</v>
      </c>
      <c r="HL23" s="324">
        <v>0</v>
      </c>
      <c r="HM23" s="324">
        <v>128</v>
      </c>
      <c r="HN23" s="694">
        <f t="shared" si="72"/>
        <v>128</v>
      </c>
      <c r="HO23" s="324">
        <v>43</v>
      </c>
      <c r="HP23" s="324">
        <v>265</v>
      </c>
      <c r="HQ23" s="694">
        <f t="shared" si="73"/>
        <v>308</v>
      </c>
      <c r="HR23" s="324">
        <v>5</v>
      </c>
      <c r="HS23" s="324">
        <v>31</v>
      </c>
      <c r="HT23" s="694">
        <f t="shared" si="74"/>
        <v>36</v>
      </c>
      <c r="HU23" s="324">
        <v>3</v>
      </c>
      <c r="HV23" s="324">
        <v>8</v>
      </c>
      <c r="HW23" s="694">
        <f t="shared" si="75"/>
        <v>11</v>
      </c>
      <c r="HX23" s="324">
        <v>1</v>
      </c>
      <c r="HY23" s="324">
        <v>1</v>
      </c>
      <c r="HZ23" s="694">
        <f t="shared" si="76"/>
        <v>2</v>
      </c>
      <c r="IA23" s="324">
        <v>1</v>
      </c>
      <c r="IB23" s="324">
        <v>0</v>
      </c>
      <c r="IC23" s="694">
        <f t="shared" si="77"/>
        <v>1</v>
      </c>
      <c r="ID23" s="324">
        <v>82</v>
      </c>
      <c r="IE23" s="324">
        <v>1</v>
      </c>
      <c r="IF23" s="694">
        <f t="shared" si="78"/>
        <v>83</v>
      </c>
      <c r="IG23" s="324">
        <v>4</v>
      </c>
      <c r="IH23" s="324">
        <v>3</v>
      </c>
      <c r="II23" s="694">
        <f t="shared" si="79"/>
        <v>7</v>
      </c>
      <c r="IJ23" s="324">
        <v>414</v>
      </c>
      <c r="IK23" s="324">
        <v>1</v>
      </c>
      <c r="IL23" s="694">
        <f t="shared" si="80"/>
        <v>415</v>
      </c>
      <c r="IM23" s="324">
        <v>1</v>
      </c>
      <c r="IN23" s="324">
        <v>0</v>
      </c>
      <c r="IO23" s="694">
        <f t="shared" si="81"/>
        <v>1</v>
      </c>
      <c r="IP23" s="324">
        <v>0</v>
      </c>
      <c r="IQ23" s="324">
        <v>0</v>
      </c>
      <c r="IR23" s="694">
        <f t="shared" si="82"/>
        <v>0</v>
      </c>
      <c r="IS23" s="324">
        <v>620</v>
      </c>
      <c r="IT23" s="324">
        <v>256</v>
      </c>
      <c r="IU23" s="694">
        <f t="shared" si="83"/>
        <v>876</v>
      </c>
      <c r="IV23" s="324">
        <v>0</v>
      </c>
      <c r="IW23" s="324">
        <v>0</v>
      </c>
      <c r="IX23" s="694">
        <f t="shared" si="84"/>
        <v>0</v>
      </c>
      <c r="IY23" s="324">
        <v>1</v>
      </c>
      <c r="IZ23" s="324">
        <v>0</v>
      </c>
      <c r="JA23" s="694">
        <f t="shared" si="85"/>
        <v>1</v>
      </c>
      <c r="JB23" s="324">
        <v>0</v>
      </c>
      <c r="JC23" s="324">
        <v>1</v>
      </c>
      <c r="JD23" s="694">
        <f t="shared" si="86"/>
        <v>1</v>
      </c>
      <c r="JE23" s="324">
        <v>12851</v>
      </c>
      <c r="JF23" s="324">
        <v>3105</v>
      </c>
      <c r="JG23" s="694">
        <f t="shared" si="87"/>
        <v>15956</v>
      </c>
      <c r="JH23" s="324">
        <v>4</v>
      </c>
      <c r="JI23" s="324">
        <v>4</v>
      </c>
      <c r="JJ23" s="694">
        <f t="shared" si="88"/>
        <v>8</v>
      </c>
      <c r="JK23" s="324">
        <v>1</v>
      </c>
      <c r="JL23" s="324">
        <v>0</v>
      </c>
      <c r="JM23" s="694">
        <f t="shared" si="89"/>
        <v>1</v>
      </c>
      <c r="JN23" s="324">
        <v>0</v>
      </c>
      <c r="JO23" s="324">
        <v>1</v>
      </c>
      <c r="JP23" s="694">
        <f t="shared" si="90"/>
        <v>1</v>
      </c>
      <c r="JQ23" s="324">
        <v>0</v>
      </c>
      <c r="JR23" s="324">
        <v>0</v>
      </c>
      <c r="JS23" s="694">
        <f t="shared" si="91"/>
        <v>0</v>
      </c>
      <c r="JT23" s="324">
        <v>0</v>
      </c>
      <c r="JU23" s="324">
        <v>1</v>
      </c>
      <c r="JV23" s="694">
        <f t="shared" si="92"/>
        <v>1</v>
      </c>
      <c r="JW23" s="324">
        <v>0</v>
      </c>
      <c r="JX23" s="324">
        <v>0</v>
      </c>
      <c r="JY23" s="694">
        <f t="shared" si="93"/>
        <v>0</v>
      </c>
      <c r="JZ23" s="324">
        <v>0</v>
      </c>
      <c r="KA23" s="324">
        <v>0</v>
      </c>
      <c r="KB23" s="694">
        <f t="shared" si="94"/>
        <v>0</v>
      </c>
      <c r="KC23" s="324">
        <v>0</v>
      </c>
      <c r="KD23" s="324">
        <v>0</v>
      </c>
      <c r="KE23" s="694">
        <f t="shared" si="95"/>
        <v>0</v>
      </c>
      <c r="KF23" s="324">
        <v>0</v>
      </c>
      <c r="KG23" s="324">
        <v>0</v>
      </c>
      <c r="KH23" s="694">
        <f t="shared" si="96"/>
        <v>0</v>
      </c>
      <c r="KI23" s="324">
        <v>0</v>
      </c>
      <c r="KJ23" s="324">
        <v>0</v>
      </c>
      <c r="KK23" s="694">
        <f t="shared" si="97"/>
        <v>0</v>
      </c>
      <c r="KL23" s="694">
        <v>0</v>
      </c>
      <c r="KM23" s="694">
        <v>0</v>
      </c>
      <c r="KN23" s="694">
        <f t="shared" si="98"/>
        <v>0</v>
      </c>
      <c r="KO23" s="694">
        <v>0</v>
      </c>
      <c r="KP23" s="694">
        <v>0</v>
      </c>
      <c r="KQ23" s="694">
        <f t="shared" si="99"/>
        <v>0</v>
      </c>
      <c r="KR23" s="694">
        <v>0</v>
      </c>
      <c r="KS23" s="694">
        <v>0</v>
      </c>
      <c r="KT23" s="694">
        <f t="shared" si="100"/>
        <v>0</v>
      </c>
      <c r="KU23" s="694">
        <v>0</v>
      </c>
      <c r="KV23" s="694">
        <v>0</v>
      </c>
      <c r="KW23" s="694">
        <f t="shared" si="101"/>
        <v>0</v>
      </c>
      <c r="KX23" s="694">
        <v>0</v>
      </c>
      <c r="KY23" s="694">
        <v>0</v>
      </c>
      <c r="KZ23" s="694">
        <f t="shared" si="102"/>
        <v>0</v>
      </c>
      <c r="LA23" s="694">
        <v>0</v>
      </c>
      <c r="LB23" s="694">
        <v>0</v>
      </c>
      <c r="LC23" s="694">
        <f t="shared" si="103"/>
        <v>0</v>
      </c>
      <c r="LD23" s="694">
        <v>0</v>
      </c>
      <c r="LE23" s="694">
        <v>0</v>
      </c>
      <c r="LF23" s="694">
        <f t="shared" si="104"/>
        <v>0</v>
      </c>
      <c r="LG23" s="694">
        <v>0</v>
      </c>
      <c r="LH23" s="694">
        <v>0</v>
      </c>
      <c r="LI23" s="694">
        <f t="shared" si="105"/>
        <v>0</v>
      </c>
      <c r="LJ23" s="324">
        <v>3</v>
      </c>
      <c r="LK23" s="324">
        <v>1</v>
      </c>
      <c r="LL23" s="695">
        <f t="shared" si="106"/>
        <v>4</v>
      </c>
    </row>
    <row r="24" spans="1:324" x14ac:dyDescent="0.35">
      <c r="A24" s="696">
        <v>4</v>
      </c>
      <c r="B24" s="387" t="s">
        <v>272</v>
      </c>
      <c r="C24" s="440" t="s">
        <v>57</v>
      </c>
      <c r="D24" s="330">
        <v>6427</v>
      </c>
      <c r="E24" s="330">
        <v>6149</v>
      </c>
      <c r="F24" s="629">
        <f t="shared" si="0"/>
        <v>12576</v>
      </c>
      <c r="G24" s="330">
        <v>5</v>
      </c>
      <c r="H24" s="330">
        <v>10113</v>
      </c>
      <c r="I24" s="629">
        <f t="shared" si="1"/>
        <v>10118</v>
      </c>
      <c r="J24" s="330">
        <v>7376</v>
      </c>
      <c r="K24" s="330">
        <v>6489</v>
      </c>
      <c r="L24" s="629">
        <f t="shared" si="2"/>
        <v>13865</v>
      </c>
      <c r="M24" s="330">
        <v>452</v>
      </c>
      <c r="N24" s="330">
        <v>174</v>
      </c>
      <c r="O24" s="629">
        <f t="shared" si="3"/>
        <v>626</v>
      </c>
      <c r="P24" s="330">
        <v>550</v>
      </c>
      <c r="Q24" s="330">
        <v>534</v>
      </c>
      <c r="R24" s="629">
        <f t="shared" si="4"/>
        <v>1084</v>
      </c>
      <c r="S24" s="330">
        <v>53</v>
      </c>
      <c r="T24" s="330">
        <v>2</v>
      </c>
      <c r="U24" s="629">
        <f t="shared" si="5"/>
        <v>55</v>
      </c>
      <c r="V24" s="330">
        <v>59</v>
      </c>
      <c r="W24" s="330">
        <v>11</v>
      </c>
      <c r="X24" s="629">
        <f t="shared" si="6"/>
        <v>70</v>
      </c>
      <c r="Y24" s="330">
        <v>80</v>
      </c>
      <c r="Z24" s="330">
        <v>23</v>
      </c>
      <c r="AA24" s="629">
        <f t="shared" si="7"/>
        <v>103</v>
      </c>
      <c r="AB24" s="330">
        <v>38</v>
      </c>
      <c r="AC24" s="330">
        <v>14</v>
      </c>
      <c r="AD24" s="629">
        <f t="shared" si="8"/>
        <v>52</v>
      </c>
      <c r="AE24" s="330">
        <v>3</v>
      </c>
      <c r="AF24" s="330">
        <v>0</v>
      </c>
      <c r="AG24" s="629">
        <f t="shared" si="9"/>
        <v>3</v>
      </c>
      <c r="AH24" s="330">
        <v>2</v>
      </c>
      <c r="AI24" s="330">
        <v>0</v>
      </c>
      <c r="AJ24" s="629">
        <f t="shared" si="10"/>
        <v>2</v>
      </c>
      <c r="AK24" s="330">
        <v>6</v>
      </c>
      <c r="AL24" s="330">
        <v>1</v>
      </c>
      <c r="AM24" s="629">
        <f t="shared" si="11"/>
        <v>7</v>
      </c>
      <c r="AN24" s="330">
        <v>10</v>
      </c>
      <c r="AO24" s="330">
        <v>1</v>
      </c>
      <c r="AP24" s="629">
        <f t="shared" si="12"/>
        <v>11</v>
      </c>
      <c r="AQ24" s="330">
        <v>14</v>
      </c>
      <c r="AR24" s="330">
        <v>1</v>
      </c>
      <c r="AS24" s="629">
        <f t="shared" si="13"/>
        <v>15</v>
      </c>
      <c r="AT24" s="330">
        <v>9113</v>
      </c>
      <c r="AU24" s="330">
        <v>5415</v>
      </c>
      <c r="AV24" s="629">
        <f t="shared" si="14"/>
        <v>14528</v>
      </c>
      <c r="AW24" s="330">
        <v>339</v>
      </c>
      <c r="AX24" s="330">
        <v>191</v>
      </c>
      <c r="AY24" s="629">
        <f t="shared" si="15"/>
        <v>530</v>
      </c>
      <c r="AZ24" s="330">
        <v>10</v>
      </c>
      <c r="BA24" s="330">
        <v>15</v>
      </c>
      <c r="BB24" s="629">
        <f t="shared" si="16"/>
        <v>25</v>
      </c>
      <c r="BC24" s="330">
        <v>76</v>
      </c>
      <c r="BD24" s="330">
        <v>42</v>
      </c>
      <c r="BE24" s="629">
        <f t="shared" si="17"/>
        <v>118</v>
      </c>
      <c r="BF24" s="330">
        <v>713</v>
      </c>
      <c r="BG24" s="330">
        <v>29</v>
      </c>
      <c r="BH24" s="629">
        <f t="shared" si="18"/>
        <v>742</v>
      </c>
      <c r="BI24" s="330">
        <v>55</v>
      </c>
      <c r="BJ24" s="330">
        <v>6</v>
      </c>
      <c r="BK24" s="629">
        <f t="shared" si="19"/>
        <v>61</v>
      </c>
      <c r="BL24" s="330">
        <v>1</v>
      </c>
      <c r="BM24" s="330">
        <v>1</v>
      </c>
      <c r="BN24" s="629">
        <f t="shared" si="20"/>
        <v>2</v>
      </c>
      <c r="BO24" s="330">
        <v>0</v>
      </c>
      <c r="BP24" s="330">
        <v>1</v>
      </c>
      <c r="BQ24" s="629">
        <f t="shared" si="21"/>
        <v>1</v>
      </c>
      <c r="BR24" s="330">
        <v>0</v>
      </c>
      <c r="BS24" s="330">
        <v>27</v>
      </c>
      <c r="BT24" s="629">
        <f t="shared" si="22"/>
        <v>27</v>
      </c>
      <c r="BU24" s="330">
        <v>1</v>
      </c>
      <c r="BV24" s="330">
        <v>0</v>
      </c>
      <c r="BW24" s="629">
        <f t="shared" si="23"/>
        <v>1</v>
      </c>
      <c r="BX24" s="330">
        <v>1</v>
      </c>
      <c r="BY24" s="330">
        <v>0</v>
      </c>
      <c r="BZ24" s="629">
        <f t="shared" si="24"/>
        <v>1</v>
      </c>
      <c r="CA24" s="330">
        <v>7</v>
      </c>
      <c r="CB24" s="330">
        <v>0</v>
      </c>
      <c r="CC24" s="629">
        <f t="shared" si="25"/>
        <v>7</v>
      </c>
      <c r="CD24" s="330">
        <v>6</v>
      </c>
      <c r="CE24" s="330">
        <v>0</v>
      </c>
      <c r="CF24" s="629">
        <f t="shared" si="26"/>
        <v>6</v>
      </c>
      <c r="CG24" s="330">
        <v>0</v>
      </c>
      <c r="CH24" s="330">
        <v>0</v>
      </c>
      <c r="CI24" s="629">
        <f t="shared" si="27"/>
        <v>0</v>
      </c>
      <c r="CJ24" s="330">
        <v>1</v>
      </c>
      <c r="CK24" s="330">
        <v>0</v>
      </c>
      <c r="CL24" s="629">
        <f t="shared" si="28"/>
        <v>1</v>
      </c>
      <c r="CM24" s="330">
        <v>4</v>
      </c>
      <c r="CN24" s="330">
        <v>7</v>
      </c>
      <c r="CO24" s="629">
        <f t="shared" si="29"/>
        <v>11</v>
      </c>
      <c r="CP24" s="330">
        <v>1</v>
      </c>
      <c r="CQ24" s="330">
        <v>0</v>
      </c>
      <c r="CR24" s="629">
        <f t="shared" si="30"/>
        <v>1</v>
      </c>
      <c r="CS24" s="330">
        <v>0</v>
      </c>
      <c r="CT24" s="330">
        <v>2</v>
      </c>
      <c r="CU24" s="629">
        <f t="shared" si="31"/>
        <v>2</v>
      </c>
      <c r="CV24" s="330">
        <v>0</v>
      </c>
      <c r="CW24" s="330">
        <v>1</v>
      </c>
      <c r="CX24" s="629">
        <f t="shared" si="32"/>
        <v>1</v>
      </c>
      <c r="CY24" s="330">
        <v>0</v>
      </c>
      <c r="CZ24" s="330">
        <v>1</v>
      </c>
      <c r="DA24" s="629">
        <f t="shared" si="33"/>
        <v>1</v>
      </c>
      <c r="DB24" s="330">
        <v>7</v>
      </c>
      <c r="DC24" s="330">
        <v>1</v>
      </c>
      <c r="DD24" s="629">
        <f t="shared" si="34"/>
        <v>8</v>
      </c>
      <c r="DE24" s="330">
        <v>16</v>
      </c>
      <c r="DF24" s="330">
        <v>5</v>
      </c>
      <c r="DG24" s="629">
        <f t="shared" si="35"/>
        <v>21</v>
      </c>
      <c r="DH24" s="330">
        <v>1</v>
      </c>
      <c r="DI24" s="330">
        <v>0</v>
      </c>
      <c r="DJ24" s="629">
        <f t="shared" si="36"/>
        <v>1</v>
      </c>
      <c r="DK24" s="330">
        <v>0</v>
      </c>
      <c r="DL24" s="330">
        <v>1</v>
      </c>
      <c r="DM24" s="629">
        <f t="shared" si="37"/>
        <v>1</v>
      </c>
      <c r="DN24" s="330">
        <v>0</v>
      </c>
      <c r="DO24" s="330">
        <v>0</v>
      </c>
      <c r="DP24" s="629">
        <f t="shared" si="38"/>
        <v>0</v>
      </c>
      <c r="DQ24" s="330">
        <v>2</v>
      </c>
      <c r="DR24" s="330">
        <v>0</v>
      </c>
      <c r="DS24" s="629">
        <f t="shared" si="39"/>
        <v>2</v>
      </c>
      <c r="DT24" s="330">
        <v>0</v>
      </c>
      <c r="DU24" s="330">
        <v>0</v>
      </c>
      <c r="DV24" s="629">
        <f t="shared" si="40"/>
        <v>0</v>
      </c>
      <c r="DW24" s="330">
        <v>18</v>
      </c>
      <c r="DX24" s="330">
        <v>4</v>
      </c>
      <c r="DY24" s="629">
        <f t="shared" si="41"/>
        <v>22</v>
      </c>
      <c r="DZ24" s="330">
        <v>0</v>
      </c>
      <c r="EA24" s="330">
        <v>0</v>
      </c>
      <c r="EB24" s="629">
        <f t="shared" si="42"/>
        <v>0</v>
      </c>
      <c r="EC24" s="330">
        <v>17</v>
      </c>
      <c r="ED24" s="330">
        <v>5</v>
      </c>
      <c r="EE24" s="629">
        <f t="shared" si="43"/>
        <v>22</v>
      </c>
      <c r="EF24" s="330">
        <v>1</v>
      </c>
      <c r="EG24" s="330">
        <v>0</v>
      </c>
      <c r="EH24" s="629">
        <f t="shared" si="44"/>
        <v>1</v>
      </c>
      <c r="EI24" s="330">
        <v>1</v>
      </c>
      <c r="EJ24" s="330">
        <v>1</v>
      </c>
      <c r="EK24" s="629">
        <f t="shared" si="45"/>
        <v>2</v>
      </c>
      <c r="EL24" s="330">
        <v>0</v>
      </c>
      <c r="EM24" s="330">
        <v>0</v>
      </c>
      <c r="EN24" s="629">
        <f t="shared" si="46"/>
        <v>0</v>
      </c>
      <c r="EO24" s="330">
        <v>1</v>
      </c>
      <c r="EP24" s="330">
        <v>0</v>
      </c>
      <c r="EQ24" s="629">
        <f t="shared" si="47"/>
        <v>1</v>
      </c>
      <c r="ER24" s="330">
        <v>0</v>
      </c>
      <c r="ES24" s="330">
        <v>0</v>
      </c>
      <c r="ET24" s="629">
        <f t="shared" si="48"/>
        <v>0</v>
      </c>
      <c r="EU24" s="330">
        <v>0</v>
      </c>
      <c r="EV24" s="330">
        <v>0</v>
      </c>
      <c r="EW24" s="629">
        <f t="shared" si="49"/>
        <v>0</v>
      </c>
      <c r="EX24" s="330">
        <v>0</v>
      </c>
      <c r="EY24" s="330">
        <v>0</v>
      </c>
      <c r="EZ24" s="629">
        <f t="shared" si="50"/>
        <v>0</v>
      </c>
      <c r="FA24" s="330">
        <v>0</v>
      </c>
      <c r="FB24" s="330">
        <v>0</v>
      </c>
      <c r="FC24" s="629">
        <f t="shared" si="51"/>
        <v>0</v>
      </c>
      <c r="FD24" s="330">
        <v>0</v>
      </c>
      <c r="FE24" s="330">
        <v>0</v>
      </c>
      <c r="FF24" s="629">
        <f t="shared" si="52"/>
        <v>0</v>
      </c>
      <c r="FG24" s="330">
        <v>0</v>
      </c>
      <c r="FH24" s="330">
        <v>0</v>
      </c>
      <c r="FI24" s="629">
        <f t="shared" si="53"/>
        <v>0</v>
      </c>
      <c r="FJ24" s="330">
        <v>0</v>
      </c>
      <c r="FK24" s="330">
        <v>0</v>
      </c>
      <c r="FL24" s="629">
        <f t="shared" si="54"/>
        <v>0</v>
      </c>
      <c r="FM24" s="330">
        <v>0</v>
      </c>
      <c r="FN24" s="330">
        <v>0</v>
      </c>
      <c r="FO24" s="629">
        <f t="shared" si="55"/>
        <v>0</v>
      </c>
      <c r="FP24" s="330">
        <v>0</v>
      </c>
      <c r="FQ24" s="330">
        <v>0</v>
      </c>
      <c r="FR24" s="629">
        <f t="shared" si="56"/>
        <v>0</v>
      </c>
      <c r="FS24" s="330">
        <v>0</v>
      </c>
      <c r="FT24" s="330">
        <v>0</v>
      </c>
      <c r="FU24" s="629">
        <f t="shared" si="57"/>
        <v>0</v>
      </c>
      <c r="FV24" s="330">
        <v>0</v>
      </c>
      <c r="FW24" s="330">
        <v>0</v>
      </c>
      <c r="FX24" s="629">
        <f t="shared" si="58"/>
        <v>0</v>
      </c>
      <c r="FY24" s="330">
        <v>0</v>
      </c>
      <c r="FZ24" s="330">
        <v>0</v>
      </c>
      <c r="GA24" s="629">
        <f t="shared" si="59"/>
        <v>0</v>
      </c>
      <c r="GB24" s="330">
        <v>0</v>
      </c>
      <c r="GC24" s="330">
        <v>0</v>
      </c>
      <c r="GD24" s="629">
        <f t="shared" si="60"/>
        <v>0</v>
      </c>
      <c r="GE24" s="330">
        <v>0</v>
      </c>
      <c r="GF24" s="330">
        <v>0</v>
      </c>
      <c r="GG24" s="629">
        <f t="shared" si="61"/>
        <v>0</v>
      </c>
      <c r="GH24" s="330">
        <v>1</v>
      </c>
      <c r="GI24" s="330">
        <v>0</v>
      </c>
      <c r="GJ24" s="629">
        <f t="shared" si="62"/>
        <v>1</v>
      </c>
      <c r="GK24" s="330">
        <v>32</v>
      </c>
      <c r="GL24" s="330">
        <v>30</v>
      </c>
      <c r="GM24" s="629">
        <f t="shared" si="63"/>
        <v>62</v>
      </c>
      <c r="GN24" s="330">
        <v>132</v>
      </c>
      <c r="GO24" s="330">
        <v>386</v>
      </c>
      <c r="GP24" s="629">
        <f t="shared" si="64"/>
        <v>518</v>
      </c>
      <c r="GQ24" s="330">
        <v>16</v>
      </c>
      <c r="GR24" s="330">
        <v>0</v>
      </c>
      <c r="GS24" s="629">
        <f t="shared" si="65"/>
        <v>16</v>
      </c>
      <c r="GT24" s="330">
        <v>23</v>
      </c>
      <c r="GU24" s="330">
        <v>4</v>
      </c>
      <c r="GV24" s="629">
        <f t="shared" si="66"/>
        <v>27</v>
      </c>
      <c r="GW24" s="330">
        <v>1</v>
      </c>
      <c r="GX24" s="330">
        <v>4</v>
      </c>
      <c r="GY24" s="629">
        <f t="shared" si="67"/>
        <v>5</v>
      </c>
      <c r="GZ24" s="330">
        <v>9</v>
      </c>
      <c r="HA24" s="330">
        <v>4</v>
      </c>
      <c r="HB24" s="629">
        <f t="shared" si="68"/>
        <v>13</v>
      </c>
      <c r="HC24" s="330">
        <v>4</v>
      </c>
      <c r="HD24" s="330">
        <v>3</v>
      </c>
      <c r="HE24" s="629">
        <f t="shared" si="69"/>
        <v>7</v>
      </c>
      <c r="HF24" s="330">
        <v>14</v>
      </c>
      <c r="HG24" s="330">
        <v>3</v>
      </c>
      <c r="HH24" s="629">
        <f t="shared" si="70"/>
        <v>17</v>
      </c>
      <c r="HI24" s="330">
        <v>67</v>
      </c>
      <c r="HJ24" s="330">
        <v>149</v>
      </c>
      <c r="HK24" s="629">
        <f t="shared" si="71"/>
        <v>216</v>
      </c>
      <c r="HL24" s="330">
        <v>0</v>
      </c>
      <c r="HM24" s="330">
        <v>45</v>
      </c>
      <c r="HN24" s="629">
        <f t="shared" si="72"/>
        <v>45</v>
      </c>
      <c r="HO24" s="330">
        <v>8</v>
      </c>
      <c r="HP24" s="330">
        <v>55</v>
      </c>
      <c r="HQ24" s="629">
        <f t="shared" si="73"/>
        <v>63</v>
      </c>
      <c r="HR24" s="330">
        <v>1</v>
      </c>
      <c r="HS24" s="330">
        <v>8</v>
      </c>
      <c r="HT24" s="629">
        <f t="shared" si="74"/>
        <v>9</v>
      </c>
      <c r="HU24" s="330">
        <v>2</v>
      </c>
      <c r="HV24" s="330">
        <v>4</v>
      </c>
      <c r="HW24" s="629">
        <f t="shared" si="75"/>
        <v>6</v>
      </c>
      <c r="HX24" s="330">
        <v>1</v>
      </c>
      <c r="HY24" s="330">
        <v>0</v>
      </c>
      <c r="HZ24" s="629">
        <f t="shared" si="76"/>
        <v>1</v>
      </c>
      <c r="IA24" s="330">
        <v>0</v>
      </c>
      <c r="IB24" s="330">
        <v>0</v>
      </c>
      <c r="IC24" s="629">
        <f t="shared" si="77"/>
        <v>0</v>
      </c>
      <c r="ID24" s="330">
        <v>19</v>
      </c>
      <c r="IE24" s="330">
        <v>0</v>
      </c>
      <c r="IF24" s="629">
        <f t="shared" si="78"/>
        <v>19</v>
      </c>
      <c r="IG24" s="330">
        <v>2</v>
      </c>
      <c r="IH24" s="330">
        <v>2</v>
      </c>
      <c r="II24" s="629">
        <f t="shared" si="79"/>
        <v>4</v>
      </c>
      <c r="IJ24" s="330">
        <v>86</v>
      </c>
      <c r="IK24" s="330">
        <v>0</v>
      </c>
      <c r="IL24" s="629">
        <f t="shared" si="80"/>
        <v>86</v>
      </c>
      <c r="IM24" s="330">
        <v>1</v>
      </c>
      <c r="IN24" s="330">
        <v>0</v>
      </c>
      <c r="IO24" s="629">
        <f t="shared" si="81"/>
        <v>1</v>
      </c>
      <c r="IP24" s="330">
        <v>0</v>
      </c>
      <c r="IQ24" s="330">
        <v>0</v>
      </c>
      <c r="IR24" s="629">
        <f t="shared" si="82"/>
        <v>0</v>
      </c>
      <c r="IS24" s="330">
        <v>140</v>
      </c>
      <c r="IT24" s="330">
        <v>63</v>
      </c>
      <c r="IU24" s="629">
        <f t="shared" si="83"/>
        <v>203</v>
      </c>
      <c r="IV24" s="330">
        <v>0</v>
      </c>
      <c r="IW24" s="330">
        <v>0</v>
      </c>
      <c r="IX24" s="629">
        <f t="shared" si="84"/>
        <v>0</v>
      </c>
      <c r="IY24" s="330">
        <v>1</v>
      </c>
      <c r="IZ24" s="330">
        <v>0</v>
      </c>
      <c r="JA24" s="629">
        <f t="shared" si="85"/>
        <v>1</v>
      </c>
      <c r="JB24" s="330">
        <v>0</v>
      </c>
      <c r="JC24" s="330">
        <v>0</v>
      </c>
      <c r="JD24" s="629">
        <f t="shared" si="86"/>
        <v>0</v>
      </c>
      <c r="JE24" s="330">
        <v>3924</v>
      </c>
      <c r="JF24" s="330">
        <v>951</v>
      </c>
      <c r="JG24" s="629">
        <f t="shared" si="87"/>
        <v>4875</v>
      </c>
      <c r="JH24" s="330">
        <v>1</v>
      </c>
      <c r="JI24" s="330">
        <v>1</v>
      </c>
      <c r="JJ24" s="629">
        <f t="shared" si="88"/>
        <v>2</v>
      </c>
      <c r="JK24" s="330">
        <v>0</v>
      </c>
      <c r="JL24" s="330">
        <v>0</v>
      </c>
      <c r="JM24" s="629">
        <f t="shared" si="89"/>
        <v>0</v>
      </c>
      <c r="JN24" s="330">
        <v>0</v>
      </c>
      <c r="JO24" s="330">
        <v>0</v>
      </c>
      <c r="JP24" s="629">
        <f t="shared" si="90"/>
        <v>0</v>
      </c>
      <c r="JQ24" s="330">
        <v>0</v>
      </c>
      <c r="JR24" s="330">
        <v>0</v>
      </c>
      <c r="JS24" s="629">
        <f t="shared" si="91"/>
        <v>0</v>
      </c>
      <c r="JT24" s="330">
        <v>0</v>
      </c>
      <c r="JU24" s="330">
        <v>1</v>
      </c>
      <c r="JV24" s="629">
        <f t="shared" si="92"/>
        <v>1</v>
      </c>
      <c r="JW24" s="330">
        <v>0</v>
      </c>
      <c r="JX24" s="330">
        <v>0</v>
      </c>
      <c r="JY24" s="629">
        <f t="shared" si="93"/>
        <v>0</v>
      </c>
      <c r="JZ24" s="330">
        <v>0</v>
      </c>
      <c r="KA24" s="330">
        <v>0</v>
      </c>
      <c r="KB24" s="629">
        <f t="shared" si="94"/>
        <v>0</v>
      </c>
      <c r="KC24" s="330">
        <v>0</v>
      </c>
      <c r="KD24" s="330">
        <v>0</v>
      </c>
      <c r="KE24" s="629">
        <f t="shared" si="95"/>
        <v>0</v>
      </c>
      <c r="KF24" s="330">
        <v>0</v>
      </c>
      <c r="KG24" s="330">
        <v>0</v>
      </c>
      <c r="KH24" s="629">
        <f t="shared" si="96"/>
        <v>0</v>
      </c>
      <c r="KI24" s="330">
        <v>0</v>
      </c>
      <c r="KJ24" s="330">
        <v>0</v>
      </c>
      <c r="KK24" s="629">
        <f t="shared" si="97"/>
        <v>0</v>
      </c>
      <c r="KL24" s="629">
        <v>0</v>
      </c>
      <c r="KM24" s="629">
        <v>0</v>
      </c>
      <c r="KN24" s="629">
        <f t="shared" si="98"/>
        <v>0</v>
      </c>
      <c r="KO24" s="629">
        <v>0</v>
      </c>
      <c r="KP24" s="629">
        <v>0</v>
      </c>
      <c r="KQ24" s="629">
        <f t="shared" si="99"/>
        <v>0</v>
      </c>
      <c r="KR24" s="629">
        <v>0</v>
      </c>
      <c r="KS24" s="629">
        <v>0</v>
      </c>
      <c r="KT24" s="629">
        <f t="shared" si="100"/>
        <v>0</v>
      </c>
      <c r="KU24" s="629">
        <v>0</v>
      </c>
      <c r="KV24" s="629">
        <v>0</v>
      </c>
      <c r="KW24" s="629">
        <f t="shared" si="101"/>
        <v>0</v>
      </c>
      <c r="KX24" s="629">
        <v>0</v>
      </c>
      <c r="KY24" s="629">
        <v>0</v>
      </c>
      <c r="KZ24" s="629">
        <f t="shared" si="102"/>
        <v>0</v>
      </c>
      <c r="LA24" s="629">
        <v>0</v>
      </c>
      <c r="LB24" s="629">
        <v>0</v>
      </c>
      <c r="LC24" s="629">
        <f t="shared" si="103"/>
        <v>0</v>
      </c>
      <c r="LD24" s="629">
        <v>0</v>
      </c>
      <c r="LE24" s="629">
        <v>0</v>
      </c>
      <c r="LF24" s="629">
        <f t="shared" si="104"/>
        <v>0</v>
      </c>
      <c r="LG24" s="629">
        <v>0</v>
      </c>
      <c r="LH24" s="629">
        <v>0</v>
      </c>
      <c r="LI24" s="629">
        <f t="shared" si="105"/>
        <v>0</v>
      </c>
      <c r="LJ24" s="330">
        <v>0</v>
      </c>
      <c r="LK24" s="330">
        <v>0</v>
      </c>
      <c r="LL24" s="697">
        <f t="shared" si="106"/>
        <v>0</v>
      </c>
    </row>
    <row r="25" spans="1:324" x14ac:dyDescent="0.35">
      <c r="A25" s="696">
        <v>4</v>
      </c>
      <c r="B25" s="387" t="s">
        <v>273</v>
      </c>
      <c r="C25" s="440" t="s">
        <v>59</v>
      </c>
      <c r="D25" s="330">
        <v>2075</v>
      </c>
      <c r="E25" s="330">
        <v>1834</v>
      </c>
      <c r="F25" s="629">
        <f t="shared" si="0"/>
        <v>3909</v>
      </c>
      <c r="G25" s="330">
        <v>1</v>
      </c>
      <c r="H25" s="330">
        <v>3025</v>
      </c>
      <c r="I25" s="629">
        <f t="shared" si="1"/>
        <v>3026</v>
      </c>
      <c r="J25" s="330">
        <v>2043</v>
      </c>
      <c r="K25" s="330">
        <v>1871</v>
      </c>
      <c r="L25" s="629">
        <f t="shared" si="2"/>
        <v>3914</v>
      </c>
      <c r="M25" s="330">
        <v>70</v>
      </c>
      <c r="N25" s="330">
        <v>35</v>
      </c>
      <c r="O25" s="629">
        <f t="shared" si="3"/>
        <v>105</v>
      </c>
      <c r="P25" s="330">
        <v>168</v>
      </c>
      <c r="Q25" s="330">
        <v>157</v>
      </c>
      <c r="R25" s="629">
        <f t="shared" si="4"/>
        <v>325</v>
      </c>
      <c r="S25" s="330">
        <v>27</v>
      </c>
      <c r="T25" s="330">
        <v>0</v>
      </c>
      <c r="U25" s="629">
        <f t="shared" si="5"/>
        <v>27</v>
      </c>
      <c r="V25" s="330">
        <v>87</v>
      </c>
      <c r="W25" s="330">
        <v>6</v>
      </c>
      <c r="X25" s="629">
        <f t="shared" si="6"/>
        <v>93</v>
      </c>
      <c r="Y25" s="330">
        <v>21</v>
      </c>
      <c r="Z25" s="330">
        <v>13</v>
      </c>
      <c r="AA25" s="629">
        <f t="shared" si="7"/>
        <v>34</v>
      </c>
      <c r="AB25" s="330">
        <v>7</v>
      </c>
      <c r="AC25" s="330">
        <v>0</v>
      </c>
      <c r="AD25" s="629">
        <f t="shared" si="8"/>
        <v>7</v>
      </c>
      <c r="AE25" s="330">
        <v>1</v>
      </c>
      <c r="AF25" s="330">
        <v>0</v>
      </c>
      <c r="AG25" s="629">
        <f t="shared" si="9"/>
        <v>1</v>
      </c>
      <c r="AH25" s="330">
        <v>1</v>
      </c>
      <c r="AI25" s="330">
        <v>0</v>
      </c>
      <c r="AJ25" s="629">
        <f t="shared" si="10"/>
        <v>1</v>
      </c>
      <c r="AK25" s="330">
        <v>0</v>
      </c>
      <c r="AL25" s="330">
        <v>0</v>
      </c>
      <c r="AM25" s="629">
        <f t="shared" si="11"/>
        <v>0</v>
      </c>
      <c r="AN25" s="330">
        <v>3</v>
      </c>
      <c r="AO25" s="330">
        <v>0</v>
      </c>
      <c r="AP25" s="629">
        <f t="shared" si="12"/>
        <v>3</v>
      </c>
      <c r="AQ25" s="330">
        <v>4</v>
      </c>
      <c r="AR25" s="330">
        <v>0</v>
      </c>
      <c r="AS25" s="629">
        <f t="shared" si="13"/>
        <v>4</v>
      </c>
      <c r="AT25" s="330">
        <v>2530</v>
      </c>
      <c r="AU25" s="330">
        <v>1355</v>
      </c>
      <c r="AV25" s="629">
        <f t="shared" si="14"/>
        <v>3885</v>
      </c>
      <c r="AW25" s="330">
        <v>36</v>
      </c>
      <c r="AX25" s="330">
        <v>10</v>
      </c>
      <c r="AY25" s="629">
        <f t="shared" si="15"/>
        <v>46</v>
      </c>
      <c r="AZ25" s="330">
        <v>11</v>
      </c>
      <c r="BA25" s="330">
        <v>5</v>
      </c>
      <c r="BB25" s="629">
        <f t="shared" si="16"/>
        <v>16</v>
      </c>
      <c r="BC25" s="330">
        <v>48</v>
      </c>
      <c r="BD25" s="330">
        <v>21</v>
      </c>
      <c r="BE25" s="629">
        <f t="shared" si="17"/>
        <v>69</v>
      </c>
      <c r="BF25" s="330">
        <v>284</v>
      </c>
      <c r="BG25" s="330">
        <v>15</v>
      </c>
      <c r="BH25" s="629">
        <f t="shared" si="18"/>
        <v>299</v>
      </c>
      <c r="BI25" s="330">
        <v>3</v>
      </c>
      <c r="BJ25" s="330">
        <v>0</v>
      </c>
      <c r="BK25" s="629">
        <f t="shared" si="19"/>
        <v>3</v>
      </c>
      <c r="BL25" s="330">
        <v>0</v>
      </c>
      <c r="BM25" s="330">
        <v>0</v>
      </c>
      <c r="BN25" s="629">
        <f t="shared" si="20"/>
        <v>0</v>
      </c>
      <c r="BO25" s="330">
        <v>2</v>
      </c>
      <c r="BP25" s="330">
        <v>0</v>
      </c>
      <c r="BQ25" s="629">
        <f t="shared" si="21"/>
        <v>2</v>
      </c>
      <c r="BR25" s="330">
        <v>0</v>
      </c>
      <c r="BS25" s="330">
        <v>3</v>
      </c>
      <c r="BT25" s="629">
        <f t="shared" si="22"/>
        <v>3</v>
      </c>
      <c r="BU25" s="330">
        <v>0</v>
      </c>
      <c r="BV25" s="330">
        <v>0</v>
      </c>
      <c r="BW25" s="629">
        <f t="shared" si="23"/>
        <v>0</v>
      </c>
      <c r="BX25" s="330">
        <v>3</v>
      </c>
      <c r="BY25" s="330">
        <v>0</v>
      </c>
      <c r="BZ25" s="629">
        <f t="shared" si="24"/>
        <v>3</v>
      </c>
      <c r="CA25" s="330">
        <v>1</v>
      </c>
      <c r="CB25" s="330">
        <v>0</v>
      </c>
      <c r="CC25" s="629">
        <f t="shared" si="25"/>
        <v>1</v>
      </c>
      <c r="CD25" s="330">
        <v>1</v>
      </c>
      <c r="CE25" s="330">
        <v>0</v>
      </c>
      <c r="CF25" s="629">
        <f t="shared" si="26"/>
        <v>1</v>
      </c>
      <c r="CG25" s="330">
        <v>0</v>
      </c>
      <c r="CH25" s="330">
        <v>0</v>
      </c>
      <c r="CI25" s="629">
        <f t="shared" si="27"/>
        <v>0</v>
      </c>
      <c r="CJ25" s="330">
        <v>1</v>
      </c>
      <c r="CK25" s="330">
        <v>0</v>
      </c>
      <c r="CL25" s="629">
        <f t="shared" si="28"/>
        <v>1</v>
      </c>
      <c r="CM25" s="330">
        <v>3</v>
      </c>
      <c r="CN25" s="330">
        <v>1</v>
      </c>
      <c r="CO25" s="629">
        <f t="shared" si="29"/>
        <v>4</v>
      </c>
      <c r="CP25" s="330">
        <v>0</v>
      </c>
      <c r="CQ25" s="330">
        <v>0</v>
      </c>
      <c r="CR25" s="629">
        <f t="shared" si="30"/>
        <v>0</v>
      </c>
      <c r="CS25" s="330">
        <v>0</v>
      </c>
      <c r="CT25" s="330">
        <v>0</v>
      </c>
      <c r="CU25" s="629">
        <f t="shared" si="31"/>
        <v>0</v>
      </c>
      <c r="CV25" s="330">
        <v>0</v>
      </c>
      <c r="CW25" s="330">
        <v>0</v>
      </c>
      <c r="CX25" s="629">
        <f t="shared" si="32"/>
        <v>0</v>
      </c>
      <c r="CY25" s="330">
        <v>0</v>
      </c>
      <c r="CZ25" s="330">
        <v>0</v>
      </c>
      <c r="DA25" s="629">
        <f t="shared" si="33"/>
        <v>0</v>
      </c>
      <c r="DB25" s="330">
        <v>2</v>
      </c>
      <c r="DC25" s="330">
        <v>0</v>
      </c>
      <c r="DD25" s="629">
        <f t="shared" si="34"/>
        <v>2</v>
      </c>
      <c r="DE25" s="330">
        <v>5</v>
      </c>
      <c r="DF25" s="330">
        <v>1</v>
      </c>
      <c r="DG25" s="629">
        <f t="shared" si="35"/>
        <v>6</v>
      </c>
      <c r="DH25" s="330">
        <v>0</v>
      </c>
      <c r="DI25" s="330">
        <v>0</v>
      </c>
      <c r="DJ25" s="629">
        <f t="shared" si="36"/>
        <v>0</v>
      </c>
      <c r="DK25" s="330">
        <v>0</v>
      </c>
      <c r="DL25" s="330">
        <v>0</v>
      </c>
      <c r="DM25" s="629">
        <f t="shared" si="37"/>
        <v>0</v>
      </c>
      <c r="DN25" s="330">
        <v>0</v>
      </c>
      <c r="DO25" s="330">
        <v>0</v>
      </c>
      <c r="DP25" s="629">
        <f t="shared" si="38"/>
        <v>0</v>
      </c>
      <c r="DQ25" s="330">
        <v>0</v>
      </c>
      <c r="DR25" s="330">
        <v>0</v>
      </c>
      <c r="DS25" s="629">
        <f t="shared" si="39"/>
        <v>0</v>
      </c>
      <c r="DT25" s="330">
        <v>1</v>
      </c>
      <c r="DU25" s="330">
        <v>0</v>
      </c>
      <c r="DV25" s="629">
        <f t="shared" si="40"/>
        <v>1</v>
      </c>
      <c r="DW25" s="330">
        <v>4</v>
      </c>
      <c r="DX25" s="330">
        <v>0</v>
      </c>
      <c r="DY25" s="629">
        <f t="shared" si="41"/>
        <v>4</v>
      </c>
      <c r="DZ25" s="330">
        <v>0</v>
      </c>
      <c r="EA25" s="330">
        <v>0</v>
      </c>
      <c r="EB25" s="629">
        <f t="shared" si="42"/>
        <v>0</v>
      </c>
      <c r="EC25" s="330">
        <v>2</v>
      </c>
      <c r="ED25" s="330">
        <v>0</v>
      </c>
      <c r="EE25" s="629">
        <f t="shared" si="43"/>
        <v>2</v>
      </c>
      <c r="EF25" s="330">
        <v>0</v>
      </c>
      <c r="EG25" s="330">
        <v>0</v>
      </c>
      <c r="EH25" s="629">
        <f t="shared" si="44"/>
        <v>0</v>
      </c>
      <c r="EI25" s="330">
        <v>0</v>
      </c>
      <c r="EJ25" s="330">
        <v>0</v>
      </c>
      <c r="EK25" s="629">
        <f t="shared" si="45"/>
        <v>0</v>
      </c>
      <c r="EL25" s="330">
        <v>0</v>
      </c>
      <c r="EM25" s="330">
        <v>0</v>
      </c>
      <c r="EN25" s="629">
        <f t="shared" si="46"/>
        <v>0</v>
      </c>
      <c r="EO25" s="330">
        <v>0</v>
      </c>
      <c r="EP25" s="330">
        <v>0</v>
      </c>
      <c r="EQ25" s="629">
        <f t="shared" si="47"/>
        <v>0</v>
      </c>
      <c r="ER25" s="330">
        <v>0</v>
      </c>
      <c r="ES25" s="330">
        <v>0</v>
      </c>
      <c r="ET25" s="629">
        <f t="shared" si="48"/>
        <v>0</v>
      </c>
      <c r="EU25" s="330">
        <v>0</v>
      </c>
      <c r="EV25" s="330">
        <v>0</v>
      </c>
      <c r="EW25" s="629">
        <f t="shared" si="49"/>
        <v>0</v>
      </c>
      <c r="EX25" s="330">
        <v>0</v>
      </c>
      <c r="EY25" s="330">
        <v>0</v>
      </c>
      <c r="EZ25" s="629">
        <f t="shared" si="50"/>
        <v>0</v>
      </c>
      <c r="FA25" s="330">
        <v>0</v>
      </c>
      <c r="FB25" s="330">
        <v>0</v>
      </c>
      <c r="FC25" s="629">
        <f t="shared" si="51"/>
        <v>0</v>
      </c>
      <c r="FD25" s="330">
        <v>0</v>
      </c>
      <c r="FE25" s="330">
        <v>0</v>
      </c>
      <c r="FF25" s="629">
        <f t="shared" si="52"/>
        <v>0</v>
      </c>
      <c r="FG25" s="330">
        <v>0</v>
      </c>
      <c r="FH25" s="330">
        <v>0</v>
      </c>
      <c r="FI25" s="629">
        <f t="shared" si="53"/>
        <v>0</v>
      </c>
      <c r="FJ25" s="330">
        <v>0</v>
      </c>
      <c r="FK25" s="330">
        <v>0</v>
      </c>
      <c r="FL25" s="629">
        <f t="shared" si="54"/>
        <v>0</v>
      </c>
      <c r="FM25" s="330">
        <v>0</v>
      </c>
      <c r="FN25" s="330">
        <v>0</v>
      </c>
      <c r="FO25" s="629">
        <f t="shared" si="55"/>
        <v>0</v>
      </c>
      <c r="FP25" s="330">
        <v>0</v>
      </c>
      <c r="FQ25" s="330">
        <v>0</v>
      </c>
      <c r="FR25" s="629">
        <f t="shared" si="56"/>
        <v>0</v>
      </c>
      <c r="FS25" s="330">
        <v>0</v>
      </c>
      <c r="FT25" s="330">
        <v>0</v>
      </c>
      <c r="FU25" s="629">
        <f t="shared" si="57"/>
        <v>0</v>
      </c>
      <c r="FV25" s="330">
        <v>0</v>
      </c>
      <c r="FW25" s="330">
        <v>0</v>
      </c>
      <c r="FX25" s="629">
        <f t="shared" si="58"/>
        <v>0</v>
      </c>
      <c r="FY25" s="330">
        <v>0</v>
      </c>
      <c r="FZ25" s="330">
        <v>0</v>
      </c>
      <c r="GA25" s="629">
        <f t="shared" si="59"/>
        <v>0</v>
      </c>
      <c r="GB25" s="330">
        <v>0</v>
      </c>
      <c r="GC25" s="330">
        <v>0</v>
      </c>
      <c r="GD25" s="629">
        <f t="shared" si="60"/>
        <v>0</v>
      </c>
      <c r="GE25" s="330">
        <v>0</v>
      </c>
      <c r="GF25" s="330">
        <v>0</v>
      </c>
      <c r="GG25" s="629">
        <f t="shared" si="61"/>
        <v>0</v>
      </c>
      <c r="GH25" s="330">
        <v>0</v>
      </c>
      <c r="GI25" s="330">
        <v>0</v>
      </c>
      <c r="GJ25" s="629">
        <f t="shared" si="62"/>
        <v>0</v>
      </c>
      <c r="GK25" s="330">
        <v>13</v>
      </c>
      <c r="GL25" s="330">
        <v>3</v>
      </c>
      <c r="GM25" s="629">
        <f t="shared" si="63"/>
        <v>16</v>
      </c>
      <c r="GN25" s="330">
        <v>32</v>
      </c>
      <c r="GO25" s="330">
        <v>97</v>
      </c>
      <c r="GP25" s="629">
        <f t="shared" si="64"/>
        <v>129</v>
      </c>
      <c r="GQ25" s="330">
        <v>1</v>
      </c>
      <c r="GR25" s="330">
        <v>0</v>
      </c>
      <c r="GS25" s="629">
        <f t="shared" si="65"/>
        <v>1</v>
      </c>
      <c r="GT25" s="330">
        <v>2</v>
      </c>
      <c r="GU25" s="330">
        <v>0</v>
      </c>
      <c r="GV25" s="629">
        <f t="shared" si="66"/>
        <v>2</v>
      </c>
      <c r="GW25" s="330">
        <v>2</v>
      </c>
      <c r="GX25" s="330">
        <v>2</v>
      </c>
      <c r="GY25" s="629">
        <f t="shared" si="67"/>
        <v>4</v>
      </c>
      <c r="GZ25" s="330">
        <v>1</v>
      </c>
      <c r="HA25" s="330">
        <v>0</v>
      </c>
      <c r="HB25" s="629">
        <f t="shared" si="68"/>
        <v>1</v>
      </c>
      <c r="HC25" s="330">
        <v>0</v>
      </c>
      <c r="HD25" s="330">
        <v>2</v>
      </c>
      <c r="HE25" s="629">
        <f t="shared" si="69"/>
        <v>2</v>
      </c>
      <c r="HF25" s="330">
        <v>0</v>
      </c>
      <c r="HG25" s="330">
        <v>0</v>
      </c>
      <c r="HH25" s="629">
        <f t="shared" si="70"/>
        <v>0</v>
      </c>
      <c r="HI25" s="330">
        <v>12</v>
      </c>
      <c r="HJ25" s="330">
        <v>22</v>
      </c>
      <c r="HK25" s="629">
        <f t="shared" si="71"/>
        <v>34</v>
      </c>
      <c r="HL25" s="330">
        <v>0</v>
      </c>
      <c r="HM25" s="330">
        <v>18</v>
      </c>
      <c r="HN25" s="629">
        <f t="shared" si="72"/>
        <v>18</v>
      </c>
      <c r="HO25" s="330">
        <v>5</v>
      </c>
      <c r="HP25" s="330">
        <v>40</v>
      </c>
      <c r="HQ25" s="629">
        <f t="shared" si="73"/>
        <v>45</v>
      </c>
      <c r="HR25" s="330">
        <v>0</v>
      </c>
      <c r="HS25" s="330">
        <v>2</v>
      </c>
      <c r="HT25" s="629">
        <f t="shared" si="74"/>
        <v>2</v>
      </c>
      <c r="HU25" s="330">
        <v>0</v>
      </c>
      <c r="HV25" s="330">
        <v>0</v>
      </c>
      <c r="HW25" s="629">
        <f t="shared" si="75"/>
        <v>0</v>
      </c>
      <c r="HX25" s="330">
        <v>0</v>
      </c>
      <c r="HY25" s="330">
        <v>0</v>
      </c>
      <c r="HZ25" s="629">
        <f t="shared" si="76"/>
        <v>0</v>
      </c>
      <c r="IA25" s="330">
        <v>0</v>
      </c>
      <c r="IB25" s="330">
        <v>0</v>
      </c>
      <c r="IC25" s="629">
        <f t="shared" si="77"/>
        <v>0</v>
      </c>
      <c r="ID25" s="330">
        <v>0</v>
      </c>
      <c r="IE25" s="330">
        <v>0</v>
      </c>
      <c r="IF25" s="629">
        <f t="shared" si="78"/>
        <v>0</v>
      </c>
      <c r="IG25" s="330">
        <v>0</v>
      </c>
      <c r="IH25" s="330">
        <v>0</v>
      </c>
      <c r="II25" s="629">
        <f t="shared" si="79"/>
        <v>0</v>
      </c>
      <c r="IJ25" s="330">
        <v>44</v>
      </c>
      <c r="IK25" s="330">
        <v>0</v>
      </c>
      <c r="IL25" s="629">
        <f t="shared" si="80"/>
        <v>44</v>
      </c>
      <c r="IM25" s="330">
        <v>0</v>
      </c>
      <c r="IN25" s="330">
        <v>0</v>
      </c>
      <c r="IO25" s="629">
        <f t="shared" si="81"/>
        <v>0</v>
      </c>
      <c r="IP25" s="330">
        <v>0</v>
      </c>
      <c r="IQ25" s="330">
        <v>0</v>
      </c>
      <c r="IR25" s="629">
        <f t="shared" si="82"/>
        <v>0</v>
      </c>
      <c r="IS25" s="330">
        <v>104</v>
      </c>
      <c r="IT25" s="330">
        <v>45</v>
      </c>
      <c r="IU25" s="629">
        <f t="shared" si="83"/>
        <v>149</v>
      </c>
      <c r="IV25" s="330">
        <v>0</v>
      </c>
      <c r="IW25" s="330">
        <v>0</v>
      </c>
      <c r="IX25" s="629">
        <f t="shared" si="84"/>
        <v>0</v>
      </c>
      <c r="IY25" s="330">
        <v>0</v>
      </c>
      <c r="IZ25" s="330">
        <v>0</v>
      </c>
      <c r="JA25" s="629">
        <f t="shared" si="85"/>
        <v>0</v>
      </c>
      <c r="JB25" s="330">
        <v>0</v>
      </c>
      <c r="JC25" s="330">
        <v>0</v>
      </c>
      <c r="JD25" s="629">
        <f t="shared" si="86"/>
        <v>0</v>
      </c>
      <c r="JE25" s="330">
        <v>1127</v>
      </c>
      <c r="JF25" s="330">
        <v>281</v>
      </c>
      <c r="JG25" s="629">
        <f t="shared" si="87"/>
        <v>1408</v>
      </c>
      <c r="JH25" s="330">
        <v>0</v>
      </c>
      <c r="JI25" s="330">
        <v>0</v>
      </c>
      <c r="JJ25" s="629">
        <f t="shared" si="88"/>
        <v>0</v>
      </c>
      <c r="JK25" s="330">
        <v>0</v>
      </c>
      <c r="JL25" s="330">
        <v>0</v>
      </c>
      <c r="JM25" s="629">
        <f t="shared" si="89"/>
        <v>0</v>
      </c>
      <c r="JN25" s="330">
        <v>0</v>
      </c>
      <c r="JO25" s="330">
        <v>0</v>
      </c>
      <c r="JP25" s="629">
        <f t="shared" si="90"/>
        <v>0</v>
      </c>
      <c r="JQ25" s="330">
        <v>0</v>
      </c>
      <c r="JR25" s="330">
        <v>0</v>
      </c>
      <c r="JS25" s="629">
        <f t="shared" si="91"/>
        <v>0</v>
      </c>
      <c r="JT25" s="330">
        <v>0</v>
      </c>
      <c r="JU25" s="330">
        <v>0</v>
      </c>
      <c r="JV25" s="629">
        <f t="shared" si="92"/>
        <v>0</v>
      </c>
      <c r="JW25" s="330">
        <v>0</v>
      </c>
      <c r="JX25" s="330">
        <v>0</v>
      </c>
      <c r="JY25" s="629">
        <f t="shared" si="93"/>
        <v>0</v>
      </c>
      <c r="JZ25" s="330">
        <v>0</v>
      </c>
      <c r="KA25" s="330">
        <v>0</v>
      </c>
      <c r="KB25" s="629">
        <f t="shared" si="94"/>
        <v>0</v>
      </c>
      <c r="KC25" s="330">
        <v>0</v>
      </c>
      <c r="KD25" s="330">
        <v>0</v>
      </c>
      <c r="KE25" s="629">
        <f t="shared" si="95"/>
        <v>0</v>
      </c>
      <c r="KF25" s="330">
        <v>0</v>
      </c>
      <c r="KG25" s="330">
        <v>0</v>
      </c>
      <c r="KH25" s="629">
        <f t="shared" si="96"/>
        <v>0</v>
      </c>
      <c r="KI25" s="330">
        <v>0</v>
      </c>
      <c r="KJ25" s="330">
        <v>0</v>
      </c>
      <c r="KK25" s="629">
        <f t="shared" si="97"/>
        <v>0</v>
      </c>
      <c r="KL25" s="629">
        <v>0</v>
      </c>
      <c r="KM25" s="629">
        <v>0</v>
      </c>
      <c r="KN25" s="629">
        <f t="shared" si="98"/>
        <v>0</v>
      </c>
      <c r="KO25" s="629">
        <v>0</v>
      </c>
      <c r="KP25" s="629">
        <v>0</v>
      </c>
      <c r="KQ25" s="629">
        <f t="shared" si="99"/>
        <v>0</v>
      </c>
      <c r="KR25" s="629">
        <v>0</v>
      </c>
      <c r="KS25" s="629">
        <v>0</v>
      </c>
      <c r="KT25" s="629">
        <f t="shared" si="100"/>
        <v>0</v>
      </c>
      <c r="KU25" s="629">
        <v>0</v>
      </c>
      <c r="KV25" s="629">
        <v>0</v>
      </c>
      <c r="KW25" s="629">
        <f t="shared" si="101"/>
        <v>0</v>
      </c>
      <c r="KX25" s="629">
        <v>0</v>
      </c>
      <c r="KY25" s="629">
        <v>0</v>
      </c>
      <c r="KZ25" s="629">
        <f t="shared" si="102"/>
        <v>0</v>
      </c>
      <c r="LA25" s="629">
        <v>0</v>
      </c>
      <c r="LB25" s="629">
        <v>0</v>
      </c>
      <c r="LC25" s="629">
        <f t="shared" si="103"/>
        <v>0</v>
      </c>
      <c r="LD25" s="629">
        <v>0</v>
      </c>
      <c r="LE25" s="629">
        <v>0</v>
      </c>
      <c r="LF25" s="629">
        <f t="shared" si="104"/>
        <v>0</v>
      </c>
      <c r="LG25" s="629">
        <v>0</v>
      </c>
      <c r="LH25" s="629">
        <v>0</v>
      </c>
      <c r="LI25" s="629">
        <f t="shared" si="105"/>
        <v>0</v>
      </c>
      <c r="LJ25" s="330">
        <v>1</v>
      </c>
      <c r="LK25" s="330">
        <v>1</v>
      </c>
      <c r="LL25" s="697">
        <f t="shared" si="106"/>
        <v>2</v>
      </c>
    </row>
    <row r="26" spans="1:324" x14ac:dyDescent="0.35">
      <c r="A26" s="696">
        <v>4</v>
      </c>
      <c r="B26" s="387" t="s">
        <v>274</v>
      </c>
      <c r="C26" s="440" t="s">
        <v>62</v>
      </c>
      <c r="D26" s="330">
        <v>4134</v>
      </c>
      <c r="E26" s="330">
        <v>3626</v>
      </c>
      <c r="F26" s="629">
        <f t="shared" si="0"/>
        <v>7760</v>
      </c>
      <c r="G26" s="330">
        <v>4</v>
      </c>
      <c r="H26" s="330">
        <v>6884</v>
      </c>
      <c r="I26" s="629">
        <f t="shared" si="1"/>
        <v>6888</v>
      </c>
      <c r="J26" s="330">
        <v>4558</v>
      </c>
      <c r="K26" s="330">
        <v>4048</v>
      </c>
      <c r="L26" s="629">
        <f t="shared" si="2"/>
        <v>8606</v>
      </c>
      <c r="M26" s="330">
        <v>322</v>
      </c>
      <c r="N26" s="330">
        <v>105</v>
      </c>
      <c r="O26" s="629">
        <f t="shared" si="3"/>
        <v>427</v>
      </c>
      <c r="P26" s="330">
        <v>308</v>
      </c>
      <c r="Q26" s="330">
        <v>273</v>
      </c>
      <c r="R26" s="629">
        <f t="shared" si="4"/>
        <v>581</v>
      </c>
      <c r="S26" s="330">
        <v>34</v>
      </c>
      <c r="T26" s="330">
        <v>3</v>
      </c>
      <c r="U26" s="629">
        <f t="shared" si="5"/>
        <v>37</v>
      </c>
      <c r="V26" s="330">
        <v>58</v>
      </c>
      <c r="W26" s="330">
        <v>4</v>
      </c>
      <c r="X26" s="629">
        <f t="shared" si="6"/>
        <v>62</v>
      </c>
      <c r="Y26" s="330">
        <v>103</v>
      </c>
      <c r="Z26" s="330">
        <v>31</v>
      </c>
      <c r="AA26" s="629">
        <f t="shared" si="7"/>
        <v>134</v>
      </c>
      <c r="AB26" s="330">
        <v>21</v>
      </c>
      <c r="AC26" s="330">
        <v>4</v>
      </c>
      <c r="AD26" s="629">
        <f t="shared" si="8"/>
        <v>25</v>
      </c>
      <c r="AE26" s="330">
        <v>1</v>
      </c>
      <c r="AF26" s="330">
        <v>0</v>
      </c>
      <c r="AG26" s="629">
        <f t="shared" si="9"/>
        <v>1</v>
      </c>
      <c r="AH26" s="330">
        <v>1</v>
      </c>
      <c r="AI26" s="330">
        <v>0</v>
      </c>
      <c r="AJ26" s="629">
        <f t="shared" si="10"/>
        <v>1</v>
      </c>
      <c r="AK26" s="330">
        <v>5</v>
      </c>
      <c r="AL26" s="330">
        <v>1</v>
      </c>
      <c r="AM26" s="629">
        <f t="shared" si="11"/>
        <v>6</v>
      </c>
      <c r="AN26" s="330">
        <v>2</v>
      </c>
      <c r="AO26" s="330">
        <v>0</v>
      </c>
      <c r="AP26" s="629">
        <f t="shared" si="12"/>
        <v>2</v>
      </c>
      <c r="AQ26" s="330">
        <v>35</v>
      </c>
      <c r="AR26" s="330">
        <v>0</v>
      </c>
      <c r="AS26" s="629">
        <f t="shared" si="13"/>
        <v>35</v>
      </c>
      <c r="AT26" s="330">
        <v>5931</v>
      </c>
      <c r="AU26" s="330">
        <v>3023</v>
      </c>
      <c r="AV26" s="629">
        <f t="shared" si="14"/>
        <v>8954</v>
      </c>
      <c r="AW26" s="330">
        <v>167</v>
      </c>
      <c r="AX26" s="330">
        <v>79</v>
      </c>
      <c r="AY26" s="629">
        <f t="shared" si="15"/>
        <v>246</v>
      </c>
      <c r="AZ26" s="330">
        <v>16</v>
      </c>
      <c r="BA26" s="330">
        <v>6</v>
      </c>
      <c r="BB26" s="629">
        <f t="shared" si="16"/>
        <v>22</v>
      </c>
      <c r="BC26" s="330">
        <v>45</v>
      </c>
      <c r="BD26" s="330">
        <v>24</v>
      </c>
      <c r="BE26" s="629">
        <f t="shared" si="17"/>
        <v>69</v>
      </c>
      <c r="BF26" s="330">
        <v>548</v>
      </c>
      <c r="BG26" s="330">
        <v>25</v>
      </c>
      <c r="BH26" s="629">
        <f t="shared" si="18"/>
        <v>573</v>
      </c>
      <c r="BI26" s="330">
        <v>31</v>
      </c>
      <c r="BJ26" s="330">
        <v>2</v>
      </c>
      <c r="BK26" s="629">
        <f t="shared" si="19"/>
        <v>33</v>
      </c>
      <c r="BL26" s="330">
        <v>3</v>
      </c>
      <c r="BM26" s="330">
        <v>0</v>
      </c>
      <c r="BN26" s="629">
        <f t="shared" si="20"/>
        <v>3</v>
      </c>
      <c r="BO26" s="330">
        <v>1</v>
      </c>
      <c r="BP26" s="330">
        <v>0</v>
      </c>
      <c r="BQ26" s="629">
        <f t="shared" si="21"/>
        <v>1</v>
      </c>
      <c r="BR26" s="330">
        <v>1</v>
      </c>
      <c r="BS26" s="330">
        <v>38</v>
      </c>
      <c r="BT26" s="629">
        <f t="shared" si="22"/>
        <v>39</v>
      </c>
      <c r="BU26" s="330">
        <v>1</v>
      </c>
      <c r="BV26" s="330">
        <v>0</v>
      </c>
      <c r="BW26" s="629">
        <f t="shared" si="23"/>
        <v>1</v>
      </c>
      <c r="BX26" s="330">
        <v>7</v>
      </c>
      <c r="BY26" s="330">
        <v>0</v>
      </c>
      <c r="BZ26" s="629">
        <f t="shared" si="24"/>
        <v>7</v>
      </c>
      <c r="CA26" s="330">
        <v>18</v>
      </c>
      <c r="CB26" s="330">
        <v>0</v>
      </c>
      <c r="CC26" s="629">
        <f t="shared" si="25"/>
        <v>18</v>
      </c>
      <c r="CD26" s="330">
        <v>7</v>
      </c>
      <c r="CE26" s="330">
        <v>0</v>
      </c>
      <c r="CF26" s="629">
        <f t="shared" si="26"/>
        <v>7</v>
      </c>
      <c r="CG26" s="330">
        <v>0</v>
      </c>
      <c r="CH26" s="330">
        <v>0</v>
      </c>
      <c r="CI26" s="629">
        <f t="shared" si="27"/>
        <v>0</v>
      </c>
      <c r="CJ26" s="330">
        <v>6</v>
      </c>
      <c r="CK26" s="330">
        <v>0</v>
      </c>
      <c r="CL26" s="629">
        <f t="shared" si="28"/>
        <v>6</v>
      </c>
      <c r="CM26" s="330">
        <v>7</v>
      </c>
      <c r="CN26" s="330">
        <v>2</v>
      </c>
      <c r="CO26" s="629">
        <f t="shared" si="29"/>
        <v>9</v>
      </c>
      <c r="CP26" s="330">
        <v>0</v>
      </c>
      <c r="CQ26" s="330">
        <v>0</v>
      </c>
      <c r="CR26" s="629">
        <f t="shared" si="30"/>
        <v>0</v>
      </c>
      <c r="CS26" s="330">
        <v>0</v>
      </c>
      <c r="CT26" s="330">
        <v>2</v>
      </c>
      <c r="CU26" s="629">
        <f t="shared" si="31"/>
        <v>2</v>
      </c>
      <c r="CV26" s="330">
        <v>0</v>
      </c>
      <c r="CW26" s="330">
        <v>0</v>
      </c>
      <c r="CX26" s="629">
        <f t="shared" si="32"/>
        <v>0</v>
      </c>
      <c r="CY26" s="330">
        <v>1</v>
      </c>
      <c r="CZ26" s="330">
        <v>1</v>
      </c>
      <c r="DA26" s="629">
        <f t="shared" si="33"/>
        <v>2</v>
      </c>
      <c r="DB26" s="330">
        <v>16</v>
      </c>
      <c r="DC26" s="330">
        <v>0</v>
      </c>
      <c r="DD26" s="629">
        <f t="shared" si="34"/>
        <v>16</v>
      </c>
      <c r="DE26" s="330">
        <v>14</v>
      </c>
      <c r="DF26" s="330">
        <v>3</v>
      </c>
      <c r="DG26" s="629">
        <f t="shared" si="35"/>
        <v>17</v>
      </c>
      <c r="DH26" s="330">
        <v>0</v>
      </c>
      <c r="DI26" s="330">
        <v>0</v>
      </c>
      <c r="DJ26" s="629">
        <f t="shared" si="36"/>
        <v>0</v>
      </c>
      <c r="DK26" s="330">
        <v>0</v>
      </c>
      <c r="DL26" s="330">
        <v>1</v>
      </c>
      <c r="DM26" s="629">
        <f t="shared" si="37"/>
        <v>1</v>
      </c>
      <c r="DN26" s="330">
        <v>0</v>
      </c>
      <c r="DO26" s="330">
        <v>0</v>
      </c>
      <c r="DP26" s="629">
        <f t="shared" si="38"/>
        <v>0</v>
      </c>
      <c r="DQ26" s="330">
        <v>0</v>
      </c>
      <c r="DR26" s="330">
        <v>0</v>
      </c>
      <c r="DS26" s="629">
        <f t="shared" si="39"/>
        <v>0</v>
      </c>
      <c r="DT26" s="330">
        <v>0</v>
      </c>
      <c r="DU26" s="330">
        <v>0</v>
      </c>
      <c r="DV26" s="629">
        <f t="shared" si="40"/>
        <v>0</v>
      </c>
      <c r="DW26" s="330">
        <v>7</v>
      </c>
      <c r="DX26" s="330">
        <v>4</v>
      </c>
      <c r="DY26" s="629">
        <f t="shared" si="41"/>
        <v>11</v>
      </c>
      <c r="DZ26" s="330">
        <v>0</v>
      </c>
      <c r="EA26" s="330">
        <v>0</v>
      </c>
      <c r="EB26" s="629">
        <f t="shared" si="42"/>
        <v>0</v>
      </c>
      <c r="EC26" s="330">
        <v>10</v>
      </c>
      <c r="ED26" s="330">
        <v>3</v>
      </c>
      <c r="EE26" s="629">
        <f t="shared" si="43"/>
        <v>13</v>
      </c>
      <c r="EF26" s="330">
        <v>4</v>
      </c>
      <c r="EG26" s="330">
        <v>2</v>
      </c>
      <c r="EH26" s="629">
        <f t="shared" si="44"/>
        <v>6</v>
      </c>
      <c r="EI26" s="330">
        <v>0</v>
      </c>
      <c r="EJ26" s="330">
        <v>2</v>
      </c>
      <c r="EK26" s="629">
        <f t="shared" si="45"/>
        <v>2</v>
      </c>
      <c r="EL26" s="330">
        <v>0</v>
      </c>
      <c r="EM26" s="330">
        <v>0</v>
      </c>
      <c r="EN26" s="629">
        <f t="shared" si="46"/>
        <v>0</v>
      </c>
      <c r="EO26" s="330">
        <v>1</v>
      </c>
      <c r="EP26" s="330">
        <v>0</v>
      </c>
      <c r="EQ26" s="629">
        <f t="shared" si="47"/>
        <v>1</v>
      </c>
      <c r="ER26" s="330">
        <v>0</v>
      </c>
      <c r="ES26" s="330">
        <v>0</v>
      </c>
      <c r="ET26" s="629">
        <f t="shared" si="48"/>
        <v>0</v>
      </c>
      <c r="EU26" s="330">
        <v>0</v>
      </c>
      <c r="EV26" s="330">
        <v>0</v>
      </c>
      <c r="EW26" s="629">
        <f t="shared" si="49"/>
        <v>0</v>
      </c>
      <c r="EX26" s="330">
        <v>0</v>
      </c>
      <c r="EY26" s="330">
        <v>0</v>
      </c>
      <c r="EZ26" s="629">
        <f t="shared" si="50"/>
        <v>0</v>
      </c>
      <c r="FA26" s="330">
        <v>0</v>
      </c>
      <c r="FB26" s="330">
        <v>0</v>
      </c>
      <c r="FC26" s="629">
        <f t="shared" si="51"/>
        <v>0</v>
      </c>
      <c r="FD26" s="330">
        <v>0</v>
      </c>
      <c r="FE26" s="330">
        <v>0</v>
      </c>
      <c r="FF26" s="629">
        <f t="shared" si="52"/>
        <v>0</v>
      </c>
      <c r="FG26" s="330">
        <v>0</v>
      </c>
      <c r="FH26" s="330">
        <v>0</v>
      </c>
      <c r="FI26" s="629">
        <f t="shared" si="53"/>
        <v>0</v>
      </c>
      <c r="FJ26" s="330">
        <v>0</v>
      </c>
      <c r="FK26" s="330">
        <v>0</v>
      </c>
      <c r="FL26" s="629">
        <f t="shared" si="54"/>
        <v>0</v>
      </c>
      <c r="FM26" s="330">
        <v>0</v>
      </c>
      <c r="FN26" s="330">
        <v>0</v>
      </c>
      <c r="FO26" s="629">
        <f t="shared" si="55"/>
        <v>0</v>
      </c>
      <c r="FP26" s="330">
        <v>0</v>
      </c>
      <c r="FQ26" s="330">
        <v>0</v>
      </c>
      <c r="FR26" s="629">
        <f t="shared" si="56"/>
        <v>0</v>
      </c>
      <c r="FS26" s="330">
        <v>0</v>
      </c>
      <c r="FT26" s="330">
        <v>0</v>
      </c>
      <c r="FU26" s="629">
        <f t="shared" si="57"/>
        <v>0</v>
      </c>
      <c r="FV26" s="330">
        <v>0</v>
      </c>
      <c r="FW26" s="330">
        <v>0</v>
      </c>
      <c r="FX26" s="629">
        <f t="shared" si="58"/>
        <v>0</v>
      </c>
      <c r="FY26" s="330">
        <v>0</v>
      </c>
      <c r="FZ26" s="330">
        <v>0</v>
      </c>
      <c r="GA26" s="629">
        <f t="shared" si="59"/>
        <v>0</v>
      </c>
      <c r="GB26" s="330">
        <v>0</v>
      </c>
      <c r="GC26" s="330">
        <v>0</v>
      </c>
      <c r="GD26" s="629">
        <f t="shared" si="60"/>
        <v>0</v>
      </c>
      <c r="GE26" s="330">
        <v>0</v>
      </c>
      <c r="GF26" s="330">
        <v>0</v>
      </c>
      <c r="GG26" s="629">
        <f t="shared" si="61"/>
        <v>0</v>
      </c>
      <c r="GH26" s="330">
        <v>0</v>
      </c>
      <c r="GI26" s="330">
        <v>0</v>
      </c>
      <c r="GJ26" s="629">
        <f t="shared" si="62"/>
        <v>0</v>
      </c>
      <c r="GK26" s="330">
        <v>20</v>
      </c>
      <c r="GL26" s="330">
        <v>14</v>
      </c>
      <c r="GM26" s="629">
        <f t="shared" si="63"/>
        <v>34</v>
      </c>
      <c r="GN26" s="330">
        <v>113</v>
      </c>
      <c r="GO26" s="330">
        <v>282</v>
      </c>
      <c r="GP26" s="629">
        <f t="shared" si="64"/>
        <v>395</v>
      </c>
      <c r="GQ26" s="330">
        <v>7</v>
      </c>
      <c r="GR26" s="330">
        <v>1</v>
      </c>
      <c r="GS26" s="629">
        <f t="shared" si="65"/>
        <v>8</v>
      </c>
      <c r="GT26" s="330">
        <v>8</v>
      </c>
      <c r="GU26" s="330">
        <v>1</v>
      </c>
      <c r="GV26" s="629">
        <f t="shared" si="66"/>
        <v>9</v>
      </c>
      <c r="GW26" s="330">
        <v>1</v>
      </c>
      <c r="GX26" s="330">
        <v>2</v>
      </c>
      <c r="GY26" s="629">
        <f t="shared" si="67"/>
        <v>3</v>
      </c>
      <c r="GZ26" s="330">
        <v>2</v>
      </c>
      <c r="HA26" s="330">
        <v>0</v>
      </c>
      <c r="HB26" s="629">
        <f t="shared" si="68"/>
        <v>2</v>
      </c>
      <c r="HC26" s="330">
        <v>0</v>
      </c>
      <c r="HD26" s="330">
        <v>1</v>
      </c>
      <c r="HE26" s="629">
        <f t="shared" si="69"/>
        <v>1</v>
      </c>
      <c r="HF26" s="330">
        <v>5</v>
      </c>
      <c r="HG26" s="330">
        <v>0</v>
      </c>
      <c r="HH26" s="629">
        <f t="shared" si="70"/>
        <v>5</v>
      </c>
      <c r="HI26" s="330">
        <v>23</v>
      </c>
      <c r="HJ26" s="330">
        <v>61</v>
      </c>
      <c r="HK26" s="629">
        <f t="shared" si="71"/>
        <v>84</v>
      </c>
      <c r="HL26" s="330">
        <v>0</v>
      </c>
      <c r="HM26" s="330">
        <v>19</v>
      </c>
      <c r="HN26" s="629">
        <f t="shared" si="72"/>
        <v>19</v>
      </c>
      <c r="HO26" s="330">
        <v>6</v>
      </c>
      <c r="HP26" s="330">
        <v>30</v>
      </c>
      <c r="HQ26" s="629">
        <f t="shared" si="73"/>
        <v>36</v>
      </c>
      <c r="HR26" s="330">
        <v>1</v>
      </c>
      <c r="HS26" s="330">
        <v>5</v>
      </c>
      <c r="HT26" s="629">
        <f t="shared" si="74"/>
        <v>6</v>
      </c>
      <c r="HU26" s="330">
        <v>0</v>
      </c>
      <c r="HV26" s="330">
        <v>2</v>
      </c>
      <c r="HW26" s="629">
        <f t="shared" si="75"/>
        <v>2</v>
      </c>
      <c r="HX26" s="330">
        <v>0</v>
      </c>
      <c r="HY26" s="330">
        <v>1</v>
      </c>
      <c r="HZ26" s="629">
        <f t="shared" si="76"/>
        <v>1</v>
      </c>
      <c r="IA26" s="330">
        <v>0</v>
      </c>
      <c r="IB26" s="330">
        <v>0</v>
      </c>
      <c r="IC26" s="629">
        <f t="shared" si="77"/>
        <v>0</v>
      </c>
      <c r="ID26" s="330">
        <v>15</v>
      </c>
      <c r="IE26" s="330">
        <v>1</v>
      </c>
      <c r="IF26" s="629">
        <f t="shared" si="78"/>
        <v>16</v>
      </c>
      <c r="IG26" s="330">
        <v>0</v>
      </c>
      <c r="IH26" s="330">
        <v>0</v>
      </c>
      <c r="II26" s="629">
        <f t="shared" si="79"/>
        <v>0</v>
      </c>
      <c r="IJ26" s="330">
        <v>70</v>
      </c>
      <c r="IK26" s="330">
        <v>0</v>
      </c>
      <c r="IL26" s="629">
        <f t="shared" si="80"/>
        <v>70</v>
      </c>
      <c r="IM26" s="330">
        <v>0</v>
      </c>
      <c r="IN26" s="330">
        <v>0</v>
      </c>
      <c r="IO26" s="629">
        <f t="shared" si="81"/>
        <v>0</v>
      </c>
      <c r="IP26" s="330">
        <v>0</v>
      </c>
      <c r="IQ26" s="330">
        <v>0</v>
      </c>
      <c r="IR26" s="629">
        <f t="shared" si="82"/>
        <v>0</v>
      </c>
      <c r="IS26" s="330">
        <v>86</v>
      </c>
      <c r="IT26" s="330">
        <v>28</v>
      </c>
      <c r="IU26" s="629">
        <f t="shared" si="83"/>
        <v>114</v>
      </c>
      <c r="IV26" s="330">
        <v>0</v>
      </c>
      <c r="IW26" s="330">
        <v>0</v>
      </c>
      <c r="IX26" s="629">
        <f t="shared" si="84"/>
        <v>0</v>
      </c>
      <c r="IY26" s="330">
        <v>0</v>
      </c>
      <c r="IZ26" s="330">
        <v>0</v>
      </c>
      <c r="JA26" s="629">
        <f t="shared" si="85"/>
        <v>0</v>
      </c>
      <c r="JB26" s="330">
        <v>0</v>
      </c>
      <c r="JC26" s="330">
        <v>0</v>
      </c>
      <c r="JD26" s="629">
        <f t="shared" si="86"/>
        <v>0</v>
      </c>
      <c r="JE26" s="330">
        <v>2062</v>
      </c>
      <c r="JF26" s="330">
        <v>424</v>
      </c>
      <c r="JG26" s="629">
        <f t="shared" si="87"/>
        <v>2486</v>
      </c>
      <c r="JH26" s="330">
        <v>2</v>
      </c>
      <c r="JI26" s="330">
        <v>1</v>
      </c>
      <c r="JJ26" s="629">
        <f t="shared" si="88"/>
        <v>3</v>
      </c>
      <c r="JK26" s="330">
        <v>0</v>
      </c>
      <c r="JL26" s="330">
        <v>0</v>
      </c>
      <c r="JM26" s="629">
        <f t="shared" si="89"/>
        <v>0</v>
      </c>
      <c r="JN26" s="330">
        <v>0</v>
      </c>
      <c r="JO26" s="330">
        <v>0</v>
      </c>
      <c r="JP26" s="629">
        <f t="shared" si="90"/>
        <v>0</v>
      </c>
      <c r="JQ26" s="330">
        <v>0</v>
      </c>
      <c r="JR26" s="330">
        <v>0</v>
      </c>
      <c r="JS26" s="629">
        <f t="shared" si="91"/>
        <v>0</v>
      </c>
      <c r="JT26" s="330">
        <v>0</v>
      </c>
      <c r="JU26" s="330">
        <v>0</v>
      </c>
      <c r="JV26" s="629">
        <f t="shared" si="92"/>
        <v>0</v>
      </c>
      <c r="JW26" s="330">
        <v>0</v>
      </c>
      <c r="JX26" s="330">
        <v>0</v>
      </c>
      <c r="JY26" s="629">
        <f t="shared" si="93"/>
        <v>0</v>
      </c>
      <c r="JZ26" s="330">
        <v>0</v>
      </c>
      <c r="KA26" s="330">
        <v>0</v>
      </c>
      <c r="KB26" s="629">
        <f t="shared" si="94"/>
        <v>0</v>
      </c>
      <c r="KC26" s="330">
        <v>0</v>
      </c>
      <c r="KD26" s="330">
        <v>0</v>
      </c>
      <c r="KE26" s="629">
        <f t="shared" si="95"/>
        <v>0</v>
      </c>
      <c r="KF26" s="330">
        <v>0</v>
      </c>
      <c r="KG26" s="330">
        <v>0</v>
      </c>
      <c r="KH26" s="629">
        <f t="shared" si="96"/>
        <v>0</v>
      </c>
      <c r="KI26" s="330">
        <v>0</v>
      </c>
      <c r="KJ26" s="330">
        <v>0</v>
      </c>
      <c r="KK26" s="629">
        <f t="shared" si="97"/>
        <v>0</v>
      </c>
      <c r="KL26" s="629">
        <v>0</v>
      </c>
      <c r="KM26" s="629">
        <v>0</v>
      </c>
      <c r="KN26" s="629">
        <f t="shared" si="98"/>
        <v>0</v>
      </c>
      <c r="KO26" s="629">
        <v>0</v>
      </c>
      <c r="KP26" s="629">
        <v>0</v>
      </c>
      <c r="KQ26" s="629">
        <f t="shared" si="99"/>
        <v>0</v>
      </c>
      <c r="KR26" s="629">
        <v>0</v>
      </c>
      <c r="KS26" s="629">
        <v>0</v>
      </c>
      <c r="KT26" s="629">
        <f t="shared" si="100"/>
        <v>0</v>
      </c>
      <c r="KU26" s="629">
        <v>0</v>
      </c>
      <c r="KV26" s="629">
        <v>0</v>
      </c>
      <c r="KW26" s="629">
        <f t="shared" si="101"/>
        <v>0</v>
      </c>
      <c r="KX26" s="629">
        <v>0</v>
      </c>
      <c r="KY26" s="629">
        <v>0</v>
      </c>
      <c r="KZ26" s="629">
        <f t="shared" si="102"/>
        <v>0</v>
      </c>
      <c r="LA26" s="629">
        <v>0</v>
      </c>
      <c r="LB26" s="629">
        <v>0</v>
      </c>
      <c r="LC26" s="629">
        <f t="shared" si="103"/>
        <v>0</v>
      </c>
      <c r="LD26" s="629">
        <v>0</v>
      </c>
      <c r="LE26" s="629">
        <v>0</v>
      </c>
      <c r="LF26" s="629">
        <f t="shared" si="104"/>
        <v>0</v>
      </c>
      <c r="LG26" s="629">
        <v>0</v>
      </c>
      <c r="LH26" s="629">
        <v>0</v>
      </c>
      <c r="LI26" s="629">
        <f t="shared" si="105"/>
        <v>0</v>
      </c>
      <c r="LJ26" s="330">
        <v>2</v>
      </c>
      <c r="LK26" s="330">
        <v>0</v>
      </c>
      <c r="LL26" s="697">
        <f t="shared" si="106"/>
        <v>2</v>
      </c>
    </row>
    <row r="27" spans="1:324" x14ac:dyDescent="0.35">
      <c r="A27" s="696">
        <v>4</v>
      </c>
      <c r="B27" s="387" t="s">
        <v>275</v>
      </c>
      <c r="C27" s="440" t="s">
        <v>64</v>
      </c>
      <c r="D27" s="330">
        <v>4641</v>
      </c>
      <c r="E27" s="330">
        <v>4373</v>
      </c>
      <c r="F27" s="629">
        <f t="shared" si="0"/>
        <v>9014</v>
      </c>
      <c r="G27" s="330">
        <v>4</v>
      </c>
      <c r="H27" s="330">
        <v>7686</v>
      </c>
      <c r="I27" s="629">
        <f t="shared" si="1"/>
        <v>7690</v>
      </c>
      <c r="J27" s="330">
        <v>5534</v>
      </c>
      <c r="K27" s="330">
        <v>4983</v>
      </c>
      <c r="L27" s="629">
        <f t="shared" si="2"/>
        <v>10517</v>
      </c>
      <c r="M27" s="330">
        <v>362</v>
      </c>
      <c r="N27" s="330">
        <v>185</v>
      </c>
      <c r="O27" s="629">
        <f t="shared" si="3"/>
        <v>547</v>
      </c>
      <c r="P27" s="330">
        <v>352</v>
      </c>
      <c r="Q27" s="330">
        <v>303</v>
      </c>
      <c r="R27" s="629">
        <f t="shared" si="4"/>
        <v>655</v>
      </c>
      <c r="S27" s="330">
        <v>43</v>
      </c>
      <c r="T27" s="330">
        <v>4</v>
      </c>
      <c r="U27" s="629">
        <f t="shared" si="5"/>
        <v>47</v>
      </c>
      <c r="V27" s="330">
        <v>54</v>
      </c>
      <c r="W27" s="330">
        <v>5</v>
      </c>
      <c r="X27" s="629">
        <f t="shared" si="6"/>
        <v>59</v>
      </c>
      <c r="Y27" s="330">
        <v>72</v>
      </c>
      <c r="Z27" s="330">
        <v>30</v>
      </c>
      <c r="AA27" s="629">
        <f t="shared" si="7"/>
        <v>102</v>
      </c>
      <c r="AB27" s="330">
        <v>32</v>
      </c>
      <c r="AC27" s="330">
        <v>15</v>
      </c>
      <c r="AD27" s="629">
        <f t="shared" si="8"/>
        <v>47</v>
      </c>
      <c r="AE27" s="330">
        <v>1</v>
      </c>
      <c r="AF27" s="330">
        <v>0</v>
      </c>
      <c r="AG27" s="629">
        <f t="shared" si="9"/>
        <v>1</v>
      </c>
      <c r="AH27" s="330">
        <v>2</v>
      </c>
      <c r="AI27" s="330">
        <v>0</v>
      </c>
      <c r="AJ27" s="629">
        <f t="shared" si="10"/>
        <v>2</v>
      </c>
      <c r="AK27" s="330">
        <v>6</v>
      </c>
      <c r="AL27" s="330">
        <v>0</v>
      </c>
      <c r="AM27" s="629">
        <f t="shared" si="11"/>
        <v>6</v>
      </c>
      <c r="AN27" s="330">
        <v>5</v>
      </c>
      <c r="AO27" s="330">
        <v>0</v>
      </c>
      <c r="AP27" s="629">
        <f t="shared" si="12"/>
        <v>5</v>
      </c>
      <c r="AQ27" s="330">
        <v>25</v>
      </c>
      <c r="AR27" s="330">
        <v>0</v>
      </c>
      <c r="AS27" s="629">
        <f t="shared" si="13"/>
        <v>25</v>
      </c>
      <c r="AT27" s="330">
        <v>6862</v>
      </c>
      <c r="AU27" s="330">
        <v>3884</v>
      </c>
      <c r="AV27" s="629">
        <f t="shared" si="14"/>
        <v>10746</v>
      </c>
      <c r="AW27" s="330">
        <v>243</v>
      </c>
      <c r="AX27" s="330">
        <v>150</v>
      </c>
      <c r="AY27" s="629">
        <f t="shared" si="15"/>
        <v>393</v>
      </c>
      <c r="AZ27" s="330">
        <v>9</v>
      </c>
      <c r="BA27" s="330">
        <v>12</v>
      </c>
      <c r="BB27" s="629">
        <f t="shared" si="16"/>
        <v>21</v>
      </c>
      <c r="BC27" s="330">
        <v>47</v>
      </c>
      <c r="BD27" s="330">
        <v>24</v>
      </c>
      <c r="BE27" s="629">
        <f t="shared" si="17"/>
        <v>71</v>
      </c>
      <c r="BF27" s="330">
        <v>552</v>
      </c>
      <c r="BG27" s="330">
        <v>37</v>
      </c>
      <c r="BH27" s="629">
        <f t="shared" si="18"/>
        <v>589</v>
      </c>
      <c r="BI27" s="330">
        <v>53</v>
      </c>
      <c r="BJ27" s="330">
        <v>3</v>
      </c>
      <c r="BK27" s="629">
        <f t="shared" si="19"/>
        <v>56</v>
      </c>
      <c r="BL27" s="330">
        <v>1</v>
      </c>
      <c r="BM27" s="330">
        <v>0</v>
      </c>
      <c r="BN27" s="629">
        <f t="shared" si="20"/>
        <v>1</v>
      </c>
      <c r="BO27" s="330">
        <v>1</v>
      </c>
      <c r="BP27" s="330">
        <v>0</v>
      </c>
      <c r="BQ27" s="629">
        <f t="shared" si="21"/>
        <v>1</v>
      </c>
      <c r="BR27" s="330">
        <v>1</v>
      </c>
      <c r="BS27" s="330">
        <v>29</v>
      </c>
      <c r="BT27" s="629">
        <f t="shared" si="22"/>
        <v>30</v>
      </c>
      <c r="BU27" s="330">
        <v>2</v>
      </c>
      <c r="BV27" s="330">
        <v>0</v>
      </c>
      <c r="BW27" s="629">
        <f t="shared" si="23"/>
        <v>2</v>
      </c>
      <c r="BX27" s="330">
        <v>1</v>
      </c>
      <c r="BY27" s="330">
        <v>0</v>
      </c>
      <c r="BZ27" s="629">
        <f t="shared" si="24"/>
        <v>1</v>
      </c>
      <c r="CA27" s="330">
        <v>16</v>
      </c>
      <c r="CB27" s="330">
        <v>0</v>
      </c>
      <c r="CC27" s="629">
        <f t="shared" si="25"/>
        <v>16</v>
      </c>
      <c r="CD27" s="330">
        <v>5</v>
      </c>
      <c r="CE27" s="330">
        <v>0</v>
      </c>
      <c r="CF27" s="629">
        <f t="shared" si="26"/>
        <v>5</v>
      </c>
      <c r="CG27" s="330">
        <v>1</v>
      </c>
      <c r="CH27" s="330">
        <v>0</v>
      </c>
      <c r="CI27" s="629">
        <f t="shared" si="27"/>
        <v>1</v>
      </c>
      <c r="CJ27" s="330">
        <v>2</v>
      </c>
      <c r="CK27" s="330">
        <v>0</v>
      </c>
      <c r="CL27" s="629">
        <f t="shared" si="28"/>
        <v>2</v>
      </c>
      <c r="CM27" s="330">
        <v>1</v>
      </c>
      <c r="CN27" s="330">
        <v>3</v>
      </c>
      <c r="CO27" s="629">
        <f t="shared" si="29"/>
        <v>4</v>
      </c>
      <c r="CP27" s="330">
        <v>0</v>
      </c>
      <c r="CQ27" s="330">
        <v>0</v>
      </c>
      <c r="CR27" s="629">
        <f t="shared" si="30"/>
        <v>0</v>
      </c>
      <c r="CS27" s="330">
        <v>0</v>
      </c>
      <c r="CT27" s="330">
        <v>4</v>
      </c>
      <c r="CU27" s="629">
        <f t="shared" si="31"/>
        <v>4</v>
      </c>
      <c r="CV27" s="330">
        <v>0</v>
      </c>
      <c r="CW27" s="330">
        <v>1</v>
      </c>
      <c r="CX27" s="629">
        <f t="shared" si="32"/>
        <v>1</v>
      </c>
      <c r="CY27" s="330">
        <v>0</v>
      </c>
      <c r="CZ27" s="330">
        <v>1</v>
      </c>
      <c r="DA27" s="629">
        <f t="shared" si="33"/>
        <v>1</v>
      </c>
      <c r="DB27" s="330">
        <v>7</v>
      </c>
      <c r="DC27" s="330">
        <v>0</v>
      </c>
      <c r="DD27" s="629">
        <f t="shared" si="34"/>
        <v>7</v>
      </c>
      <c r="DE27" s="330">
        <v>11</v>
      </c>
      <c r="DF27" s="330">
        <v>2</v>
      </c>
      <c r="DG27" s="629">
        <f t="shared" si="35"/>
        <v>13</v>
      </c>
      <c r="DH27" s="330">
        <v>0</v>
      </c>
      <c r="DI27" s="330">
        <v>0</v>
      </c>
      <c r="DJ27" s="629">
        <f t="shared" si="36"/>
        <v>0</v>
      </c>
      <c r="DK27" s="330">
        <v>0</v>
      </c>
      <c r="DL27" s="330">
        <v>0</v>
      </c>
      <c r="DM27" s="629">
        <f t="shared" si="37"/>
        <v>0</v>
      </c>
      <c r="DN27" s="330">
        <v>0</v>
      </c>
      <c r="DO27" s="330">
        <v>0</v>
      </c>
      <c r="DP27" s="629">
        <f t="shared" si="38"/>
        <v>0</v>
      </c>
      <c r="DQ27" s="330">
        <v>0</v>
      </c>
      <c r="DR27" s="330">
        <v>1</v>
      </c>
      <c r="DS27" s="629">
        <f t="shared" si="39"/>
        <v>1</v>
      </c>
      <c r="DT27" s="330">
        <v>4</v>
      </c>
      <c r="DU27" s="330">
        <v>0</v>
      </c>
      <c r="DV27" s="629">
        <f t="shared" si="40"/>
        <v>4</v>
      </c>
      <c r="DW27" s="330">
        <v>19</v>
      </c>
      <c r="DX27" s="330">
        <v>8</v>
      </c>
      <c r="DY27" s="629">
        <f t="shared" si="41"/>
        <v>27</v>
      </c>
      <c r="DZ27" s="330">
        <v>5</v>
      </c>
      <c r="EA27" s="330">
        <v>0</v>
      </c>
      <c r="EB27" s="629">
        <f t="shared" si="42"/>
        <v>5</v>
      </c>
      <c r="EC27" s="330">
        <v>22</v>
      </c>
      <c r="ED27" s="330">
        <v>5</v>
      </c>
      <c r="EE27" s="629">
        <f t="shared" si="43"/>
        <v>27</v>
      </c>
      <c r="EF27" s="330">
        <v>5</v>
      </c>
      <c r="EG27" s="330">
        <v>3</v>
      </c>
      <c r="EH27" s="629">
        <f t="shared" si="44"/>
        <v>8</v>
      </c>
      <c r="EI27" s="330">
        <v>0</v>
      </c>
      <c r="EJ27" s="330">
        <v>1</v>
      </c>
      <c r="EK27" s="629">
        <f t="shared" si="45"/>
        <v>1</v>
      </c>
      <c r="EL27" s="330">
        <v>0</v>
      </c>
      <c r="EM27" s="330">
        <v>0</v>
      </c>
      <c r="EN27" s="629">
        <f t="shared" si="46"/>
        <v>0</v>
      </c>
      <c r="EO27" s="330">
        <v>0</v>
      </c>
      <c r="EP27" s="330">
        <v>0</v>
      </c>
      <c r="EQ27" s="629">
        <f t="shared" si="47"/>
        <v>0</v>
      </c>
      <c r="ER27" s="330">
        <v>0</v>
      </c>
      <c r="ES27" s="330">
        <v>0</v>
      </c>
      <c r="ET27" s="629">
        <f t="shared" si="48"/>
        <v>0</v>
      </c>
      <c r="EU27" s="330">
        <v>0</v>
      </c>
      <c r="EV27" s="330">
        <v>0</v>
      </c>
      <c r="EW27" s="629">
        <f t="shared" si="49"/>
        <v>0</v>
      </c>
      <c r="EX27" s="330">
        <v>0</v>
      </c>
      <c r="EY27" s="330">
        <v>0</v>
      </c>
      <c r="EZ27" s="629">
        <f t="shared" si="50"/>
        <v>0</v>
      </c>
      <c r="FA27" s="330">
        <v>0</v>
      </c>
      <c r="FB27" s="330">
        <v>0</v>
      </c>
      <c r="FC27" s="629">
        <f t="shared" si="51"/>
        <v>0</v>
      </c>
      <c r="FD27" s="330">
        <v>0</v>
      </c>
      <c r="FE27" s="330">
        <v>0</v>
      </c>
      <c r="FF27" s="629">
        <f t="shared" si="52"/>
        <v>0</v>
      </c>
      <c r="FG27" s="330">
        <v>0</v>
      </c>
      <c r="FH27" s="330">
        <v>0</v>
      </c>
      <c r="FI27" s="629">
        <f t="shared" si="53"/>
        <v>0</v>
      </c>
      <c r="FJ27" s="330">
        <v>0</v>
      </c>
      <c r="FK27" s="330">
        <v>0</v>
      </c>
      <c r="FL27" s="629">
        <f t="shared" si="54"/>
        <v>0</v>
      </c>
      <c r="FM27" s="330">
        <v>0</v>
      </c>
      <c r="FN27" s="330">
        <v>0</v>
      </c>
      <c r="FO27" s="629">
        <f t="shared" si="55"/>
        <v>0</v>
      </c>
      <c r="FP27" s="330">
        <v>0</v>
      </c>
      <c r="FQ27" s="330">
        <v>0</v>
      </c>
      <c r="FR27" s="629">
        <f t="shared" si="56"/>
        <v>0</v>
      </c>
      <c r="FS27" s="330">
        <v>0</v>
      </c>
      <c r="FT27" s="330">
        <v>0</v>
      </c>
      <c r="FU27" s="629">
        <f t="shared" si="57"/>
        <v>0</v>
      </c>
      <c r="FV27" s="330">
        <v>0</v>
      </c>
      <c r="FW27" s="330">
        <v>0</v>
      </c>
      <c r="FX27" s="629">
        <f t="shared" si="58"/>
        <v>0</v>
      </c>
      <c r="FY27" s="330">
        <v>0</v>
      </c>
      <c r="FZ27" s="330">
        <v>0</v>
      </c>
      <c r="GA27" s="629">
        <f t="shared" si="59"/>
        <v>0</v>
      </c>
      <c r="GB27" s="330">
        <v>0</v>
      </c>
      <c r="GC27" s="330">
        <v>0</v>
      </c>
      <c r="GD27" s="629">
        <f t="shared" si="60"/>
        <v>0</v>
      </c>
      <c r="GE27" s="330">
        <v>0</v>
      </c>
      <c r="GF27" s="330">
        <v>0</v>
      </c>
      <c r="GG27" s="629">
        <f t="shared" si="61"/>
        <v>0</v>
      </c>
      <c r="GH27" s="330">
        <v>2</v>
      </c>
      <c r="GI27" s="330">
        <v>1</v>
      </c>
      <c r="GJ27" s="629">
        <f t="shared" si="62"/>
        <v>3</v>
      </c>
      <c r="GK27" s="330">
        <v>35</v>
      </c>
      <c r="GL27" s="330">
        <v>31</v>
      </c>
      <c r="GM27" s="629">
        <f t="shared" si="63"/>
        <v>66</v>
      </c>
      <c r="GN27" s="330">
        <v>106</v>
      </c>
      <c r="GO27" s="330">
        <v>216</v>
      </c>
      <c r="GP27" s="629">
        <f t="shared" si="64"/>
        <v>322</v>
      </c>
      <c r="GQ27" s="330">
        <v>19</v>
      </c>
      <c r="GR27" s="330">
        <v>3</v>
      </c>
      <c r="GS27" s="629">
        <f t="shared" si="65"/>
        <v>22</v>
      </c>
      <c r="GT27" s="330">
        <v>18</v>
      </c>
      <c r="GU27" s="330">
        <v>2</v>
      </c>
      <c r="GV27" s="629">
        <f t="shared" si="66"/>
        <v>20</v>
      </c>
      <c r="GW27" s="330">
        <v>5</v>
      </c>
      <c r="GX27" s="330">
        <v>8</v>
      </c>
      <c r="GY27" s="629">
        <f t="shared" si="67"/>
        <v>13</v>
      </c>
      <c r="GZ27" s="330">
        <v>8</v>
      </c>
      <c r="HA27" s="330">
        <v>4</v>
      </c>
      <c r="HB27" s="629">
        <f t="shared" si="68"/>
        <v>12</v>
      </c>
      <c r="HC27" s="330">
        <v>1</v>
      </c>
      <c r="HD27" s="330">
        <v>6</v>
      </c>
      <c r="HE27" s="629">
        <f t="shared" si="69"/>
        <v>7</v>
      </c>
      <c r="HF27" s="330">
        <v>11</v>
      </c>
      <c r="HG27" s="330">
        <v>2</v>
      </c>
      <c r="HH27" s="629">
        <f t="shared" si="70"/>
        <v>13</v>
      </c>
      <c r="HI27" s="330">
        <v>98</v>
      </c>
      <c r="HJ27" s="330">
        <v>164</v>
      </c>
      <c r="HK27" s="629">
        <f t="shared" si="71"/>
        <v>262</v>
      </c>
      <c r="HL27" s="330">
        <v>0</v>
      </c>
      <c r="HM27" s="330">
        <v>17</v>
      </c>
      <c r="HN27" s="629">
        <f t="shared" si="72"/>
        <v>17</v>
      </c>
      <c r="HO27" s="330">
        <v>6</v>
      </c>
      <c r="HP27" s="330">
        <v>42</v>
      </c>
      <c r="HQ27" s="629">
        <f t="shared" si="73"/>
        <v>48</v>
      </c>
      <c r="HR27" s="330">
        <v>0</v>
      </c>
      <c r="HS27" s="330">
        <v>6</v>
      </c>
      <c r="HT27" s="629">
        <f t="shared" si="74"/>
        <v>6</v>
      </c>
      <c r="HU27" s="330">
        <v>1</v>
      </c>
      <c r="HV27" s="330">
        <v>1</v>
      </c>
      <c r="HW27" s="629">
        <f t="shared" si="75"/>
        <v>2</v>
      </c>
      <c r="HX27" s="330">
        <v>0</v>
      </c>
      <c r="HY27" s="330">
        <v>0</v>
      </c>
      <c r="HZ27" s="629">
        <f t="shared" si="76"/>
        <v>0</v>
      </c>
      <c r="IA27" s="330">
        <v>0</v>
      </c>
      <c r="IB27" s="330">
        <v>0</v>
      </c>
      <c r="IC27" s="629">
        <f t="shared" si="77"/>
        <v>0</v>
      </c>
      <c r="ID27" s="330">
        <v>16</v>
      </c>
      <c r="IE27" s="330">
        <v>0</v>
      </c>
      <c r="IF27" s="629">
        <f t="shared" si="78"/>
        <v>16</v>
      </c>
      <c r="IG27" s="330">
        <v>1</v>
      </c>
      <c r="IH27" s="330">
        <v>0</v>
      </c>
      <c r="II27" s="629">
        <f t="shared" si="79"/>
        <v>1</v>
      </c>
      <c r="IJ27" s="330">
        <v>73</v>
      </c>
      <c r="IK27" s="330">
        <v>0</v>
      </c>
      <c r="IL27" s="629">
        <f t="shared" si="80"/>
        <v>73</v>
      </c>
      <c r="IM27" s="330">
        <v>0</v>
      </c>
      <c r="IN27" s="330">
        <v>0</v>
      </c>
      <c r="IO27" s="629">
        <f t="shared" si="81"/>
        <v>0</v>
      </c>
      <c r="IP27" s="330">
        <v>0</v>
      </c>
      <c r="IQ27" s="330">
        <v>0</v>
      </c>
      <c r="IR27" s="629">
        <f t="shared" si="82"/>
        <v>0</v>
      </c>
      <c r="IS27" s="330">
        <v>116</v>
      </c>
      <c r="IT27" s="330">
        <v>40</v>
      </c>
      <c r="IU27" s="629">
        <f t="shared" si="83"/>
        <v>156</v>
      </c>
      <c r="IV27" s="330">
        <v>0</v>
      </c>
      <c r="IW27" s="330">
        <v>0</v>
      </c>
      <c r="IX27" s="629">
        <f t="shared" si="84"/>
        <v>0</v>
      </c>
      <c r="IY27" s="330">
        <v>0</v>
      </c>
      <c r="IZ27" s="330">
        <v>0</v>
      </c>
      <c r="JA27" s="629">
        <f t="shared" si="85"/>
        <v>0</v>
      </c>
      <c r="JB27" s="330">
        <v>0</v>
      </c>
      <c r="JC27" s="330">
        <v>1</v>
      </c>
      <c r="JD27" s="629">
        <f t="shared" si="86"/>
        <v>1</v>
      </c>
      <c r="JE27" s="330">
        <v>2746</v>
      </c>
      <c r="JF27" s="330">
        <v>673</v>
      </c>
      <c r="JG27" s="629">
        <f t="shared" si="87"/>
        <v>3419</v>
      </c>
      <c r="JH27" s="330">
        <v>0</v>
      </c>
      <c r="JI27" s="330">
        <v>0</v>
      </c>
      <c r="JJ27" s="629">
        <f t="shared" si="88"/>
        <v>0</v>
      </c>
      <c r="JK27" s="330">
        <v>0</v>
      </c>
      <c r="JL27" s="330">
        <v>0</v>
      </c>
      <c r="JM27" s="629">
        <f t="shared" si="89"/>
        <v>0</v>
      </c>
      <c r="JN27" s="330">
        <v>0</v>
      </c>
      <c r="JO27" s="330">
        <v>1</v>
      </c>
      <c r="JP27" s="629">
        <f t="shared" si="90"/>
        <v>1</v>
      </c>
      <c r="JQ27" s="330">
        <v>0</v>
      </c>
      <c r="JR27" s="330">
        <v>0</v>
      </c>
      <c r="JS27" s="629">
        <f t="shared" si="91"/>
        <v>0</v>
      </c>
      <c r="JT27" s="330">
        <v>0</v>
      </c>
      <c r="JU27" s="330">
        <v>0</v>
      </c>
      <c r="JV27" s="629">
        <f t="shared" si="92"/>
        <v>0</v>
      </c>
      <c r="JW27" s="330">
        <v>0</v>
      </c>
      <c r="JX27" s="330">
        <v>0</v>
      </c>
      <c r="JY27" s="629">
        <f t="shared" si="93"/>
        <v>0</v>
      </c>
      <c r="JZ27" s="330">
        <v>0</v>
      </c>
      <c r="KA27" s="330">
        <v>0</v>
      </c>
      <c r="KB27" s="629">
        <f t="shared" si="94"/>
        <v>0</v>
      </c>
      <c r="KC27" s="330">
        <v>0</v>
      </c>
      <c r="KD27" s="330">
        <v>0</v>
      </c>
      <c r="KE27" s="629">
        <f t="shared" si="95"/>
        <v>0</v>
      </c>
      <c r="KF27" s="330">
        <v>0</v>
      </c>
      <c r="KG27" s="330">
        <v>0</v>
      </c>
      <c r="KH27" s="629">
        <f t="shared" si="96"/>
        <v>0</v>
      </c>
      <c r="KI27" s="330">
        <v>0</v>
      </c>
      <c r="KJ27" s="330">
        <v>0</v>
      </c>
      <c r="KK27" s="629">
        <f t="shared" si="97"/>
        <v>0</v>
      </c>
      <c r="KL27" s="629">
        <v>0</v>
      </c>
      <c r="KM27" s="629">
        <v>0</v>
      </c>
      <c r="KN27" s="629">
        <f t="shared" si="98"/>
        <v>0</v>
      </c>
      <c r="KO27" s="629">
        <v>0</v>
      </c>
      <c r="KP27" s="629">
        <v>0</v>
      </c>
      <c r="KQ27" s="629">
        <f t="shared" si="99"/>
        <v>0</v>
      </c>
      <c r="KR27" s="629">
        <v>0</v>
      </c>
      <c r="KS27" s="629">
        <v>0</v>
      </c>
      <c r="KT27" s="629">
        <f t="shared" si="100"/>
        <v>0</v>
      </c>
      <c r="KU27" s="629">
        <v>0</v>
      </c>
      <c r="KV27" s="629">
        <v>0</v>
      </c>
      <c r="KW27" s="629">
        <f t="shared" si="101"/>
        <v>0</v>
      </c>
      <c r="KX27" s="629">
        <v>0</v>
      </c>
      <c r="KY27" s="629">
        <v>0</v>
      </c>
      <c r="KZ27" s="629">
        <f t="shared" si="102"/>
        <v>0</v>
      </c>
      <c r="LA27" s="629">
        <v>0</v>
      </c>
      <c r="LB27" s="629">
        <v>0</v>
      </c>
      <c r="LC27" s="629">
        <f t="shared" si="103"/>
        <v>0</v>
      </c>
      <c r="LD27" s="629">
        <v>0</v>
      </c>
      <c r="LE27" s="629">
        <v>0</v>
      </c>
      <c r="LF27" s="629">
        <f t="shared" si="104"/>
        <v>0</v>
      </c>
      <c r="LG27" s="629">
        <v>0</v>
      </c>
      <c r="LH27" s="629">
        <v>0</v>
      </c>
      <c r="LI27" s="629">
        <f t="shared" si="105"/>
        <v>0</v>
      </c>
      <c r="LJ27" s="330">
        <v>0</v>
      </c>
      <c r="LK27" s="330">
        <v>0</v>
      </c>
      <c r="LL27" s="697">
        <f t="shared" si="106"/>
        <v>0</v>
      </c>
    </row>
    <row r="28" spans="1:324" ht="15" thickBot="1" x14ac:dyDescent="0.4">
      <c r="A28" s="698">
        <v>4</v>
      </c>
      <c r="B28" s="391" t="s">
        <v>276</v>
      </c>
      <c r="C28" s="443" t="s">
        <v>66</v>
      </c>
      <c r="D28" s="337">
        <v>6083</v>
      </c>
      <c r="E28" s="337">
        <v>5560</v>
      </c>
      <c r="F28" s="699">
        <f t="shared" si="0"/>
        <v>11643</v>
      </c>
      <c r="G28" s="337">
        <v>1</v>
      </c>
      <c r="H28" s="337">
        <v>9546</v>
      </c>
      <c r="I28" s="699">
        <f t="shared" si="1"/>
        <v>9547</v>
      </c>
      <c r="J28" s="337">
        <v>7598</v>
      </c>
      <c r="K28" s="337">
        <v>6632</v>
      </c>
      <c r="L28" s="699">
        <f t="shared" si="2"/>
        <v>14230</v>
      </c>
      <c r="M28" s="337">
        <v>558</v>
      </c>
      <c r="N28" s="337">
        <v>247</v>
      </c>
      <c r="O28" s="699">
        <f t="shared" si="3"/>
        <v>805</v>
      </c>
      <c r="P28" s="337">
        <v>698</v>
      </c>
      <c r="Q28" s="337">
        <v>651</v>
      </c>
      <c r="R28" s="699">
        <f t="shared" si="4"/>
        <v>1349</v>
      </c>
      <c r="S28" s="337">
        <v>47</v>
      </c>
      <c r="T28" s="337">
        <v>3</v>
      </c>
      <c r="U28" s="699">
        <f t="shared" si="5"/>
        <v>50</v>
      </c>
      <c r="V28" s="337">
        <v>82</v>
      </c>
      <c r="W28" s="337">
        <v>1</v>
      </c>
      <c r="X28" s="699">
        <f t="shared" si="6"/>
        <v>83</v>
      </c>
      <c r="Y28" s="337">
        <v>74</v>
      </c>
      <c r="Z28" s="337">
        <v>30</v>
      </c>
      <c r="AA28" s="699">
        <f t="shared" si="7"/>
        <v>104</v>
      </c>
      <c r="AB28" s="337">
        <v>18</v>
      </c>
      <c r="AC28" s="337">
        <v>9</v>
      </c>
      <c r="AD28" s="699">
        <f t="shared" si="8"/>
        <v>27</v>
      </c>
      <c r="AE28" s="337">
        <v>0</v>
      </c>
      <c r="AF28" s="337">
        <v>0</v>
      </c>
      <c r="AG28" s="699">
        <f t="shared" si="9"/>
        <v>0</v>
      </c>
      <c r="AH28" s="337">
        <v>1</v>
      </c>
      <c r="AI28" s="337">
        <v>0</v>
      </c>
      <c r="AJ28" s="699">
        <f t="shared" si="10"/>
        <v>1</v>
      </c>
      <c r="AK28" s="337">
        <v>10</v>
      </c>
      <c r="AL28" s="337">
        <v>1</v>
      </c>
      <c r="AM28" s="699">
        <f t="shared" si="11"/>
        <v>11</v>
      </c>
      <c r="AN28" s="337">
        <v>9</v>
      </c>
      <c r="AO28" s="337">
        <v>1</v>
      </c>
      <c r="AP28" s="699">
        <f t="shared" si="12"/>
        <v>10</v>
      </c>
      <c r="AQ28" s="337">
        <v>23</v>
      </c>
      <c r="AR28" s="337">
        <v>3</v>
      </c>
      <c r="AS28" s="699">
        <f t="shared" si="13"/>
        <v>26</v>
      </c>
      <c r="AT28" s="337">
        <v>8979</v>
      </c>
      <c r="AU28" s="337">
        <v>5143</v>
      </c>
      <c r="AV28" s="699">
        <f t="shared" si="14"/>
        <v>14122</v>
      </c>
      <c r="AW28" s="337">
        <v>235</v>
      </c>
      <c r="AX28" s="337">
        <v>145</v>
      </c>
      <c r="AY28" s="699">
        <f t="shared" si="15"/>
        <v>380</v>
      </c>
      <c r="AZ28" s="337">
        <v>21</v>
      </c>
      <c r="BA28" s="337">
        <v>17</v>
      </c>
      <c r="BB28" s="699">
        <f t="shared" si="16"/>
        <v>38</v>
      </c>
      <c r="BC28" s="337">
        <v>89</v>
      </c>
      <c r="BD28" s="337">
        <v>58</v>
      </c>
      <c r="BE28" s="699">
        <f t="shared" si="17"/>
        <v>147</v>
      </c>
      <c r="BF28" s="337">
        <v>774</v>
      </c>
      <c r="BG28" s="337">
        <v>53</v>
      </c>
      <c r="BH28" s="699">
        <f t="shared" si="18"/>
        <v>827</v>
      </c>
      <c r="BI28" s="337">
        <v>15</v>
      </c>
      <c r="BJ28" s="337">
        <v>4</v>
      </c>
      <c r="BK28" s="699">
        <f t="shared" si="19"/>
        <v>19</v>
      </c>
      <c r="BL28" s="337">
        <v>1</v>
      </c>
      <c r="BM28" s="337">
        <v>0</v>
      </c>
      <c r="BN28" s="699">
        <f t="shared" si="20"/>
        <v>1</v>
      </c>
      <c r="BO28" s="337">
        <v>0</v>
      </c>
      <c r="BP28" s="337">
        <v>0</v>
      </c>
      <c r="BQ28" s="699">
        <f t="shared" si="21"/>
        <v>0</v>
      </c>
      <c r="BR28" s="337">
        <v>2</v>
      </c>
      <c r="BS28" s="337">
        <v>33</v>
      </c>
      <c r="BT28" s="699">
        <f t="shared" si="22"/>
        <v>35</v>
      </c>
      <c r="BU28" s="337">
        <v>0</v>
      </c>
      <c r="BV28" s="337">
        <v>0</v>
      </c>
      <c r="BW28" s="699">
        <f t="shared" si="23"/>
        <v>0</v>
      </c>
      <c r="BX28" s="337">
        <v>4</v>
      </c>
      <c r="BY28" s="337">
        <v>0</v>
      </c>
      <c r="BZ28" s="699">
        <f t="shared" si="24"/>
        <v>4</v>
      </c>
      <c r="CA28" s="337">
        <v>11</v>
      </c>
      <c r="CB28" s="337">
        <v>0</v>
      </c>
      <c r="CC28" s="699">
        <f t="shared" si="25"/>
        <v>11</v>
      </c>
      <c r="CD28" s="337">
        <v>3</v>
      </c>
      <c r="CE28" s="337">
        <v>0</v>
      </c>
      <c r="CF28" s="699">
        <f t="shared" si="26"/>
        <v>3</v>
      </c>
      <c r="CG28" s="337">
        <v>1</v>
      </c>
      <c r="CH28" s="337">
        <v>0</v>
      </c>
      <c r="CI28" s="699">
        <f t="shared" si="27"/>
        <v>1</v>
      </c>
      <c r="CJ28" s="337">
        <v>2</v>
      </c>
      <c r="CK28" s="337">
        <v>0</v>
      </c>
      <c r="CL28" s="699">
        <f t="shared" si="28"/>
        <v>2</v>
      </c>
      <c r="CM28" s="337">
        <v>7</v>
      </c>
      <c r="CN28" s="337">
        <v>5</v>
      </c>
      <c r="CO28" s="699">
        <f t="shared" si="29"/>
        <v>12</v>
      </c>
      <c r="CP28" s="337">
        <v>0</v>
      </c>
      <c r="CQ28" s="337">
        <v>1</v>
      </c>
      <c r="CR28" s="699">
        <f t="shared" si="30"/>
        <v>1</v>
      </c>
      <c r="CS28" s="337">
        <v>0</v>
      </c>
      <c r="CT28" s="337">
        <v>5</v>
      </c>
      <c r="CU28" s="699">
        <f t="shared" si="31"/>
        <v>5</v>
      </c>
      <c r="CV28" s="337">
        <v>0</v>
      </c>
      <c r="CW28" s="337">
        <v>2</v>
      </c>
      <c r="CX28" s="699">
        <f t="shared" si="32"/>
        <v>2</v>
      </c>
      <c r="CY28" s="337">
        <v>0</v>
      </c>
      <c r="CZ28" s="337">
        <v>1</v>
      </c>
      <c r="DA28" s="699">
        <f t="shared" si="33"/>
        <v>1</v>
      </c>
      <c r="DB28" s="337">
        <v>15</v>
      </c>
      <c r="DC28" s="337">
        <v>0</v>
      </c>
      <c r="DD28" s="699">
        <f t="shared" si="34"/>
        <v>15</v>
      </c>
      <c r="DE28" s="337">
        <v>17</v>
      </c>
      <c r="DF28" s="337">
        <v>5</v>
      </c>
      <c r="DG28" s="699">
        <f t="shared" si="35"/>
        <v>22</v>
      </c>
      <c r="DH28" s="337">
        <v>2</v>
      </c>
      <c r="DI28" s="337">
        <v>0</v>
      </c>
      <c r="DJ28" s="699">
        <f t="shared" si="36"/>
        <v>2</v>
      </c>
      <c r="DK28" s="337">
        <v>1</v>
      </c>
      <c r="DL28" s="337">
        <v>0</v>
      </c>
      <c r="DM28" s="699">
        <f t="shared" si="37"/>
        <v>1</v>
      </c>
      <c r="DN28" s="337">
        <v>0</v>
      </c>
      <c r="DO28" s="337">
        <v>1</v>
      </c>
      <c r="DP28" s="699">
        <f t="shared" si="38"/>
        <v>1</v>
      </c>
      <c r="DQ28" s="337">
        <v>0</v>
      </c>
      <c r="DR28" s="337">
        <v>0</v>
      </c>
      <c r="DS28" s="699">
        <f t="shared" si="39"/>
        <v>0</v>
      </c>
      <c r="DT28" s="337">
        <v>0</v>
      </c>
      <c r="DU28" s="337">
        <v>0</v>
      </c>
      <c r="DV28" s="699">
        <f t="shared" si="40"/>
        <v>0</v>
      </c>
      <c r="DW28" s="337">
        <v>14</v>
      </c>
      <c r="DX28" s="337">
        <v>8</v>
      </c>
      <c r="DY28" s="699">
        <f t="shared" si="41"/>
        <v>22</v>
      </c>
      <c r="DZ28" s="337">
        <v>1</v>
      </c>
      <c r="EA28" s="337">
        <v>0</v>
      </c>
      <c r="EB28" s="699">
        <f t="shared" si="42"/>
        <v>1</v>
      </c>
      <c r="EC28" s="337">
        <v>17</v>
      </c>
      <c r="ED28" s="337">
        <v>7</v>
      </c>
      <c r="EE28" s="699">
        <f t="shared" si="43"/>
        <v>24</v>
      </c>
      <c r="EF28" s="337">
        <v>5</v>
      </c>
      <c r="EG28" s="337">
        <v>1</v>
      </c>
      <c r="EH28" s="699">
        <f t="shared" si="44"/>
        <v>6</v>
      </c>
      <c r="EI28" s="337">
        <v>3</v>
      </c>
      <c r="EJ28" s="337">
        <v>0</v>
      </c>
      <c r="EK28" s="699">
        <f t="shared" si="45"/>
        <v>3</v>
      </c>
      <c r="EL28" s="337">
        <v>0</v>
      </c>
      <c r="EM28" s="337">
        <v>0</v>
      </c>
      <c r="EN28" s="699">
        <f t="shared" si="46"/>
        <v>0</v>
      </c>
      <c r="EO28" s="337">
        <v>0</v>
      </c>
      <c r="EP28" s="337">
        <v>0</v>
      </c>
      <c r="EQ28" s="699">
        <f t="shared" si="47"/>
        <v>0</v>
      </c>
      <c r="ER28" s="337">
        <v>0</v>
      </c>
      <c r="ES28" s="337">
        <v>0</v>
      </c>
      <c r="ET28" s="699">
        <f t="shared" si="48"/>
        <v>0</v>
      </c>
      <c r="EU28" s="337">
        <v>0</v>
      </c>
      <c r="EV28" s="337">
        <v>0</v>
      </c>
      <c r="EW28" s="699">
        <f t="shared" si="49"/>
        <v>0</v>
      </c>
      <c r="EX28" s="337">
        <v>0</v>
      </c>
      <c r="EY28" s="337">
        <v>0</v>
      </c>
      <c r="EZ28" s="699">
        <f t="shared" si="50"/>
        <v>0</v>
      </c>
      <c r="FA28" s="337">
        <v>0</v>
      </c>
      <c r="FB28" s="337">
        <v>0</v>
      </c>
      <c r="FC28" s="699">
        <f t="shared" si="51"/>
        <v>0</v>
      </c>
      <c r="FD28" s="337">
        <v>0</v>
      </c>
      <c r="FE28" s="337">
        <v>0</v>
      </c>
      <c r="FF28" s="699">
        <f t="shared" si="52"/>
        <v>0</v>
      </c>
      <c r="FG28" s="337">
        <v>0</v>
      </c>
      <c r="FH28" s="337">
        <v>0</v>
      </c>
      <c r="FI28" s="699">
        <f t="shared" si="53"/>
        <v>0</v>
      </c>
      <c r="FJ28" s="337">
        <v>0</v>
      </c>
      <c r="FK28" s="337">
        <v>0</v>
      </c>
      <c r="FL28" s="699">
        <f t="shared" si="54"/>
        <v>0</v>
      </c>
      <c r="FM28" s="337">
        <v>0</v>
      </c>
      <c r="FN28" s="337">
        <v>0</v>
      </c>
      <c r="FO28" s="699">
        <f t="shared" si="55"/>
        <v>0</v>
      </c>
      <c r="FP28" s="337">
        <v>0</v>
      </c>
      <c r="FQ28" s="337">
        <v>0</v>
      </c>
      <c r="FR28" s="699">
        <f t="shared" si="56"/>
        <v>0</v>
      </c>
      <c r="FS28" s="337">
        <v>0</v>
      </c>
      <c r="FT28" s="337">
        <v>0</v>
      </c>
      <c r="FU28" s="699">
        <f t="shared" si="57"/>
        <v>0</v>
      </c>
      <c r="FV28" s="337">
        <v>0</v>
      </c>
      <c r="FW28" s="337">
        <v>0</v>
      </c>
      <c r="FX28" s="699">
        <f t="shared" si="58"/>
        <v>0</v>
      </c>
      <c r="FY28" s="337">
        <v>0</v>
      </c>
      <c r="FZ28" s="337">
        <v>0</v>
      </c>
      <c r="GA28" s="699">
        <f t="shared" si="59"/>
        <v>0</v>
      </c>
      <c r="GB28" s="337">
        <v>0</v>
      </c>
      <c r="GC28" s="337">
        <v>0</v>
      </c>
      <c r="GD28" s="699">
        <f t="shared" si="60"/>
        <v>0</v>
      </c>
      <c r="GE28" s="337">
        <v>0</v>
      </c>
      <c r="GF28" s="337">
        <v>0</v>
      </c>
      <c r="GG28" s="699">
        <f t="shared" si="61"/>
        <v>0</v>
      </c>
      <c r="GH28" s="337">
        <v>0</v>
      </c>
      <c r="GI28" s="337">
        <v>0</v>
      </c>
      <c r="GJ28" s="699">
        <f t="shared" si="62"/>
        <v>0</v>
      </c>
      <c r="GK28" s="337">
        <v>29</v>
      </c>
      <c r="GL28" s="337">
        <v>24</v>
      </c>
      <c r="GM28" s="699">
        <f t="shared" si="63"/>
        <v>53</v>
      </c>
      <c r="GN28" s="337">
        <v>159</v>
      </c>
      <c r="GO28" s="337">
        <v>480</v>
      </c>
      <c r="GP28" s="699">
        <f t="shared" si="64"/>
        <v>639</v>
      </c>
      <c r="GQ28" s="337">
        <v>4</v>
      </c>
      <c r="GR28" s="337">
        <v>0</v>
      </c>
      <c r="GS28" s="699">
        <f t="shared" si="65"/>
        <v>4</v>
      </c>
      <c r="GT28" s="337">
        <v>23</v>
      </c>
      <c r="GU28" s="337">
        <v>3</v>
      </c>
      <c r="GV28" s="699">
        <f t="shared" si="66"/>
        <v>26</v>
      </c>
      <c r="GW28" s="337">
        <v>4</v>
      </c>
      <c r="GX28" s="337">
        <v>5</v>
      </c>
      <c r="GY28" s="699">
        <f t="shared" si="67"/>
        <v>9</v>
      </c>
      <c r="GZ28" s="337">
        <v>7</v>
      </c>
      <c r="HA28" s="337">
        <v>0</v>
      </c>
      <c r="HB28" s="699">
        <f t="shared" si="68"/>
        <v>7</v>
      </c>
      <c r="HC28" s="337">
        <v>1</v>
      </c>
      <c r="HD28" s="337">
        <v>3</v>
      </c>
      <c r="HE28" s="699">
        <f t="shared" si="69"/>
        <v>4</v>
      </c>
      <c r="HF28" s="337">
        <v>10</v>
      </c>
      <c r="HG28" s="337">
        <v>1</v>
      </c>
      <c r="HH28" s="699">
        <f t="shared" si="70"/>
        <v>11</v>
      </c>
      <c r="HI28" s="337">
        <v>32</v>
      </c>
      <c r="HJ28" s="337">
        <v>62</v>
      </c>
      <c r="HK28" s="699">
        <f t="shared" si="71"/>
        <v>94</v>
      </c>
      <c r="HL28" s="337">
        <v>0</v>
      </c>
      <c r="HM28" s="337">
        <v>29</v>
      </c>
      <c r="HN28" s="699">
        <f t="shared" si="72"/>
        <v>29</v>
      </c>
      <c r="HO28" s="337">
        <v>18</v>
      </c>
      <c r="HP28" s="337">
        <v>98</v>
      </c>
      <c r="HQ28" s="699">
        <f t="shared" si="73"/>
        <v>116</v>
      </c>
      <c r="HR28" s="337">
        <v>3</v>
      </c>
      <c r="HS28" s="337">
        <v>10</v>
      </c>
      <c r="HT28" s="699">
        <f t="shared" si="74"/>
        <v>13</v>
      </c>
      <c r="HU28" s="337">
        <v>0</v>
      </c>
      <c r="HV28" s="337">
        <v>1</v>
      </c>
      <c r="HW28" s="699">
        <f t="shared" si="75"/>
        <v>1</v>
      </c>
      <c r="HX28" s="337">
        <v>0</v>
      </c>
      <c r="HY28" s="337">
        <v>0</v>
      </c>
      <c r="HZ28" s="699">
        <f t="shared" si="76"/>
        <v>0</v>
      </c>
      <c r="IA28" s="337">
        <v>1</v>
      </c>
      <c r="IB28" s="337">
        <v>0</v>
      </c>
      <c r="IC28" s="699">
        <f t="shared" si="77"/>
        <v>1</v>
      </c>
      <c r="ID28" s="337">
        <v>32</v>
      </c>
      <c r="IE28" s="337">
        <v>0</v>
      </c>
      <c r="IF28" s="699">
        <f t="shared" si="78"/>
        <v>32</v>
      </c>
      <c r="IG28" s="337">
        <v>1</v>
      </c>
      <c r="IH28" s="337">
        <v>1</v>
      </c>
      <c r="II28" s="699">
        <f t="shared" si="79"/>
        <v>2</v>
      </c>
      <c r="IJ28" s="337">
        <v>141</v>
      </c>
      <c r="IK28" s="337">
        <v>1</v>
      </c>
      <c r="IL28" s="699">
        <f t="shared" si="80"/>
        <v>142</v>
      </c>
      <c r="IM28" s="337">
        <v>0</v>
      </c>
      <c r="IN28" s="337">
        <v>0</v>
      </c>
      <c r="IO28" s="699">
        <f t="shared" si="81"/>
        <v>0</v>
      </c>
      <c r="IP28" s="337">
        <v>0</v>
      </c>
      <c r="IQ28" s="337">
        <v>0</v>
      </c>
      <c r="IR28" s="699">
        <f t="shared" si="82"/>
        <v>0</v>
      </c>
      <c r="IS28" s="337">
        <v>174</v>
      </c>
      <c r="IT28" s="337">
        <v>80</v>
      </c>
      <c r="IU28" s="699">
        <f t="shared" si="83"/>
        <v>254</v>
      </c>
      <c r="IV28" s="337">
        <v>0</v>
      </c>
      <c r="IW28" s="337">
        <v>0</v>
      </c>
      <c r="IX28" s="699">
        <f t="shared" si="84"/>
        <v>0</v>
      </c>
      <c r="IY28" s="337">
        <v>0</v>
      </c>
      <c r="IZ28" s="337">
        <v>0</v>
      </c>
      <c r="JA28" s="699">
        <f t="shared" si="85"/>
        <v>0</v>
      </c>
      <c r="JB28" s="337">
        <v>0</v>
      </c>
      <c r="JC28" s="337">
        <v>0</v>
      </c>
      <c r="JD28" s="699">
        <f t="shared" si="86"/>
        <v>0</v>
      </c>
      <c r="JE28" s="337">
        <v>2992</v>
      </c>
      <c r="JF28" s="337">
        <v>776</v>
      </c>
      <c r="JG28" s="699">
        <f t="shared" si="87"/>
        <v>3768</v>
      </c>
      <c r="JH28" s="337">
        <v>1</v>
      </c>
      <c r="JI28" s="337">
        <v>2</v>
      </c>
      <c r="JJ28" s="699">
        <f t="shared" si="88"/>
        <v>3</v>
      </c>
      <c r="JK28" s="337">
        <v>1</v>
      </c>
      <c r="JL28" s="337">
        <v>0</v>
      </c>
      <c r="JM28" s="699">
        <f t="shared" si="89"/>
        <v>1</v>
      </c>
      <c r="JN28" s="337">
        <v>0</v>
      </c>
      <c r="JO28" s="337">
        <v>0</v>
      </c>
      <c r="JP28" s="699">
        <f t="shared" si="90"/>
        <v>0</v>
      </c>
      <c r="JQ28" s="337">
        <v>0</v>
      </c>
      <c r="JR28" s="337">
        <v>0</v>
      </c>
      <c r="JS28" s="699">
        <f t="shared" si="91"/>
        <v>0</v>
      </c>
      <c r="JT28" s="337">
        <v>0</v>
      </c>
      <c r="JU28" s="337">
        <v>0</v>
      </c>
      <c r="JV28" s="699">
        <f t="shared" si="92"/>
        <v>0</v>
      </c>
      <c r="JW28" s="337">
        <v>0</v>
      </c>
      <c r="JX28" s="337">
        <v>0</v>
      </c>
      <c r="JY28" s="699">
        <f t="shared" si="93"/>
        <v>0</v>
      </c>
      <c r="JZ28" s="337">
        <v>0</v>
      </c>
      <c r="KA28" s="337">
        <v>0</v>
      </c>
      <c r="KB28" s="699">
        <f t="shared" si="94"/>
        <v>0</v>
      </c>
      <c r="KC28" s="337">
        <v>0</v>
      </c>
      <c r="KD28" s="337">
        <v>0</v>
      </c>
      <c r="KE28" s="699">
        <f t="shared" si="95"/>
        <v>0</v>
      </c>
      <c r="KF28" s="337">
        <v>0</v>
      </c>
      <c r="KG28" s="337">
        <v>0</v>
      </c>
      <c r="KH28" s="699">
        <f t="shared" si="96"/>
        <v>0</v>
      </c>
      <c r="KI28" s="337">
        <v>0</v>
      </c>
      <c r="KJ28" s="337">
        <v>0</v>
      </c>
      <c r="KK28" s="699">
        <f t="shared" si="97"/>
        <v>0</v>
      </c>
      <c r="KL28" s="699">
        <v>0</v>
      </c>
      <c r="KM28" s="699">
        <v>0</v>
      </c>
      <c r="KN28" s="699">
        <f t="shared" si="98"/>
        <v>0</v>
      </c>
      <c r="KO28" s="699">
        <v>0</v>
      </c>
      <c r="KP28" s="699">
        <v>0</v>
      </c>
      <c r="KQ28" s="699">
        <f t="shared" si="99"/>
        <v>0</v>
      </c>
      <c r="KR28" s="699">
        <v>0</v>
      </c>
      <c r="KS28" s="699">
        <v>0</v>
      </c>
      <c r="KT28" s="699">
        <f t="shared" si="100"/>
        <v>0</v>
      </c>
      <c r="KU28" s="699">
        <v>0</v>
      </c>
      <c r="KV28" s="699">
        <v>0</v>
      </c>
      <c r="KW28" s="699">
        <f t="shared" si="101"/>
        <v>0</v>
      </c>
      <c r="KX28" s="699">
        <v>0</v>
      </c>
      <c r="KY28" s="699">
        <v>0</v>
      </c>
      <c r="KZ28" s="699">
        <f t="shared" si="102"/>
        <v>0</v>
      </c>
      <c r="LA28" s="699">
        <v>0</v>
      </c>
      <c r="LB28" s="699">
        <v>0</v>
      </c>
      <c r="LC28" s="699">
        <f t="shared" si="103"/>
        <v>0</v>
      </c>
      <c r="LD28" s="699">
        <v>0</v>
      </c>
      <c r="LE28" s="699">
        <v>0</v>
      </c>
      <c r="LF28" s="699">
        <f t="shared" si="104"/>
        <v>0</v>
      </c>
      <c r="LG28" s="699">
        <v>0</v>
      </c>
      <c r="LH28" s="699">
        <v>0</v>
      </c>
      <c r="LI28" s="699">
        <f t="shared" si="105"/>
        <v>0</v>
      </c>
      <c r="LJ28" s="337">
        <v>0</v>
      </c>
      <c r="LK28" s="337">
        <v>0</v>
      </c>
      <c r="LL28" s="700">
        <f t="shared" si="106"/>
        <v>0</v>
      </c>
    </row>
    <row r="29" spans="1:324" x14ac:dyDescent="0.35">
      <c r="A29" s="685">
        <v>3</v>
      </c>
      <c r="B29" s="371" t="s">
        <v>277</v>
      </c>
      <c r="C29" s="428" t="s">
        <v>73</v>
      </c>
      <c r="D29" s="305">
        <v>24877</v>
      </c>
      <c r="E29" s="305">
        <v>22887</v>
      </c>
      <c r="F29" s="686">
        <f t="shared" si="0"/>
        <v>47764</v>
      </c>
      <c r="G29" s="305">
        <v>14</v>
      </c>
      <c r="H29" s="305">
        <v>37831</v>
      </c>
      <c r="I29" s="686">
        <f t="shared" si="1"/>
        <v>37845</v>
      </c>
      <c r="J29" s="305">
        <v>28385</v>
      </c>
      <c r="K29" s="305">
        <v>24674</v>
      </c>
      <c r="L29" s="686">
        <f t="shared" si="2"/>
        <v>53059</v>
      </c>
      <c r="M29" s="305">
        <v>1274</v>
      </c>
      <c r="N29" s="305">
        <v>514</v>
      </c>
      <c r="O29" s="686">
        <f t="shared" si="3"/>
        <v>1788</v>
      </c>
      <c r="P29" s="305">
        <v>2068</v>
      </c>
      <c r="Q29" s="305">
        <v>1831</v>
      </c>
      <c r="R29" s="686">
        <f t="shared" si="4"/>
        <v>3899</v>
      </c>
      <c r="S29" s="305">
        <v>1033</v>
      </c>
      <c r="T29" s="305">
        <v>25</v>
      </c>
      <c r="U29" s="686">
        <f t="shared" si="5"/>
        <v>1058</v>
      </c>
      <c r="V29" s="305">
        <v>314</v>
      </c>
      <c r="W29" s="305">
        <v>42</v>
      </c>
      <c r="X29" s="686">
        <f t="shared" si="6"/>
        <v>356</v>
      </c>
      <c r="Y29" s="305">
        <v>403</v>
      </c>
      <c r="Z29" s="305">
        <v>115</v>
      </c>
      <c r="AA29" s="686">
        <f t="shared" si="7"/>
        <v>518</v>
      </c>
      <c r="AB29" s="305">
        <v>166</v>
      </c>
      <c r="AC29" s="305">
        <v>72</v>
      </c>
      <c r="AD29" s="686">
        <f t="shared" si="8"/>
        <v>238</v>
      </c>
      <c r="AE29" s="305">
        <v>7</v>
      </c>
      <c r="AF29" s="305">
        <v>2</v>
      </c>
      <c r="AG29" s="686">
        <f t="shared" si="9"/>
        <v>9</v>
      </c>
      <c r="AH29" s="305">
        <v>10</v>
      </c>
      <c r="AI29" s="305">
        <v>0</v>
      </c>
      <c r="AJ29" s="686">
        <f t="shared" si="10"/>
        <v>10</v>
      </c>
      <c r="AK29" s="305">
        <v>208</v>
      </c>
      <c r="AL29" s="305">
        <v>31</v>
      </c>
      <c r="AM29" s="686">
        <f t="shared" si="11"/>
        <v>239</v>
      </c>
      <c r="AN29" s="305">
        <v>55</v>
      </c>
      <c r="AO29" s="305">
        <v>1</v>
      </c>
      <c r="AP29" s="686">
        <f t="shared" si="12"/>
        <v>56</v>
      </c>
      <c r="AQ29" s="305">
        <v>176</v>
      </c>
      <c r="AR29" s="305">
        <v>2</v>
      </c>
      <c r="AS29" s="686">
        <f t="shared" si="13"/>
        <v>178</v>
      </c>
      <c r="AT29" s="305">
        <v>35922</v>
      </c>
      <c r="AU29" s="305">
        <v>19297</v>
      </c>
      <c r="AV29" s="686">
        <f t="shared" si="14"/>
        <v>55219</v>
      </c>
      <c r="AW29" s="305">
        <v>960</v>
      </c>
      <c r="AX29" s="305">
        <v>460</v>
      </c>
      <c r="AY29" s="686">
        <f t="shared" si="15"/>
        <v>1420</v>
      </c>
      <c r="AZ29" s="305">
        <v>72</v>
      </c>
      <c r="BA29" s="305">
        <v>44</v>
      </c>
      <c r="BB29" s="686">
        <f t="shared" si="16"/>
        <v>116</v>
      </c>
      <c r="BC29" s="305">
        <v>211</v>
      </c>
      <c r="BD29" s="305">
        <v>138</v>
      </c>
      <c r="BE29" s="686">
        <f t="shared" si="17"/>
        <v>349</v>
      </c>
      <c r="BF29" s="305">
        <v>2857</v>
      </c>
      <c r="BG29" s="305">
        <v>172</v>
      </c>
      <c r="BH29" s="686">
        <f t="shared" si="18"/>
        <v>3029</v>
      </c>
      <c r="BI29" s="305">
        <v>90</v>
      </c>
      <c r="BJ29" s="305">
        <v>12</v>
      </c>
      <c r="BK29" s="686">
        <f t="shared" si="19"/>
        <v>102</v>
      </c>
      <c r="BL29" s="305">
        <v>1</v>
      </c>
      <c r="BM29" s="305">
        <v>0</v>
      </c>
      <c r="BN29" s="686">
        <f t="shared" si="20"/>
        <v>1</v>
      </c>
      <c r="BO29" s="305">
        <v>2</v>
      </c>
      <c r="BP29" s="305">
        <v>0</v>
      </c>
      <c r="BQ29" s="686">
        <f t="shared" si="21"/>
        <v>2</v>
      </c>
      <c r="BR29" s="305">
        <v>1</v>
      </c>
      <c r="BS29" s="305">
        <v>27</v>
      </c>
      <c r="BT29" s="686">
        <f t="shared" si="22"/>
        <v>28</v>
      </c>
      <c r="BU29" s="305">
        <v>1</v>
      </c>
      <c r="BV29" s="305">
        <v>0</v>
      </c>
      <c r="BW29" s="686">
        <f t="shared" si="23"/>
        <v>1</v>
      </c>
      <c r="BX29" s="305">
        <v>6</v>
      </c>
      <c r="BY29" s="305">
        <v>0</v>
      </c>
      <c r="BZ29" s="686">
        <f t="shared" si="24"/>
        <v>6</v>
      </c>
      <c r="CA29" s="305">
        <v>16</v>
      </c>
      <c r="CB29" s="305">
        <v>0</v>
      </c>
      <c r="CC29" s="686">
        <f t="shared" si="25"/>
        <v>16</v>
      </c>
      <c r="CD29" s="305">
        <v>5</v>
      </c>
      <c r="CE29" s="305">
        <v>0</v>
      </c>
      <c r="CF29" s="686">
        <f t="shared" si="26"/>
        <v>5</v>
      </c>
      <c r="CG29" s="305">
        <v>0</v>
      </c>
      <c r="CH29" s="305">
        <v>0</v>
      </c>
      <c r="CI29" s="686">
        <f t="shared" si="27"/>
        <v>0</v>
      </c>
      <c r="CJ29" s="305">
        <v>3</v>
      </c>
      <c r="CK29" s="305">
        <v>0</v>
      </c>
      <c r="CL29" s="686">
        <f t="shared" si="28"/>
        <v>3</v>
      </c>
      <c r="CM29" s="305">
        <v>16</v>
      </c>
      <c r="CN29" s="305">
        <v>10</v>
      </c>
      <c r="CO29" s="686">
        <f t="shared" si="29"/>
        <v>26</v>
      </c>
      <c r="CP29" s="305">
        <v>0</v>
      </c>
      <c r="CQ29" s="305">
        <v>0</v>
      </c>
      <c r="CR29" s="686">
        <f t="shared" si="30"/>
        <v>0</v>
      </c>
      <c r="CS29" s="305">
        <v>0</v>
      </c>
      <c r="CT29" s="305">
        <v>8</v>
      </c>
      <c r="CU29" s="686">
        <f t="shared" si="31"/>
        <v>8</v>
      </c>
      <c r="CV29" s="305">
        <v>0</v>
      </c>
      <c r="CW29" s="305">
        <v>1</v>
      </c>
      <c r="CX29" s="686">
        <f t="shared" si="32"/>
        <v>1</v>
      </c>
      <c r="CY29" s="305">
        <v>1</v>
      </c>
      <c r="CZ29" s="305">
        <v>7</v>
      </c>
      <c r="DA29" s="686">
        <f t="shared" si="33"/>
        <v>8</v>
      </c>
      <c r="DB29" s="305">
        <v>27</v>
      </c>
      <c r="DC29" s="305">
        <v>0</v>
      </c>
      <c r="DD29" s="686">
        <f t="shared" si="34"/>
        <v>27</v>
      </c>
      <c r="DE29" s="305">
        <v>43</v>
      </c>
      <c r="DF29" s="305">
        <v>7</v>
      </c>
      <c r="DG29" s="686">
        <f t="shared" si="35"/>
        <v>50</v>
      </c>
      <c r="DH29" s="305">
        <v>1</v>
      </c>
      <c r="DI29" s="305">
        <v>0</v>
      </c>
      <c r="DJ29" s="686">
        <f t="shared" si="36"/>
        <v>1</v>
      </c>
      <c r="DK29" s="305">
        <v>0</v>
      </c>
      <c r="DL29" s="305">
        <v>0</v>
      </c>
      <c r="DM29" s="686">
        <f t="shared" si="37"/>
        <v>0</v>
      </c>
      <c r="DN29" s="305">
        <v>0</v>
      </c>
      <c r="DO29" s="305">
        <v>1</v>
      </c>
      <c r="DP29" s="686">
        <f t="shared" si="38"/>
        <v>1</v>
      </c>
      <c r="DQ29" s="305">
        <v>0</v>
      </c>
      <c r="DR29" s="305">
        <v>1</v>
      </c>
      <c r="DS29" s="686">
        <f t="shared" si="39"/>
        <v>1</v>
      </c>
      <c r="DT29" s="305">
        <v>2</v>
      </c>
      <c r="DU29" s="305">
        <v>0</v>
      </c>
      <c r="DV29" s="686">
        <f t="shared" si="40"/>
        <v>2</v>
      </c>
      <c r="DW29" s="305">
        <v>48</v>
      </c>
      <c r="DX29" s="305">
        <v>21</v>
      </c>
      <c r="DY29" s="686">
        <f t="shared" si="41"/>
        <v>69</v>
      </c>
      <c r="DZ29" s="305">
        <v>1</v>
      </c>
      <c r="EA29" s="305">
        <v>0</v>
      </c>
      <c r="EB29" s="686">
        <f t="shared" si="42"/>
        <v>1</v>
      </c>
      <c r="EC29" s="305">
        <v>107</v>
      </c>
      <c r="ED29" s="305">
        <v>13</v>
      </c>
      <c r="EE29" s="686">
        <f t="shared" si="43"/>
        <v>120</v>
      </c>
      <c r="EF29" s="305">
        <v>15</v>
      </c>
      <c r="EG29" s="305">
        <v>3</v>
      </c>
      <c r="EH29" s="686">
        <f t="shared" si="44"/>
        <v>18</v>
      </c>
      <c r="EI29" s="305">
        <v>1</v>
      </c>
      <c r="EJ29" s="305">
        <v>3</v>
      </c>
      <c r="EK29" s="686">
        <f t="shared" si="45"/>
        <v>4</v>
      </c>
      <c r="EL29" s="305">
        <v>0</v>
      </c>
      <c r="EM29" s="305">
        <v>0</v>
      </c>
      <c r="EN29" s="686">
        <f t="shared" si="46"/>
        <v>0</v>
      </c>
      <c r="EO29" s="305">
        <v>1</v>
      </c>
      <c r="EP29" s="305">
        <v>0</v>
      </c>
      <c r="EQ29" s="686">
        <f t="shared" si="47"/>
        <v>1</v>
      </c>
      <c r="ER29" s="305">
        <v>0</v>
      </c>
      <c r="ES29" s="305">
        <v>0</v>
      </c>
      <c r="ET29" s="686">
        <f t="shared" si="48"/>
        <v>0</v>
      </c>
      <c r="EU29" s="305">
        <v>0</v>
      </c>
      <c r="EV29" s="305">
        <v>0</v>
      </c>
      <c r="EW29" s="686">
        <f t="shared" si="49"/>
        <v>0</v>
      </c>
      <c r="EX29" s="305">
        <v>0</v>
      </c>
      <c r="EY29" s="305">
        <v>0</v>
      </c>
      <c r="EZ29" s="686">
        <f t="shared" si="50"/>
        <v>0</v>
      </c>
      <c r="FA29" s="305">
        <v>0</v>
      </c>
      <c r="FB29" s="305">
        <v>0</v>
      </c>
      <c r="FC29" s="686">
        <f t="shared" si="51"/>
        <v>0</v>
      </c>
      <c r="FD29" s="305">
        <v>0</v>
      </c>
      <c r="FE29" s="305">
        <v>0</v>
      </c>
      <c r="FF29" s="686">
        <f t="shared" si="52"/>
        <v>0</v>
      </c>
      <c r="FG29" s="305">
        <v>0</v>
      </c>
      <c r="FH29" s="305">
        <v>0</v>
      </c>
      <c r="FI29" s="686">
        <f t="shared" si="53"/>
        <v>0</v>
      </c>
      <c r="FJ29" s="305">
        <v>0</v>
      </c>
      <c r="FK29" s="305">
        <v>0</v>
      </c>
      <c r="FL29" s="686">
        <f t="shared" si="54"/>
        <v>0</v>
      </c>
      <c r="FM29" s="305">
        <v>0</v>
      </c>
      <c r="FN29" s="305">
        <v>0</v>
      </c>
      <c r="FO29" s="686">
        <f t="shared" si="55"/>
        <v>0</v>
      </c>
      <c r="FP29" s="305">
        <v>0</v>
      </c>
      <c r="FQ29" s="305">
        <v>0</v>
      </c>
      <c r="FR29" s="686">
        <f t="shared" si="56"/>
        <v>0</v>
      </c>
      <c r="FS29" s="305">
        <v>0</v>
      </c>
      <c r="FT29" s="305">
        <v>0</v>
      </c>
      <c r="FU29" s="686">
        <f t="shared" si="57"/>
        <v>0</v>
      </c>
      <c r="FV29" s="305">
        <v>0</v>
      </c>
      <c r="FW29" s="305">
        <v>0</v>
      </c>
      <c r="FX29" s="686">
        <f t="shared" si="58"/>
        <v>0</v>
      </c>
      <c r="FY29" s="305">
        <v>0</v>
      </c>
      <c r="FZ29" s="305">
        <v>0</v>
      </c>
      <c r="GA29" s="686">
        <f t="shared" si="59"/>
        <v>0</v>
      </c>
      <c r="GB29" s="305">
        <v>0</v>
      </c>
      <c r="GC29" s="305">
        <v>0</v>
      </c>
      <c r="GD29" s="686">
        <f t="shared" si="60"/>
        <v>0</v>
      </c>
      <c r="GE29" s="305">
        <v>0</v>
      </c>
      <c r="GF29" s="305">
        <v>0</v>
      </c>
      <c r="GG29" s="686">
        <f t="shared" si="61"/>
        <v>0</v>
      </c>
      <c r="GH29" s="305">
        <v>2</v>
      </c>
      <c r="GI29" s="305">
        <v>0</v>
      </c>
      <c r="GJ29" s="686">
        <f t="shared" si="62"/>
        <v>2</v>
      </c>
      <c r="GK29" s="305">
        <v>111</v>
      </c>
      <c r="GL29" s="305">
        <v>92</v>
      </c>
      <c r="GM29" s="686">
        <f t="shared" si="63"/>
        <v>203</v>
      </c>
      <c r="GN29" s="305">
        <v>471</v>
      </c>
      <c r="GO29" s="305">
        <v>1277</v>
      </c>
      <c r="GP29" s="686">
        <f t="shared" si="64"/>
        <v>1748</v>
      </c>
      <c r="GQ29" s="305">
        <v>24</v>
      </c>
      <c r="GR29" s="305">
        <v>1</v>
      </c>
      <c r="GS29" s="686">
        <f t="shared" si="65"/>
        <v>25</v>
      </c>
      <c r="GT29" s="305">
        <v>68</v>
      </c>
      <c r="GU29" s="305">
        <v>11</v>
      </c>
      <c r="GV29" s="686">
        <f t="shared" si="66"/>
        <v>79</v>
      </c>
      <c r="GW29" s="305">
        <v>5</v>
      </c>
      <c r="GX29" s="305">
        <v>11</v>
      </c>
      <c r="GY29" s="686">
        <f t="shared" si="67"/>
        <v>16</v>
      </c>
      <c r="GZ29" s="305">
        <v>6</v>
      </c>
      <c r="HA29" s="305">
        <v>2</v>
      </c>
      <c r="HB29" s="686">
        <f t="shared" si="68"/>
        <v>8</v>
      </c>
      <c r="HC29" s="305">
        <v>7</v>
      </c>
      <c r="HD29" s="305">
        <v>2</v>
      </c>
      <c r="HE29" s="686">
        <f t="shared" si="69"/>
        <v>9</v>
      </c>
      <c r="HF29" s="305">
        <v>36</v>
      </c>
      <c r="HG29" s="305">
        <v>8</v>
      </c>
      <c r="HH29" s="686">
        <f t="shared" si="70"/>
        <v>44</v>
      </c>
      <c r="HI29" s="305">
        <v>177</v>
      </c>
      <c r="HJ29" s="305">
        <v>373</v>
      </c>
      <c r="HK29" s="686">
        <f t="shared" si="71"/>
        <v>550</v>
      </c>
      <c r="HL29" s="305">
        <v>0</v>
      </c>
      <c r="HM29" s="305">
        <v>173</v>
      </c>
      <c r="HN29" s="686">
        <f t="shared" si="72"/>
        <v>173</v>
      </c>
      <c r="HO29" s="305">
        <v>34</v>
      </c>
      <c r="HP29" s="305">
        <v>273</v>
      </c>
      <c r="HQ29" s="686">
        <f t="shared" si="73"/>
        <v>307</v>
      </c>
      <c r="HR29" s="305">
        <v>7</v>
      </c>
      <c r="HS29" s="305">
        <v>44</v>
      </c>
      <c r="HT29" s="686">
        <f t="shared" si="74"/>
        <v>51</v>
      </c>
      <c r="HU29" s="305">
        <v>0</v>
      </c>
      <c r="HV29" s="305">
        <v>7</v>
      </c>
      <c r="HW29" s="686">
        <f t="shared" si="75"/>
        <v>7</v>
      </c>
      <c r="HX29" s="305">
        <v>0</v>
      </c>
      <c r="HY29" s="305">
        <v>0</v>
      </c>
      <c r="HZ29" s="686">
        <f t="shared" si="76"/>
        <v>0</v>
      </c>
      <c r="IA29" s="305">
        <v>1</v>
      </c>
      <c r="IB29" s="305">
        <v>2</v>
      </c>
      <c r="IC29" s="686">
        <f t="shared" si="77"/>
        <v>3</v>
      </c>
      <c r="ID29" s="305">
        <v>74</v>
      </c>
      <c r="IE29" s="305">
        <v>1</v>
      </c>
      <c r="IF29" s="686">
        <f t="shared" si="78"/>
        <v>75</v>
      </c>
      <c r="IG29" s="305">
        <v>3</v>
      </c>
      <c r="IH29" s="305">
        <v>0</v>
      </c>
      <c r="II29" s="686">
        <f t="shared" si="79"/>
        <v>3</v>
      </c>
      <c r="IJ29" s="305">
        <v>291</v>
      </c>
      <c r="IK29" s="305">
        <v>0</v>
      </c>
      <c r="IL29" s="686">
        <f t="shared" si="80"/>
        <v>291</v>
      </c>
      <c r="IM29" s="305">
        <v>0</v>
      </c>
      <c r="IN29" s="305">
        <v>0</v>
      </c>
      <c r="IO29" s="686">
        <f t="shared" si="81"/>
        <v>0</v>
      </c>
      <c r="IP29" s="305">
        <v>0</v>
      </c>
      <c r="IQ29" s="305">
        <v>1</v>
      </c>
      <c r="IR29" s="686">
        <f t="shared" si="82"/>
        <v>1</v>
      </c>
      <c r="IS29" s="305">
        <v>474</v>
      </c>
      <c r="IT29" s="305">
        <v>189</v>
      </c>
      <c r="IU29" s="686">
        <f t="shared" si="83"/>
        <v>663</v>
      </c>
      <c r="IV29" s="305">
        <v>6</v>
      </c>
      <c r="IW29" s="305">
        <v>1</v>
      </c>
      <c r="IX29" s="686">
        <f t="shared" si="84"/>
        <v>7</v>
      </c>
      <c r="IY29" s="305">
        <v>1</v>
      </c>
      <c r="IZ29" s="305">
        <v>0</v>
      </c>
      <c r="JA29" s="686">
        <f t="shared" si="85"/>
        <v>1</v>
      </c>
      <c r="JB29" s="305">
        <v>0</v>
      </c>
      <c r="JC29" s="305">
        <v>10</v>
      </c>
      <c r="JD29" s="686">
        <f t="shared" si="86"/>
        <v>10</v>
      </c>
      <c r="JE29" s="305">
        <v>12557</v>
      </c>
      <c r="JF29" s="305">
        <v>3455</v>
      </c>
      <c r="JG29" s="686">
        <f t="shared" si="87"/>
        <v>16012</v>
      </c>
      <c r="JH29" s="305">
        <v>3</v>
      </c>
      <c r="JI29" s="305">
        <v>1</v>
      </c>
      <c r="JJ29" s="686">
        <f t="shared" si="88"/>
        <v>4</v>
      </c>
      <c r="JK29" s="305">
        <v>0</v>
      </c>
      <c r="JL29" s="305">
        <v>0</v>
      </c>
      <c r="JM29" s="686">
        <f t="shared" si="89"/>
        <v>0</v>
      </c>
      <c r="JN29" s="305">
        <v>2</v>
      </c>
      <c r="JO29" s="305">
        <v>0</v>
      </c>
      <c r="JP29" s="686">
        <f t="shared" si="90"/>
        <v>2</v>
      </c>
      <c r="JQ29" s="305">
        <v>0</v>
      </c>
      <c r="JR29" s="305">
        <v>0</v>
      </c>
      <c r="JS29" s="686">
        <f t="shared" si="91"/>
        <v>0</v>
      </c>
      <c r="JT29" s="305">
        <v>0</v>
      </c>
      <c r="JU29" s="305">
        <v>0</v>
      </c>
      <c r="JV29" s="686">
        <f t="shared" si="92"/>
        <v>0</v>
      </c>
      <c r="JW29" s="305">
        <v>0</v>
      </c>
      <c r="JX29" s="305">
        <v>0</v>
      </c>
      <c r="JY29" s="686">
        <f t="shared" si="93"/>
        <v>0</v>
      </c>
      <c r="JZ29" s="305">
        <v>0</v>
      </c>
      <c r="KA29" s="305">
        <v>0</v>
      </c>
      <c r="KB29" s="686">
        <f t="shared" si="94"/>
        <v>0</v>
      </c>
      <c r="KC29" s="305">
        <v>0</v>
      </c>
      <c r="KD29" s="305">
        <v>0</v>
      </c>
      <c r="KE29" s="686">
        <f t="shared" si="95"/>
        <v>0</v>
      </c>
      <c r="KF29" s="305">
        <v>1</v>
      </c>
      <c r="KG29" s="305">
        <v>0</v>
      </c>
      <c r="KH29" s="686">
        <f t="shared" si="96"/>
        <v>1</v>
      </c>
      <c r="KI29" s="305">
        <v>0</v>
      </c>
      <c r="KJ29" s="305">
        <v>0</v>
      </c>
      <c r="KK29" s="686">
        <f t="shared" si="97"/>
        <v>0</v>
      </c>
      <c r="KL29" s="686">
        <v>0</v>
      </c>
      <c r="KM29" s="686">
        <v>0</v>
      </c>
      <c r="KN29" s="686">
        <f t="shared" si="98"/>
        <v>0</v>
      </c>
      <c r="KO29" s="686">
        <v>0</v>
      </c>
      <c r="KP29" s="686">
        <v>0</v>
      </c>
      <c r="KQ29" s="686">
        <f t="shared" si="99"/>
        <v>0</v>
      </c>
      <c r="KR29" s="686">
        <v>0</v>
      </c>
      <c r="KS29" s="686">
        <v>0</v>
      </c>
      <c r="KT29" s="686">
        <f t="shared" si="100"/>
        <v>0</v>
      </c>
      <c r="KU29" s="686">
        <v>0</v>
      </c>
      <c r="KV29" s="686">
        <v>0</v>
      </c>
      <c r="KW29" s="686">
        <f t="shared" si="101"/>
        <v>0</v>
      </c>
      <c r="KX29" s="686">
        <v>0</v>
      </c>
      <c r="KY29" s="686">
        <v>0</v>
      </c>
      <c r="KZ29" s="686">
        <f t="shared" si="102"/>
        <v>0</v>
      </c>
      <c r="LA29" s="686">
        <v>0</v>
      </c>
      <c r="LB29" s="686">
        <v>0</v>
      </c>
      <c r="LC29" s="686">
        <f t="shared" si="103"/>
        <v>0</v>
      </c>
      <c r="LD29" s="686">
        <v>0</v>
      </c>
      <c r="LE29" s="686">
        <v>0</v>
      </c>
      <c r="LF29" s="686">
        <f t="shared" si="104"/>
        <v>0</v>
      </c>
      <c r="LG29" s="686">
        <v>0</v>
      </c>
      <c r="LH29" s="686">
        <v>0</v>
      </c>
      <c r="LI29" s="686">
        <f t="shared" si="105"/>
        <v>0</v>
      </c>
      <c r="LJ29" s="305">
        <v>0</v>
      </c>
      <c r="LK29" s="305">
        <v>0</v>
      </c>
      <c r="LL29" s="687">
        <f t="shared" si="106"/>
        <v>0</v>
      </c>
    </row>
    <row r="30" spans="1:324" x14ac:dyDescent="0.35">
      <c r="A30" s="688">
        <v>4</v>
      </c>
      <c r="B30" s="375" t="s">
        <v>278</v>
      </c>
      <c r="C30" s="431" t="s">
        <v>69</v>
      </c>
      <c r="D30" s="312">
        <v>8514</v>
      </c>
      <c r="E30" s="312">
        <v>7759</v>
      </c>
      <c r="F30" s="622">
        <f t="shared" si="0"/>
        <v>16273</v>
      </c>
      <c r="G30" s="312">
        <v>4</v>
      </c>
      <c r="H30" s="312">
        <v>12988</v>
      </c>
      <c r="I30" s="622">
        <f t="shared" si="1"/>
        <v>12992</v>
      </c>
      <c r="J30" s="312">
        <v>10193</v>
      </c>
      <c r="K30" s="312">
        <v>8762</v>
      </c>
      <c r="L30" s="622">
        <f t="shared" si="2"/>
        <v>18955</v>
      </c>
      <c r="M30" s="312">
        <v>506</v>
      </c>
      <c r="N30" s="312">
        <v>167</v>
      </c>
      <c r="O30" s="622">
        <f t="shared" si="3"/>
        <v>673</v>
      </c>
      <c r="P30" s="312">
        <v>807</v>
      </c>
      <c r="Q30" s="312">
        <v>729</v>
      </c>
      <c r="R30" s="622">
        <f t="shared" si="4"/>
        <v>1536</v>
      </c>
      <c r="S30" s="312">
        <v>853</v>
      </c>
      <c r="T30" s="312">
        <v>7</v>
      </c>
      <c r="U30" s="622">
        <f t="shared" si="5"/>
        <v>860</v>
      </c>
      <c r="V30" s="312">
        <v>99</v>
      </c>
      <c r="W30" s="312">
        <v>17</v>
      </c>
      <c r="X30" s="622">
        <f t="shared" si="6"/>
        <v>116</v>
      </c>
      <c r="Y30" s="312">
        <v>75</v>
      </c>
      <c r="Z30" s="312">
        <v>30</v>
      </c>
      <c r="AA30" s="622">
        <f t="shared" si="7"/>
        <v>105</v>
      </c>
      <c r="AB30" s="312">
        <v>59</v>
      </c>
      <c r="AC30" s="312">
        <v>24</v>
      </c>
      <c r="AD30" s="622">
        <f t="shared" si="8"/>
        <v>83</v>
      </c>
      <c r="AE30" s="312">
        <v>2</v>
      </c>
      <c r="AF30" s="312">
        <v>1</v>
      </c>
      <c r="AG30" s="622">
        <f t="shared" si="9"/>
        <v>3</v>
      </c>
      <c r="AH30" s="312">
        <v>4</v>
      </c>
      <c r="AI30" s="312">
        <v>0</v>
      </c>
      <c r="AJ30" s="622">
        <f t="shared" si="10"/>
        <v>4</v>
      </c>
      <c r="AK30" s="312">
        <v>13</v>
      </c>
      <c r="AL30" s="312">
        <v>4</v>
      </c>
      <c r="AM30" s="622">
        <f t="shared" si="11"/>
        <v>17</v>
      </c>
      <c r="AN30" s="312">
        <v>15</v>
      </c>
      <c r="AO30" s="312">
        <v>0</v>
      </c>
      <c r="AP30" s="622">
        <f t="shared" si="12"/>
        <v>15</v>
      </c>
      <c r="AQ30" s="312">
        <v>78</v>
      </c>
      <c r="AR30" s="312">
        <v>0</v>
      </c>
      <c r="AS30" s="622">
        <f t="shared" si="13"/>
        <v>78</v>
      </c>
      <c r="AT30" s="312">
        <v>12962</v>
      </c>
      <c r="AU30" s="312">
        <v>7256</v>
      </c>
      <c r="AV30" s="622">
        <f t="shared" si="14"/>
        <v>20218</v>
      </c>
      <c r="AW30" s="312">
        <v>407</v>
      </c>
      <c r="AX30" s="312">
        <v>187</v>
      </c>
      <c r="AY30" s="622">
        <f t="shared" si="15"/>
        <v>594</v>
      </c>
      <c r="AZ30" s="312">
        <v>37</v>
      </c>
      <c r="BA30" s="312">
        <v>19</v>
      </c>
      <c r="BB30" s="622">
        <f t="shared" si="16"/>
        <v>56</v>
      </c>
      <c r="BC30" s="312">
        <v>82</v>
      </c>
      <c r="BD30" s="312">
        <v>62</v>
      </c>
      <c r="BE30" s="622">
        <f t="shared" si="17"/>
        <v>144</v>
      </c>
      <c r="BF30" s="312">
        <v>872</v>
      </c>
      <c r="BG30" s="312">
        <v>63</v>
      </c>
      <c r="BH30" s="622">
        <f t="shared" si="18"/>
        <v>935</v>
      </c>
      <c r="BI30" s="312">
        <v>39</v>
      </c>
      <c r="BJ30" s="312">
        <v>3</v>
      </c>
      <c r="BK30" s="622">
        <f t="shared" si="19"/>
        <v>42</v>
      </c>
      <c r="BL30" s="312">
        <v>0</v>
      </c>
      <c r="BM30" s="312">
        <v>0</v>
      </c>
      <c r="BN30" s="622">
        <f t="shared" si="20"/>
        <v>0</v>
      </c>
      <c r="BO30" s="312">
        <v>1</v>
      </c>
      <c r="BP30" s="312">
        <v>0</v>
      </c>
      <c r="BQ30" s="622">
        <f t="shared" si="21"/>
        <v>1</v>
      </c>
      <c r="BR30" s="312">
        <v>0</v>
      </c>
      <c r="BS30" s="312">
        <v>13</v>
      </c>
      <c r="BT30" s="622">
        <f t="shared" si="22"/>
        <v>13</v>
      </c>
      <c r="BU30" s="312">
        <v>0</v>
      </c>
      <c r="BV30" s="312">
        <v>0</v>
      </c>
      <c r="BW30" s="622">
        <f t="shared" si="23"/>
        <v>0</v>
      </c>
      <c r="BX30" s="312">
        <v>2</v>
      </c>
      <c r="BY30" s="312">
        <v>0</v>
      </c>
      <c r="BZ30" s="622">
        <f t="shared" si="24"/>
        <v>2</v>
      </c>
      <c r="CA30" s="312">
        <v>10</v>
      </c>
      <c r="CB30" s="312">
        <v>0</v>
      </c>
      <c r="CC30" s="622">
        <f t="shared" si="25"/>
        <v>10</v>
      </c>
      <c r="CD30" s="312">
        <v>3</v>
      </c>
      <c r="CE30" s="312">
        <v>0</v>
      </c>
      <c r="CF30" s="622">
        <f t="shared" si="26"/>
        <v>3</v>
      </c>
      <c r="CG30" s="312">
        <v>0</v>
      </c>
      <c r="CH30" s="312">
        <v>0</v>
      </c>
      <c r="CI30" s="622">
        <f t="shared" si="27"/>
        <v>0</v>
      </c>
      <c r="CJ30" s="312">
        <v>2</v>
      </c>
      <c r="CK30" s="312">
        <v>0</v>
      </c>
      <c r="CL30" s="622">
        <f t="shared" si="28"/>
        <v>2</v>
      </c>
      <c r="CM30" s="312">
        <v>9</v>
      </c>
      <c r="CN30" s="312">
        <v>3</v>
      </c>
      <c r="CO30" s="622">
        <f t="shared" si="29"/>
        <v>12</v>
      </c>
      <c r="CP30" s="312">
        <v>0</v>
      </c>
      <c r="CQ30" s="312">
        <v>0</v>
      </c>
      <c r="CR30" s="622">
        <f t="shared" si="30"/>
        <v>0</v>
      </c>
      <c r="CS30" s="312">
        <v>0</v>
      </c>
      <c r="CT30" s="312">
        <v>5</v>
      </c>
      <c r="CU30" s="622">
        <f t="shared" si="31"/>
        <v>5</v>
      </c>
      <c r="CV30" s="312">
        <v>0</v>
      </c>
      <c r="CW30" s="312">
        <v>0</v>
      </c>
      <c r="CX30" s="622">
        <f t="shared" si="32"/>
        <v>0</v>
      </c>
      <c r="CY30" s="312">
        <v>1</v>
      </c>
      <c r="CZ30" s="312">
        <v>4</v>
      </c>
      <c r="DA30" s="622">
        <f t="shared" si="33"/>
        <v>5</v>
      </c>
      <c r="DB30" s="312">
        <v>13</v>
      </c>
      <c r="DC30" s="312">
        <v>0</v>
      </c>
      <c r="DD30" s="622">
        <f t="shared" si="34"/>
        <v>13</v>
      </c>
      <c r="DE30" s="312">
        <v>20</v>
      </c>
      <c r="DF30" s="312">
        <v>5</v>
      </c>
      <c r="DG30" s="622">
        <f t="shared" si="35"/>
        <v>25</v>
      </c>
      <c r="DH30" s="312">
        <v>1</v>
      </c>
      <c r="DI30" s="312">
        <v>0</v>
      </c>
      <c r="DJ30" s="622">
        <f t="shared" si="36"/>
        <v>1</v>
      </c>
      <c r="DK30" s="312">
        <v>0</v>
      </c>
      <c r="DL30" s="312">
        <v>0</v>
      </c>
      <c r="DM30" s="622">
        <f t="shared" si="37"/>
        <v>0</v>
      </c>
      <c r="DN30" s="312">
        <v>0</v>
      </c>
      <c r="DO30" s="312">
        <v>1</v>
      </c>
      <c r="DP30" s="622">
        <f t="shared" si="38"/>
        <v>1</v>
      </c>
      <c r="DQ30" s="312">
        <v>0</v>
      </c>
      <c r="DR30" s="312">
        <v>0</v>
      </c>
      <c r="DS30" s="622">
        <f t="shared" si="39"/>
        <v>0</v>
      </c>
      <c r="DT30" s="312">
        <v>1</v>
      </c>
      <c r="DU30" s="312">
        <v>0</v>
      </c>
      <c r="DV30" s="622">
        <f t="shared" si="40"/>
        <v>1</v>
      </c>
      <c r="DW30" s="312">
        <v>16</v>
      </c>
      <c r="DX30" s="312">
        <v>6</v>
      </c>
      <c r="DY30" s="622">
        <f t="shared" si="41"/>
        <v>22</v>
      </c>
      <c r="DZ30" s="312">
        <v>0</v>
      </c>
      <c r="EA30" s="312">
        <v>0</v>
      </c>
      <c r="EB30" s="622">
        <f t="shared" si="42"/>
        <v>0</v>
      </c>
      <c r="EC30" s="312">
        <v>43</v>
      </c>
      <c r="ED30" s="312">
        <v>3</v>
      </c>
      <c r="EE30" s="622">
        <f t="shared" si="43"/>
        <v>46</v>
      </c>
      <c r="EF30" s="312">
        <v>4</v>
      </c>
      <c r="EG30" s="312">
        <v>2</v>
      </c>
      <c r="EH30" s="622">
        <f t="shared" si="44"/>
        <v>6</v>
      </c>
      <c r="EI30" s="312">
        <v>0</v>
      </c>
      <c r="EJ30" s="312">
        <v>1</v>
      </c>
      <c r="EK30" s="622">
        <f t="shared" si="45"/>
        <v>1</v>
      </c>
      <c r="EL30" s="312">
        <v>0</v>
      </c>
      <c r="EM30" s="312">
        <v>0</v>
      </c>
      <c r="EN30" s="622">
        <f t="shared" si="46"/>
        <v>0</v>
      </c>
      <c r="EO30" s="312">
        <v>0</v>
      </c>
      <c r="EP30" s="312">
        <v>0</v>
      </c>
      <c r="EQ30" s="622">
        <f t="shared" si="47"/>
        <v>0</v>
      </c>
      <c r="ER30" s="312">
        <v>0</v>
      </c>
      <c r="ES30" s="312">
        <v>0</v>
      </c>
      <c r="ET30" s="622">
        <f t="shared" si="48"/>
        <v>0</v>
      </c>
      <c r="EU30" s="312">
        <v>0</v>
      </c>
      <c r="EV30" s="312">
        <v>0</v>
      </c>
      <c r="EW30" s="622">
        <f t="shared" si="49"/>
        <v>0</v>
      </c>
      <c r="EX30" s="312">
        <v>0</v>
      </c>
      <c r="EY30" s="312">
        <v>0</v>
      </c>
      <c r="EZ30" s="622">
        <f t="shared" si="50"/>
        <v>0</v>
      </c>
      <c r="FA30" s="312">
        <v>0</v>
      </c>
      <c r="FB30" s="312">
        <v>0</v>
      </c>
      <c r="FC30" s="622">
        <f t="shared" si="51"/>
        <v>0</v>
      </c>
      <c r="FD30" s="312">
        <v>0</v>
      </c>
      <c r="FE30" s="312">
        <v>0</v>
      </c>
      <c r="FF30" s="622">
        <f t="shared" si="52"/>
        <v>0</v>
      </c>
      <c r="FG30" s="312">
        <v>0</v>
      </c>
      <c r="FH30" s="312">
        <v>0</v>
      </c>
      <c r="FI30" s="622">
        <f t="shared" si="53"/>
        <v>0</v>
      </c>
      <c r="FJ30" s="312">
        <v>0</v>
      </c>
      <c r="FK30" s="312">
        <v>0</v>
      </c>
      <c r="FL30" s="622">
        <f t="shared" si="54"/>
        <v>0</v>
      </c>
      <c r="FM30" s="312">
        <v>0</v>
      </c>
      <c r="FN30" s="312">
        <v>0</v>
      </c>
      <c r="FO30" s="622">
        <f t="shared" si="55"/>
        <v>0</v>
      </c>
      <c r="FP30" s="312">
        <v>0</v>
      </c>
      <c r="FQ30" s="312">
        <v>0</v>
      </c>
      <c r="FR30" s="622">
        <f t="shared" si="56"/>
        <v>0</v>
      </c>
      <c r="FS30" s="312">
        <v>0</v>
      </c>
      <c r="FT30" s="312">
        <v>0</v>
      </c>
      <c r="FU30" s="622">
        <f t="shared" si="57"/>
        <v>0</v>
      </c>
      <c r="FV30" s="312">
        <v>0</v>
      </c>
      <c r="FW30" s="312">
        <v>0</v>
      </c>
      <c r="FX30" s="622">
        <f t="shared" si="58"/>
        <v>0</v>
      </c>
      <c r="FY30" s="312">
        <v>0</v>
      </c>
      <c r="FZ30" s="312">
        <v>0</v>
      </c>
      <c r="GA30" s="622">
        <f t="shared" si="59"/>
        <v>0</v>
      </c>
      <c r="GB30" s="312">
        <v>0</v>
      </c>
      <c r="GC30" s="312">
        <v>0</v>
      </c>
      <c r="GD30" s="622">
        <f t="shared" si="60"/>
        <v>0</v>
      </c>
      <c r="GE30" s="312">
        <v>0</v>
      </c>
      <c r="GF30" s="312">
        <v>0</v>
      </c>
      <c r="GG30" s="622">
        <f t="shared" si="61"/>
        <v>0</v>
      </c>
      <c r="GH30" s="312">
        <v>0</v>
      </c>
      <c r="GI30" s="312">
        <v>0</v>
      </c>
      <c r="GJ30" s="622">
        <f t="shared" si="62"/>
        <v>0</v>
      </c>
      <c r="GK30" s="312">
        <v>44</v>
      </c>
      <c r="GL30" s="312">
        <v>30</v>
      </c>
      <c r="GM30" s="622">
        <f t="shared" si="63"/>
        <v>74</v>
      </c>
      <c r="GN30" s="312">
        <v>191</v>
      </c>
      <c r="GO30" s="312">
        <v>564</v>
      </c>
      <c r="GP30" s="622">
        <f t="shared" si="64"/>
        <v>755</v>
      </c>
      <c r="GQ30" s="312">
        <v>13</v>
      </c>
      <c r="GR30" s="312">
        <v>1</v>
      </c>
      <c r="GS30" s="622">
        <f t="shared" si="65"/>
        <v>14</v>
      </c>
      <c r="GT30" s="312">
        <v>30</v>
      </c>
      <c r="GU30" s="312">
        <v>5</v>
      </c>
      <c r="GV30" s="622">
        <f t="shared" si="66"/>
        <v>35</v>
      </c>
      <c r="GW30" s="312">
        <v>3</v>
      </c>
      <c r="GX30" s="312">
        <v>4</v>
      </c>
      <c r="GY30" s="622">
        <f t="shared" si="67"/>
        <v>7</v>
      </c>
      <c r="GZ30" s="312">
        <v>4</v>
      </c>
      <c r="HA30" s="312">
        <v>1</v>
      </c>
      <c r="HB30" s="622">
        <f t="shared" si="68"/>
        <v>5</v>
      </c>
      <c r="HC30" s="312">
        <v>3</v>
      </c>
      <c r="HD30" s="312">
        <v>1</v>
      </c>
      <c r="HE30" s="622">
        <f t="shared" si="69"/>
        <v>4</v>
      </c>
      <c r="HF30" s="312">
        <v>18</v>
      </c>
      <c r="HG30" s="312">
        <v>4</v>
      </c>
      <c r="HH30" s="622">
        <f t="shared" si="70"/>
        <v>22</v>
      </c>
      <c r="HI30" s="312">
        <v>85</v>
      </c>
      <c r="HJ30" s="312">
        <v>169</v>
      </c>
      <c r="HK30" s="622">
        <f t="shared" si="71"/>
        <v>254</v>
      </c>
      <c r="HL30" s="312">
        <v>0</v>
      </c>
      <c r="HM30" s="312">
        <v>79</v>
      </c>
      <c r="HN30" s="622">
        <f t="shared" si="72"/>
        <v>79</v>
      </c>
      <c r="HO30" s="312">
        <v>12</v>
      </c>
      <c r="HP30" s="312">
        <v>127</v>
      </c>
      <c r="HQ30" s="622">
        <f t="shared" si="73"/>
        <v>139</v>
      </c>
      <c r="HR30" s="312">
        <v>3</v>
      </c>
      <c r="HS30" s="312">
        <v>16</v>
      </c>
      <c r="HT30" s="622">
        <f t="shared" si="74"/>
        <v>19</v>
      </c>
      <c r="HU30" s="312">
        <v>0</v>
      </c>
      <c r="HV30" s="312">
        <v>3</v>
      </c>
      <c r="HW30" s="622">
        <f t="shared" si="75"/>
        <v>3</v>
      </c>
      <c r="HX30" s="312">
        <v>0</v>
      </c>
      <c r="HY30" s="312">
        <v>0</v>
      </c>
      <c r="HZ30" s="622">
        <f t="shared" si="76"/>
        <v>0</v>
      </c>
      <c r="IA30" s="312">
        <v>1</v>
      </c>
      <c r="IB30" s="312">
        <v>1</v>
      </c>
      <c r="IC30" s="622">
        <f t="shared" si="77"/>
        <v>2</v>
      </c>
      <c r="ID30" s="312">
        <v>25</v>
      </c>
      <c r="IE30" s="312">
        <v>0</v>
      </c>
      <c r="IF30" s="622">
        <f t="shared" si="78"/>
        <v>25</v>
      </c>
      <c r="IG30" s="312">
        <v>1</v>
      </c>
      <c r="IH30" s="312">
        <v>0</v>
      </c>
      <c r="II30" s="622">
        <f t="shared" si="79"/>
        <v>1</v>
      </c>
      <c r="IJ30" s="312">
        <v>94</v>
      </c>
      <c r="IK30" s="312">
        <v>0</v>
      </c>
      <c r="IL30" s="622">
        <f t="shared" si="80"/>
        <v>94</v>
      </c>
      <c r="IM30" s="312">
        <v>0</v>
      </c>
      <c r="IN30" s="312">
        <v>0</v>
      </c>
      <c r="IO30" s="622">
        <f t="shared" si="81"/>
        <v>0</v>
      </c>
      <c r="IP30" s="312">
        <v>0</v>
      </c>
      <c r="IQ30" s="312">
        <v>0</v>
      </c>
      <c r="IR30" s="622">
        <f t="shared" si="82"/>
        <v>0</v>
      </c>
      <c r="IS30" s="312">
        <v>185</v>
      </c>
      <c r="IT30" s="312">
        <v>94</v>
      </c>
      <c r="IU30" s="622">
        <f t="shared" si="83"/>
        <v>279</v>
      </c>
      <c r="IV30" s="312">
        <v>2</v>
      </c>
      <c r="IW30" s="312">
        <v>1</v>
      </c>
      <c r="IX30" s="622">
        <f t="shared" si="84"/>
        <v>3</v>
      </c>
      <c r="IY30" s="312">
        <v>0</v>
      </c>
      <c r="IZ30" s="312">
        <v>0</v>
      </c>
      <c r="JA30" s="622">
        <f t="shared" si="85"/>
        <v>0</v>
      </c>
      <c r="JB30" s="312">
        <v>0</v>
      </c>
      <c r="JC30" s="312">
        <v>3</v>
      </c>
      <c r="JD30" s="622">
        <f t="shared" si="86"/>
        <v>3</v>
      </c>
      <c r="JE30" s="312">
        <v>4082</v>
      </c>
      <c r="JF30" s="312">
        <v>1174</v>
      </c>
      <c r="JG30" s="622">
        <f t="shared" si="87"/>
        <v>5256</v>
      </c>
      <c r="JH30" s="312">
        <v>1</v>
      </c>
      <c r="JI30" s="312">
        <v>0</v>
      </c>
      <c r="JJ30" s="622">
        <f t="shared" si="88"/>
        <v>1</v>
      </c>
      <c r="JK30" s="312">
        <v>0</v>
      </c>
      <c r="JL30" s="312">
        <v>0</v>
      </c>
      <c r="JM30" s="622">
        <f t="shared" si="89"/>
        <v>0</v>
      </c>
      <c r="JN30" s="312">
        <v>0</v>
      </c>
      <c r="JO30" s="312">
        <v>0</v>
      </c>
      <c r="JP30" s="622">
        <f t="shared" si="90"/>
        <v>0</v>
      </c>
      <c r="JQ30" s="312">
        <v>0</v>
      </c>
      <c r="JR30" s="312">
        <v>0</v>
      </c>
      <c r="JS30" s="622">
        <f t="shared" si="91"/>
        <v>0</v>
      </c>
      <c r="JT30" s="312">
        <v>0</v>
      </c>
      <c r="JU30" s="312">
        <v>0</v>
      </c>
      <c r="JV30" s="622">
        <f t="shared" si="92"/>
        <v>0</v>
      </c>
      <c r="JW30" s="312">
        <v>0</v>
      </c>
      <c r="JX30" s="312">
        <v>0</v>
      </c>
      <c r="JY30" s="622">
        <f t="shared" si="93"/>
        <v>0</v>
      </c>
      <c r="JZ30" s="312">
        <v>0</v>
      </c>
      <c r="KA30" s="312">
        <v>0</v>
      </c>
      <c r="KB30" s="622">
        <f t="shared" si="94"/>
        <v>0</v>
      </c>
      <c r="KC30" s="312">
        <v>0</v>
      </c>
      <c r="KD30" s="312">
        <v>0</v>
      </c>
      <c r="KE30" s="622">
        <f t="shared" si="95"/>
        <v>0</v>
      </c>
      <c r="KF30" s="312">
        <v>0</v>
      </c>
      <c r="KG30" s="312">
        <v>0</v>
      </c>
      <c r="KH30" s="622">
        <f t="shared" si="96"/>
        <v>0</v>
      </c>
      <c r="KI30" s="312">
        <v>0</v>
      </c>
      <c r="KJ30" s="312">
        <v>0</v>
      </c>
      <c r="KK30" s="622">
        <f t="shared" si="97"/>
        <v>0</v>
      </c>
      <c r="KL30" s="622">
        <v>0</v>
      </c>
      <c r="KM30" s="622">
        <v>0</v>
      </c>
      <c r="KN30" s="622">
        <f t="shared" si="98"/>
        <v>0</v>
      </c>
      <c r="KO30" s="622">
        <v>0</v>
      </c>
      <c r="KP30" s="622">
        <v>0</v>
      </c>
      <c r="KQ30" s="622">
        <f t="shared" si="99"/>
        <v>0</v>
      </c>
      <c r="KR30" s="622">
        <v>0</v>
      </c>
      <c r="KS30" s="622">
        <v>0</v>
      </c>
      <c r="KT30" s="622">
        <f t="shared" si="100"/>
        <v>0</v>
      </c>
      <c r="KU30" s="622">
        <v>0</v>
      </c>
      <c r="KV30" s="622">
        <v>0</v>
      </c>
      <c r="KW30" s="622">
        <f t="shared" si="101"/>
        <v>0</v>
      </c>
      <c r="KX30" s="622">
        <v>0</v>
      </c>
      <c r="KY30" s="622">
        <v>0</v>
      </c>
      <c r="KZ30" s="622">
        <f t="shared" si="102"/>
        <v>0</v>
      </c>
      <c r="LA30" s="622">
        <v>0</v>
      </c>
      <c r="LB30" s="622">
        <v>0</v>
      </c>
      <c r="LC30" s="622">
        <f t="shared" si="103"/>
        <v>0</v>
      </c>
      <c r="LD30" s="622">
        <v>0</v>
      </c>
      <c r="LE30" s="622">
        <v>0</v>
      </c>
      <c r="LF30" s="622">
        <f t="shared" si="104"/>
        <v>0</v>
      </c>
      <c r="LG30" s="622">
        <v>0</v>
      </c>
      <c r="LH30" s="622">
        <v>0</v>
      </c>
      <c r="LI30" s="622">
        <f t="shared" si="105"/>
        <v>0</v>
      </c>
      <c r="LJ30" s="312">
        <v>0</v>
      </c>
      <c r="LK30" s="312">
        <v>0</v>
      </c>
      <c r="LL30" s="689">
        <f t="shared" si="106"/>
        <v>0</v>
      </c>
    </row>
    <row r="31" spans="1:324" x14ac:dyDescent="0.35">
      <c r="A31" s="688">
        <v>4</v>
      </c>
      <c r="B31" s="375" t="s">
        <v>279</v>
      </c>
      <c r="C31" s="431" t="s">
        <v>71</v>
      </c>
      <c r="D31" s="312">
        <v>6914</v>
      </c>
      <c r="E31" s="312">
        <v>6309</v>
      </c>
      <c r="F31" s="622">
        <f t="shared" si="0"/>
        <v>13223</v>
      </c>
      <c r="G31" s="312">
        <v>4</v>
      </c>
      <c r="H31" s="312">
        <v>10667</v>
      </c>
      <c r="I31" s="622">
        <f t="shared" si="1"/>
        <v>10671</v>
      </c>
      <c r="J31" s="312">
        <v>7863</v>
      </c>
      <c r="K31" s="312">
        <v>6863</v>
      </c>
      <c r="L31" s="622">
        <f t="shared" si="2"/>
        <v>14726</v>
      </c>
      <c r="M31" s="312">
        <v>484</v>
      </c>
      <c r="N31" s="312">
        <v>229</v>
      </c>
      <c r="O31" s="622">
        <f t="shared" si="3"/>
        <v>713</v>
      </c>
      <c r="P31" s="312">
        <v>692</v>
      </c>
      <c r="Q31" s="312">
        <v>627</v>
      </c>
      <c r="R31" s="622">
        <f t="shared" si="4"/>
        <v>1319</v>
      </c>
      <c r="S31" s="312">
        <v>75</v>
      </c>
      <c r="T31" s="312">
        <v>7</v>
      </c>
      <c r="U31" s="622">
        <f t="shared" si="5"/>
        <v>82</v>
      </c>
      <c r="V31" s="312">
        <v>103</v>
      </c>
      <c r="W31" s="312">
        <v>11</v>
      </c>
      <c r="X31" s="622">
        <f t="shared" si="6"/>
        <v>114</v>
      </c>
      <c r="Y31" s="312">
        <v>159</v>
      </c>
      <c r="Z31" s="312">
        <v>54</v>
      </c>
      <c r="AA31" s="622">
        <f t="shared" si="7"/>
        <v>213</v>
      </c>
      <c r="AB31" s="312">
        <v>38</v>
      </c>
      <c r="AC31" s="312">
        <v>12</v>
      </c>
      <c r="AD31" s="622">
        <f t="shared" si="8"/>
        <v>50</v>
      </c>
      <c r="AE31" s="312">
        <v>1</v>
      </c>
      <c r="AF31" s="312">
        <v>1</v>
      </c>
      <c r="AG31" s="622">
        <f t="shared" si="9"/>
        <v>2</v>
      </c>
      <c r="AH31" s="312">
        <v>1</v>
      </c>
      <c r="AI31" s="312">
        <v>0</v>
      </c>
      <c r="AJ31" s="622">
        <f t="shared" si="10"/>
        <v>1</v>
      </c>
      <c r="AK31" s="312">
        <v>72</v>
      </c>
      <c r="AL31" s="312">
        <v>11</v>
      </c>
      <c r="AM31" s="622">
        <f t="shared" si="11"/>
        <v>83</v>
      </c>
      <c r="AN31" s="312">
        <v>29</v>
      </c>
      <c r="AO31" s="312">
        <v>0</v>
      </c>
      <c r="AP31" s="622">
        <f t="shared" si="12"/>
        <v>29</v>
      </c>
      <c r="AQ31" s="312">
        <v>52</v>
      </c>
      <c r="AR31" s="312">
        <v>1</v>
      </c>
      <c r="AS31" s="622">
        <f t="shared" si="13"/>
        <v>53</v>
      </c>
      <c r="AT31" s="312">
        <v>9895</v>
      </c>
      <c r="AU31" s="312">
        <v>5400</v>
      </c>
      <c r="AV31" s="622">
        <f t="shared" si="14"/>
        <v>15295</v>
      </c>
      <c r="AW31" s="312">
        <v>339</v>
      </c>
      <c r="AX31" s="312">
        <v>175</v>
      </c>
      <c r="AY31" s="622">
        <f t="shared" si="15"/>
        <v>514</v>
      </c>
      <c r="AZ31" s="312">
        <v>19</v>
      </c>
      <c r="BA31" s="312">
        <v>13</v>
      </c>
      <c r="BB31" s="622">
        <f t="shared" si="16"/>
        <v>32</v>
      </c>
      <c r="BC31" s="312">
        <v>58</v>
      </c>
      <c r="BD31" s="312">
        <v>30</v>
      </c>
      <c r="BE31" s="622">
        <f t="shared" si="17"/>
        <v>88</v>
      </c>
      <c r="BF31" s="312">
        <v>869</v>
      </c>
      <c r="BG31" s="312">
        <v>45</v>
      </c>
      <c r="BH31" s="622">
        <f t="shared" si="18"/>
        <v>914</v>
      </c>
      <c r="BI31" s="312">
        <v>15</v>
      </c>
      <c r="BJ31" s="312">
        <v>1</v>
      </c>
      <c r="BK31" s="622">
        <f t="shared" si="19"/>
        <v>16</v>
      </c>
      <c r="BL31" s="312">
        <v>0</v>
      </c>
      <c r="BM31" s="312">
        <v>0</v>
      </c>
      <c r="BN31" s="622">
        <f t="shared" si="20"/>
        <v>0</v>
      </c>
      <c r="BO31" s="312">
        <v>1</v>
      </c>
      <c r="BP31" s="312">
        <v>0</v>
      </c>
      <c r="BQ31" s="622">
        <f t="shared" si="21"/>
        <v>1</v>
      </c>
      <c r="BR31" s="312">
        <v>1</v>
      </c>
      <c r="BS31" s="312">
        <v>9</v>
      </c>
      <c r="BT31" s="622">
        <f t="shared" si="22"/>
        <v>10</v>
      </c>
      <c r="BU31" s="312">
        <v>1</v>
      </c>
      <c r="BV31" s="312">
        <v>0</v>
      </c>
      <c r="BW31" s="622">
        <f t="shared" si="23"/>
        <v>1</v>
      </c>
      <c r="BX31" s="312">
        <v>2</v>
      </c>
      <c r="BY31" s="312">
        <v>0</v>
      </c>
      <c r="BZ31" s="622">
        <f t="shared" si="24"/>
        <v>2</v>
      </c>
      <c r="CA31" s="312">
        <v>2</v>
      </c>
      <c r="CB31" s="312">
        <v>0</v>
      </c>
      <c r="CC31" s="622">
        <f t="shared" si="25"/>
        <v>2</v>
      </c>
      <c r="CD31" s="312">
        <v>1</v>
      </c>
      <c r="CE31" s="312">
        <v>0</v>
      </c>
      <c r="CF31" s="622">
        <f t="shared" si="26"/>
        <v>1</v>
      </c>
      <c r="CG31" s="312">
        <v>0</v>
      </c>
      <c r="CH31" s="312">
        <v>0</v>
      </c>
      <c r="CI31" s="622">
        <f t="shared" si="27"/>
        <v>0</v>
      </c>
      <c r="CJ31" s="312">
        <v>0</v>
      </c>
      <c r="CK31" s="312">
        <v>0</v>
      </c>
      <c r="CL31" s="622">
        <f t="shared" si="28"/>
        <v>0</v>
      </c>
      <c r="CM31" s="312">
        <v>3</v>
      </c>
      <c r="CN31" s="312">
        <v>4</v>
      </c>
      <c r="CO31" s="622">
        <f t="shared" si="29"/>
        <v>7</v>
      </c>
      <c r="CP31" s="312">
        <v>0</v>
      </c>
      <c r="CQ31" s="312">
        <v>0</v>
      </c>
      <c r="CR31" s="622">
        <f t="shared" si="30"/>
        <v>0</v>
      </c>
      <c r="CS31" s="312">
        <v>0</v>
      </c>
      <c r="CT31" s="312">
        <v>2</v>
      </c>
      <c r="CU31" s="622">
        <f t="shared" si="31"/>
        <v>2</v>
      </c>
      <c r="CV31" s="312">
        <v>0</v>
      </c>
      <c r="CW31" s="312">
        <v>0</v>
      </c>
      <c r="CX31" s="622">
        <f t="shared" si="32"/>
        <v>0</v>
      </c>
      <c r="CY31" s="312">
        <v>0</v>
      </c>
      <c r="CZ31" s="312">
        <v>1</v>
      </c>
      <c r="DA31" s="622">
        <f t="shared" si="33"/>
        <v>1</v>
      </c>
      <c r="DB31" s="312">
        <v>2</v>
      </c>
      <c r="DC31" s="312">
        <v>0</v>
      </c>
      <c r="DD31" s="622">
        <f t="shared" si="34"/>
        <v>2</v>
      </c>
      <c r="DE31" s="312">
        <v>9</v>
      </c>
      <c r="DF31" s="312">
        <v>0</v>
      </c>
      <c r="DG31" s="622">
        <f t="shared" si="35"/>
        <v>9</v>
      </c>
      <c r="DH31" s="312">
        <v>0</v>
      </c>
      <c r="DI31" s="312">
        <v>0</v>
      </c>
      <c r="DJ31" s="622">
        <f t="shared" si="36"/>
        <v>0</v>
      </c>
      <c r="DK31" s="312">
        <v>0</v>
      </c>
      <c r="DL31" s="312">
        <v>0</v>
      </c>
      <c r="DM31" s="622">
        <f t="shared" si="37"/>
        <v>0</v>
      </c>
      <c r="DN31" s="312">
        <v>0</v>
      </c>
      <c r="DO31" s="312">
        <v>0</v>
      </c>
      <c r="DP31" s="622">
        <f t="shared" si="38"/>
        <v>0</v>
      </c>
      <c r="DQ31" s="312">
        <v>0</v>
      </c>
      <c r="DR31" s="312">
        <v>1</v>
      </c>
      <c r="DS31" s="622">
        <f t="shared" si="39"/>
        <v>1</v>
      </c>
      <c r="DT31" s="312">
        <v>1</v>
      </c>
      <c r="DU31" s="312">
        <v>0</v>
      </c>
      <c r="DV31" s="622">
        <f t="shared" si="40"/>
        <v>1</v>
      </c>
      <c r="DW31" s="312">
        <v>10</v>
      </c>
      <c r="DX31" s="312">
        <v>4</v>
      </c>
      <c r="DY31" s="622">
        <f t="shared" si="41"/>
        <v>14</v>
      </c>
      <c r="DZ31" s="312">
        <v>1</v>
      </c>
      <c r="EA31" s="312">
        <v>0</v>
      </c>
      <c r="EB31" s="622">
        <f t="shared" si="42"/>
        <v>1</v>
      </c>
      <c r="EC31" s="312">
        <v>30</v>
      </c>
      <c r="ED31" s="312">
        <v>7</v>
      </c>
      <c r="EE31" s="622">
        <f t="shared" si="43"/>
        <v>37</v>
      </c>
      <c r="EF31" s="312">
        <v>6</v>
      </c>
      <c r="EG31" s="312">
        <v>0</v>
      </c>
      <c r="EH31" s="622">
        <f t="shared" si="44"/>
        <v>6</v>
      </c>
      <c r="EI31" s="312">
        <v>0</v>
      </c>
      <c r="EJ31" s="312">
        <v>1</v>
      </c>
      <c r="EK31" s="622">
        <f t="shared" si="45"/>
        <v>1</v>
      </c>
      <c r="EL31" s="312">
        <v>0</v>
      </c>
      <c r="EM31" s="312">
        <v>0</v>
      </c>
      <c r="EN31" s="622">
        <f t="shared" si="46"/>
        <v>0</v>
      </c>
      <c r="EO31" s="312">
        <v>0</v>
      </c>
      <c r="EP31" s="312">
        <v>0</v>
      </c>
      <c r="EQ31" s="622">
        <f t="shared" si="47"/>
        <v>0</v>
      </c>
      <c r="ER31" s="312">
        <v>0</v>
      </c>
      <c r="ES31" s="312">
        <v>0</v>
      </c>
      <c r="ET31" s="622">
        <f t="shared" si="48"/>
        <v>0</v>
      </c>
      <c r="EU31" s="312">
        <v>0</v>
      </c>
      <c r="EV31" s="312">
        <v>0</v>
      </c>
      <c r="EW31" s="622">
        <f t="shared" si="49"/>
        <v>0</v>
      </c>
      <c r="EX31" s="312">
        <v>0</v>
      </c>
      <c r="EY31" s="312">
        <v>0</v>
      </c>
      <c r="EZ31" s="622">
        <f t="shared" si="50"/>
        <v>0</v>
      </c>
      <c r="FA31" s="312">
        <v>0</v>
      </c>
      <c r="FB31" s="312">
        <v>0</v>
      </c>
      <c r="FC31" s="622">
        <f t="shared" si="51"/>
        <v>0</v>
      </c>
      <c r="FD31" s="312">
        <v>0</v>
      </c>
      <c r="FE31" s="312">
        <v>0</v>
      </c>
      <c r="FF31" s="622">
        <f t="shared" si="52"/>
        <v>0</v>
      </c>
      <c r="FG31" s="312">
        <v>0</v>
      </c>
      <c r="FH31" s="312">
        <v>0</v>
      </c>
      <c r="FI31" s="622">
        <f t="shared" si="53"/>
        <v>0</v>
      </c>
      <c r="FJ31" s="312">
        <v>0</v>
      </c>
      <c r="FK31" s="312">
        <v>0</v>
      </c>
      <c r="FL31" s="622">
        <f t="shared" si="54"/>
        <v>0</v>
      </c>
      <c r="FM31" s="312">
        <v>0</v>
      </c>
      <c r="FN31" s="312">
        <v>0</v>
      </c>
      <c r="FO31" s="622">
        <f t="shared" si="55"/>
        <v>0</v>
      </c>
      <c r="FP31" s="312">
        <v>0</v>
      </c>
      <c r="FQ31" s="312">
        <v>0</v>
      </c>
      <c r="FR31" s="622">
        <f t="shared" si="56"/>
        <v>0</v>
      </c>
      <c r="FS31" s="312">
        <v>0</v>
      </c>
      <c r="FT31" s="312">
        <v>0</v>
      </c>
      <c r="FU31" s="622">
        <f t="shared" si="57"/>
        <v>0</v>
      </c>
      <c r="FV31" s="312">
        <v>0</v>
      </c>
      <c r="FW31" s="312">
        <v>0</v>
      </c>
      <c r="FX31" s="622">
        <f t="shared" si="58"/>
        <v>0</v>
      </c>
      <c r="FY31" s="312">
        <v>0</v>
      </c>
      <c r="FZ31" s="312">
        <v>0</v>
      </c>
      <c r="GA31" s="622">
        <f t="shared" si="59"/>
        <v>0</v>
      </c>
      <c r="GB31" s="312">
        <v>0</v>
      </c>
      <c r="GC31" s="312">
        <v>0</v>
      </c>
      <c r="GD31" s="622">
        <f t="shared" si="60"/>
        <v>0</v>
      </c>
      <c r="GE31" s="312">
        <v>0</v>
      </c>
      <c r="GF31" s="312">
        <v>0</v>
      </c>
      <c r="GG31" s="622">
        <f t="shared" si="61"/>
        <v>0</v>
      </c>
      <c r="GH31" s="312">
        <v>1</v>
      </c>
      <c r="GI31" s="312">
        <v>0</v>
      </c>
      <c r="GJ31" s="622">
        <f t="shared" si="62"/>
        <v>1</v>
      </c>
      <c r="GK31" s="312">
        <v>37</v>
      </c>
      <c r="GL31" s="312">
        <v>35</v>
      </c>
      <c r="GM31" s="622">
        <f t="shared" si="63"/>
        <v>72</v>
      </c>
      <c r="GN31" s="312">
        <v>163</v>
      </c>
      <c r="GO31" s="312">
        <v>393</v>
      </c>
      <c r="GP31" s="622">
        <f t="shared" si="64"/>
        <v>556</v>
      </c>
      <c r="GQ31" s="312">
        <v>5</v>
      </c>
      <c r="GR31" s="312">
        <v>0</v>
      </c>
      <c r="GS31" s="622">
        <f t="shared" si="65"/>
        <v>5</v>
      </c>
      <c r="GT31" s="312">
        <v>16</v>
      </c>
      <c r="GU31" s="312">
        <v>2</v>
      </c>
      <c r="GV31" s="622">
        <f t="shared" si="66"/>
        <v>18</v>
      </c>
      <c r="GW31" s="312">
        <v>0</v>
      </c>
      <c r="GX31" s="312">
        <v>4</v>
      </c>
      <c r="GY31" s="622">
        <f t="shared" si="67"/>
        <v>4</v>
      </c>
      <c r="GZ31" s="312">
        <v>2</v>
      </c>
      <c r="HA31" s="312">
        <v>0</v>
      </c>
      <c r="HB31" s="622">
        <f t="shared" si="68"/>
        <v>2</v>
      </c>
      <c r="HC31" s="312">
        <v>1</v>
      </c>
      <c r="HD31" s="312">
        <v>0</v>
      </c>
      <c r="HE31" s="622">
        <f t="shared" si="69"/>
        <v>1</v>
      </c>
      <c r="HF31" s="312">
        <v>13</v>
      </c>
      <c r="HG31" s="312">
        <v>0</v>
      </c>
      <c r="HH31" s="622">
        <f t="shared" si="70"/>
        <v>13</v>
      </c>
      <c r="HI31" s="312">
        <v>36</v>
      </c>
      <c r="HJ31" s="312">
        <v>92</v>
      </c>
      <c r="HK31" s="622">
        <f t="shared" si="71"/>
        <v>128</v>
      </c>
      <c r="HL31" s="312">
        <v>0</v>
      </c>
      <c r="HM31" s="312">
        <v>40</v>
      </c>
      <c r="HN31" s="622">
        <f t="shared" si="72"/>
        <v>40</v>
      </c>
      <c r="HO31" s="312">
        <v>8</v>
      </c>
      <c r="HP31" s="312">
        <v>74</v>
      </c>
      <c r="HQ31" s="622">
        <f t="shared" si="73"/>
        <v>82</v>
      </c>
      <c r="HR31" s="312">
        <v>1</v>
      </c>
      <c r="HS31" s="312">
        <v>16</v>
      </c>
      <c r="HT31" s="622">
        <f t="shared" si="74"/>
        <v>17</v>
      </c>
      <c r="HU31" s="312">
        <v>0</v>
      </c>
      <c r="HV31" s="312">
        <v>2</v>
      </c>
      <c r="HW31" s="622">
        <f t="shared" si="75"/>
        <v>2</v>
      </c>
      <c r="HX31" s="312">
        <v>0</v>
      </c>
      <c r="HY31" s="312">
        <v>0</v>
      </c>
      <c r="HZ31" s="622">
        <f t="shared" si="76"/>
        <v>0</v>
      </c>
      <c r="IA31" s="312">
        <v>0</v>
      </c>
      <c r="IB31" s="312">
        <v>1</v>
      </c>
      <c r="IC31" s="622">
        <f t="shared" si="77"/>
        <v>1</v>
      </c>
      <c r="ID31" s="312">
        <v>34</v>
      </c>
      <c r="IE31" s="312">
        <v>1</v>
      </c>
      <c r="IF31" s="622">
        <f t="shared" si="78"/>
        <v>35</v>
      </c>
      <c r="IG31" s="312">
        <v>1</v>
      </c>
      <c r="IH31" s="312">
        <v>0</v>
      </c>
      <c r="II31" s="622">
        <f t="shared" si="79"/>
        <v>1</v>
      </c>
      <c r="IJ31" s="312">
        <v>38</v>
      </c>
      <c r="IK31" s="312">
        <v>0</v>
      </c>
      <c r="IL31" s="622">
        <f t="shared" si="80"/>
        <v>38</v>
      </c>
      <c r="IM31" s="312">
        <v>0</v>
      </c>
      <c r="IN31" s="312">
        <v>0</v>
      </c>
      <c r="IO31" s="622">
        <f t="shared" si="81"/>
        <v>0</v>
      </c>
      <c r="IP31" s="312">
        <v>0</v>
      </c>
      <c r="IQ31" s="312">
        <v>1</v>
      </c>
      <c r="IR31" s="622">
        <f t="shared" si="82"/>
        <v>1</v>
      </c>
      <c r="IS31" s="312">
        <v>117</v>
      </c>
      <c r="IT31" s="312">
        <v>36</v>
      </c>
      <c r="IU31" s="622">
        <f t="shared" si="83"/>
        <v>153</v>
      </c>
      <c r="IV31" s="312">
        <v>0</v>
      </c>
      <c r="IW31" s="312">
        <v>0</v>
      </c>
      <c r="IX31" s="622">
        <f t="shared" si="84"/>
        <v>0</v>
      </c>
      <c r="IY31" s="312">
        <v>1</v>
      </c>
      <c r="IZ31" s="312">
        <v>0</v>
      </c>
      <c r="JA31" s="622">
        <f t="shared" si="85"/>
        <v>1</v>
      </c>
      <c r="JB31" s="312">
        <v>0</v>
      </c>
      <c r="JC31" s="312">
        <v>0</v>
      </c>
      <c r="JD31" s="622">
        <f t="shared" si="86"/>
        <v>0</v>
      </c>
      <c r="JE31" s="312">
        <v>3279</v>
      </c>
      <c r="JF31" s="312">
        <v>932</v>
      </c>
      <c r="JG31" s="622">
        <f t="shared" si="87"/>
        <v>4211</v>
      </c>
      <c r="JH31" s="312">
        <v>1</v>
      </c>
      <c r="JI31" s="312">
        <v>0</v>
      </c>
      <c r="JJ31" s="622">
        <f t="shared" si="88"/>
        <v>1</v>
      </c>
      <c r="JK31" s="312">
        <v>0</v>
      </c>
      <c r="JL31" s="312">
        <v>0</v>
      </c>
      <c r="JM31" s="622">
        <f t="shared" si="89"/>
        <v>0</v>
      </c>
      <c r="JN31" s="312">
        <v>0</v>
      </c>
      <c r="JO31" s="312">
        <v>0</v>
      </c>
      <c r="JP31" s="622">
        <f t="shared" si="90"/>
        <v>0</v>
      </c>
      <c r="JQ31" s="312">
        <v>0</v>
      </c>
      <c r="JR31" s="312">
        <v>0</v>
      </c>
      <c r="JS31" s="622">
        <f t="shared" si="91"/>
        <v>0</v>
      </c>
      <c r="JT31" s="312">
        <v>0</v>
      </c>
      <c r="JU31" s="312">
        <v>0</v>
      </c>
      <c r="JV31" s="622">
        <f t="shared" si="92"/>
        <v>0</v>
      </c>
      <c r="JW31" s="312">
        <v>0</v>
      </c>
      <c r="JX31" s="312">
        <v>0</v>
      </c>
      <c r="JY31" s="622">
        <f t="shared" si="93"/>
        <v>0</v>
      </c>
      <c r="JZ31" s="312">
        <v>0</v>
      </c>
      <c r="KA31" s="312">
        <v>0</v>
      </c>
      <c r="KB31" s="622">
        <f t="shared" si="94"/>
        <v>0</v>
      </c>
      <c r="KC31" s="312">
        <v>0</v>
      </c>
      <c r="KD31" s="312">
        <v>0</v>
      </c>
      <c r="KE31" s="622">
        <f t="shared" si="95"/>
        <v>0</v>
      </c>
      <c r="KF31" s="312">
        <v>1</v>
      </c>
      <c r="KG31" s="312">
        <v>0</v>
      </c>
      <c r="KH31" s="622">
        <f t="shared" si="96"/>
        <v>1</v>
      </c>
      <c r="KI31" s="312">
        <v>0</v>
      </c>
      <c r="KJ31" s="312">
        <v>0</v>
      </c>
      <c r="KK31" s="622">
        <f t="shared" si="97"/>
        <v>0</v>
      </c>
      <c r="KL31" s="622">
        <v>0</v>
      </c>
      <c r="KM31" s="622">
        <v>0</v>
      </c>
      <c r="KN31" s="622">
        <f t="shared" si="98"/>
        <v>0</v>
      </c>
      <c r="KO31" s="622">
        <v>0</v>
      </c>
      <c r="KP31" s="622">
        <v>0</v>
      </c>
      <c r="KQ31" s="622">
        <f t="shared" si="99"/>
        <v>0</v>
      </c>
      <c r="KR31" s="622">
        <v>0</v>
      </c>
      <c r="KS31" s="622">
        <v>0</v>
      </c>
      <c r="KT31" s="622">
        <f t="shared" si="100"/>
        <v>0</v>
      </c>
      <c r="KU31" s="622">
        <v>0</v>
      </c>
      <c r="KV31" s="622">
        <v>0</v>
      </c>
      <c r="KW31" s="622">
        <f t="shared" si="101"/>
        <v>0</v>
      </c>
      <c r="KX31" s="622">
        <v>0</v>
      </c>
      <c r="KY31" s="622">
        <v>0</v>
      </c>
      <c r="KZ31" s="622">
        <f t="shared" si="102"/>
        <v>0</v>
      </c>
      <c r="LA31" s="622">
        <v>0</v>
      </c>
      <c r="LB31" s="622">
        <v>0</v>
      </c>
      <c r="LC31" s="622">
        <f t="shared" si="103"/>
        <v>0</v>
      </c>
      <c r="LD31" s="622">
        <v>0</v>
      </c>
      <c r="LE31" s="622">
        <v>0</v>
      </c>
      <c r="LF31" s="622">
        <f t="shared" si="104"/>
        <v>0</v>
      </c>
      <c r="LG31" s="622">
        <v>0</v>
      </c>
      <c r="LH31" s="622">
        <v>0</v>
      </c>
      <c r="LI31" s="622">
        <f t="shared" si="105"/>
        <v>0</v>
      </c>
      <c r="LJ31" s="312">
        <v>0</v>
      </c>
      <c r="LK31" s="312">
        <v>0</v>
      </c>
      <c r="LL31" s="689">
        <f t="shared" si="106"/>
        <v>0</v>
      </c>
    </row>
    <row r="32" spans="1:324" x14ac:dyDescent="0.35">
      <c r="A32" s="688">
        <v>4</v>
      </c>
      <c r="B32" s="375" t="s">
        <v>280</v>
      </c>
      <c r="C32" s="431" t="s">
        <v>74</v>
      </c>
      <c r="D32" s="312">
        <v>4182</v>
      </c>
      <c r="E32" s="312">
        <v>3784</v>
      </c>
      <c r="F32" s="622">
        <f t="shared" si="0"/>
        <v>7966</v>
      </c>
      <c r="G32" s="312">
        <v>2</v>
      </c>
      <c r="H32" s="312">
        <v>6353</v>
      </c>
      <c r="I32" s="622">
        <f t="shared" si="1"/>
        <v>6355</v>
      </c>
      <c r="J32" s="312">
        <v>4701</v>
      </c>
      <c r="K32" s="312">
        <v>4097</v>
      </c>
      <c r="L32" s="622">
        <f t="shared" si="2"/>
        <v>8798</v>
      </c>
      <c r="M32" s="312">
        <v>215</v>
      </c>
      <c r="N32" s="312">
        <v>91</v>
      </c>
      <c r="O32" s="622">
        <f t="shared" si="3"/>
        <v>306</v>
      </c>
      <c r="P32" s="312">
        <v>356</v>
      </c>
      <c r="Q32" s="312">
        <v>319</v>
      </c>
      <c r="R32" s="622">
        <f t="shared" si="4"/>
        <v>675</v>
      </c>
      <c r="S32" s="312">
        <v>41</v>
      </c>
      <c r="T32" s="312">
        <v>2</v>
      </c>
      <c r="U32" s="622">
        <f t="shared" si="5"/>
        <v>43</v>
      </c>
      <c r="V32" s="312">
        <v>54</v>
      </c>
      <c r="W32" s="312">
        <v>10</v>
      </c>
      <c r="X32" s="622">
        <f t="shared" si="6"/>
        <v>64</v>
      </c>
      <c r="Y32" s="312">
        <v>113</v>
      </c>
      <c r="Z32" s="312">
        <v>16</v>
      </c>
      <c r="AA32" s="622">
        <f t="shared" si="7"/>
        <v>129</v>
      </c>
      <c r="AB32" s="312">
        <v>15</v>
      </c>
      <c r="AC32" s="312">
        <v>11</v>
      </c>
      <c r="AD32" s="622">
        <f t="shared" si="8"/>
        <v>26</v>
      </c>
      <c r="AE32" s="312">
        <v>4</v>
      </c>
      <c r="AF32" s="312">
        <v>0</v>
      </c>
      <c r="AG32" s="622">
        <f t="shared" si="9"/>
        <v>4</v>
      </c>
      <c r="AH32" s="312">
        <v>5</v>
      </c>
      <c r="AI32" s="312">
        <v>0</v>
      </c>
      <c r="AJ32" s="622">
        <f t="shared" si="10"/>
        <v>5</v>
      </c>
      <c r="AK32" s="312">
        <v>61</v>
      </c>
      <c r="AL32" s="312">
        <v>7</v>
      </c>
      <c r="AM32" s="622">
        <f t="shared" si="11"/>
        <v>68</v>
      </c>
      <c r="AN32" s="312">
        <v>9</v>
      </c>
      <c r="AO32" s="312">
        <v>0</v>
      </c>
      <c r="AP32" s="622">
        <f t="shared" si="12"/>
        <v>9</v>
      </c>
      <c r="AQ32" s="312">
        <v>25</v>
      </c>
      <c r="AR32" s="312">
        <v>0</v>
      </c>
      <c r="AS32" s="622">
        <f t="shared" si="13"/>
        <v>25</v>
      </c>
      <c r="AT32" s="312">
        <v>5714</v>
      </c>
      <c r="AU32" s="312">
        <v>3099</v>
      </c>
      <c r="AV32" s="622">
        <f t="shared" si="14"/>
        <v>8813</v>
      </c>
      <c r="AW32" s="312">
        <v>160</v>
      </c>
      <c r="AX32" s="312">
        <v>73</v>
      </c>
      <c r="AY32" s="622">
        <f t="shared" si="15"/>
        <v>233</v>
      </c>
      <c r="AZ32" s="312">
        <v>8</v>
      </c>
      <c r="BA32" s="312">
        <v>7</v>
      </c>
      <c r="BB32" s="622">
        <f t="shared" si="16"/>
        <v>15</v>
      </c>
      <c r="BC32" s="312">
        <v>29</v>
      </c>
      <c r="BD32" s="312">
        <v>24</v>
      </c>
      <c r="BE32" s="622">
        <f t="shared" si="17"/>
        <v>53</v>
      </c>
      <c r="BF32" s="312">
        <v>443</v>
      </c>
      <c r="BG32" s="312">
        <v>21</v>
      </c>
      <c r="BH32" s="622">
        <f t="shared" si="18"/>
        <v>464</v>
      </c>
      <c r="BI32" s="312">
        <v>9</v>
      </c>
      <c r="BJ32" s="312">
        <v>2</v>
      </c>
      <c r="BK32" s="622">
        <f t="shared" si="19"/>
        <v>11</v>
      </c>
      <c r="BL32" s="312">
        <v>0</v>
      </c>
      <c r="BM32" s="312">
        <v>0</v>
      </c>
      <c r="BN32" s="622">
        <f t="shared" si="20"/>
        <v>0</v>
      </c>
      <c r="BO32" s="312">
        <v>0</v>
      </c>
      <c r="BP32" s="312">
        <v>0</v>
      </c>
      <c r="BQ32" s="622">
        <f t="shared" si="21"/>
        <v>0</v>
      </c>
      <c r="BR32" s="312">
        <v>0</v>
      </c>
      <c r="BS32" s="312">
        <v>4</v>
      </c>
      <c r="BT32" s="622">
        <f t="shared" si="22"/>
        <v>4</v>
      </c>
      <c r="BU32" s="312">
        <v>0</v>
      </c>
      <c r="BV32" s="312">
        <v>0</v>
      </c>
      <c r="BW32" s="622">
        <f t="shared" si="23"/>
        <v>0</v>
      </c>
      <c r="BX32" s="312">
        <v>0</v>
      </c>
      <c r="BY32" s="312">
        <v>0</v>
      </c>
      <c r="BZ32" s="622">
        <f t="shared" si="24"/>
        <v>0</v>
      </c>
      <c r="CA32" s="312">
        <v>0</v>
      </c>
      <c r="CB32" s="312">
        <v>0</v>
      </c>
      <c r="CC32" s="622">
        <f t="shared" si="25"/>
        <v>0</v>
      </c>
      <c r="CD32" s="312">
        <v>0</v>
      </c>
      <c r="CE32" s="312">
        <v>0</v>
      </c>
      <c r="CF32" s="622">
        <f t="shared" si="26"/>
        <v>0</v>
      </c>
      <c r="CG32" s="312">
        <v>0</v>
      </c>
      <c r="CH32" s="312">
        <v>0</v>
      </c>
      <c r="CI32" s="622">
        <f t="shared" si="27"/>
        <v>0</v>
      </c>
      <c r="CJ32" s="312">
        <v>1</v>
      </c>
      <c r="CK32" s="312">
        <v>0</v>
      </c>
      <c r="CL32" s="622">
        <f t="shared" si="28"/>
        <v>1</v>
      </c>
      <c r="CM32" s="312">
        <v>2</v>
      </c>
      <c r="CN32" s="312">
        <v>2</v>
      </c>
      <c r="CO32" s="622">
        <f t="shared" si="29"/>
        <v>4</v>
      </c>
      <c r="CP32" s="312">
        <v>0</v>
      </c>
      <c r="CQ32" s="312">
        <v>0</v>
      </c>
      <c r="CR32" s="622">
        <f t="shared" si="30"/>
        <v>0</v>
      </c>
      <c r="CS32" s="312">
        <v>0</v>
      </c>
      <c r="CT32" s="312">
        <v>0</v>
      </c>
      <c r="CU32" s="622">
        <f t="shared" si="31"/>
        <v>0</v>
      </c>
      <c r="CV32" s="312">
        <v>0</v>
      </c>
      <c r="CW32" s="312">
        <v>0</v>
      </c>
      <c r="CX32" s="622">
        <f t="shared" si="32"/>
        <v>0</v>
      </c>
      <c r="CY32" s="312">
        <v>0</v>
      </c>
      <c r="CZ32" s="312">
        <v>0</v>
      </c>
      <c r="DA32" s="622">
        <f t="shared" si="33"/>
        <v>0</v>
      </c>
      <c r="DB32" s="312">
        <v>3</v>
      </c>
      <c r="DC32" s="312">
        <v>0</v>
      </c>
      <c r="DD32" s="622">
        <f t="shared" si="34"/>
        <v>3</v>
      </c>
      <c r="DE32" s="312">
        <v>6</v>
      </c>
      <c r="DF32" s="312">
        <v>1</v>
      </c>
      <c r="DG32" s="622">
        <f t="shared" si="35"/>
        <v>7</v>
      </c>
      <c r="DH32" s="312">
        <v>0</v>
      </c>
      <c r="DI32" s="312">
        <v>0</v>
      </c>
      <c r="DJ32" s="622">
        <f t="shared" si="36"/>
        <v>0</v>
      </c>
      <c r="DK32" s="312">
        <v>0</v>
      </c>
      <c r="DL32" s="312">
        <v>0</v>
      </c>
      <c r="DM32" s="622">
        <f t="shared" si="37"/>
        <v>0</v>
      </c>
      <c r="DN32" s="312">
        <v>0</v>
      </c>
      <c r="DO32" s="312">
        <v>0</v>
      </c>
      <c r="DP32" s="622">
        <f t="shared" si="38"/>
        <v>0</v>
      </c>
      <c r="DQ32" s="312">
        <v>0</v>
      </c>
      <c r="DR32" s="312">
        <v>0</v>
      </c>
      <c r="DS32" s="622">
        <f t="shared" si="39"/>
        <v>0</v>
      </c>
      <c r="DT32" s="312">
        <v>0</v>
      </c>
      <c r="DU32" s="312">
        <v>0</v>
      </c>
      <c r="DV32" s="622">
        <f t="shared" si="40"/>
        <v>0</v>
      </c>
      <c r="DW32" s="312">
        <v>5</v>
      </c>
      <c r="DX32" s="312">
        <v>5</v>
      </c>
      <c r="DY32" s="622">
        <f t="shared" si="41"/>
        <v>10</v>
      </c>
      <c r="DZ32" s="312">
        <v>0</v>
      </c>
      <c r="EA32" s="312">
        <v>0</v>
      </c>
      <c r="EB32" s="622">
        <f t="shared" si="42"/>
        <v>0</v>
      </c>
      <c r="EC32" s="312">
        <v>12</v>
      </c>
      <c r="ED32" s="312">
        <v>3</v>
      </c>
      <c r="EE32" s="622">
        <f t="shared" si="43"/>
        <v>15</v>
      </c>
      <c r="EF32" s="312">
        <v>3</v>
      </c>
      <c r="EG32" s="312">
        <v>0</v>
      </c>
      <c r="EH32" s="622">
        <f t="shared" si="44"/>
        <v>3</v>
      </c>
      <c r="EI32" s="312">
        <v>1</v>
      </c>
      <c r="EJ32" s="312">
        <v>0</v>
      </c>
      <c r="EK32" s="622">
        <f t="shared" si="45"/>
        <v>1</v>
      </c>
      <c r="EL32" s="312">
        <v>0</v>
      </c>
      <c r="EM32" s="312">
        <v>0</v>
      </c>
      <c r="EN32" s="622">
        <f t="shared" si="46"/>
        <v>0</v>
      </c>
      <c r="EO32" s="312">
        <v>1</v>
      </c>
      <c r="EP32" s="312">
        <v>0</v>
      </c>
      <c r="EQ32" s="622">
        <f t="shared" si="47"/>
        <v>1</v>
      </c>
      <c r="ER32" s="312">
        <v>0</v>
      </c>
      <c r="ES32" s="312">
        <v>0</v>
      </c>
      <c r="ET32" s="622">
        <f t="shared" si="48"/>
        <v>0</v>
      </c>
      <c r="EU32" s="312">
        <v>0</v>
      </c>
      <c r="EV32" s="312">
        <v>0</v>
      </c>
      <c r="EW32" s="622">
        <f t="shared" si="49"/>
        <v>0</v>
      </c>
      <c r="EX32" s="312">
        <v>0</v>
      </c>
      <c r="EY32" s="312">
        <v>0</v>
      </c>
      <c r="EZ32" s="622">
        <f t="shared" si="50"/>
        <v>0</v>
      </c>
      <c r="FA32" s="312">
        <v>0</v>
      </c>
      <c r="FB32" s="312">
        <v>0</v>
      </c>
      <c r="FC32" s="622">
        <f t="shared" si="51"/>
        <v>0</v>
      </c>
      <c r="FD32" s="312">
        <v>0</v>
      </c>
      <c r="FE32" s="312">
        <v>0</v>
      </c>
      <c r="FF32" s="622">
        <f t="shared" si="52"/>
        <v>0</v>
      </c>
      <c r="FG32" s="312">
        <v>0</v>
      </c>
      <c r="FH32" s="312">
        <v>0</v>
      </c>
      <c r="FI32" s="622">
        <f t="shared" si="53"/>
        <v>0</v>
      </c>
      <c r="FJ32" s="312">
        <v>0</v>
      </c>
      <c r="FK32" s="312">
        <v>0</v>
      </c>
      <c r="FL32" s="622">
        <f t="shared" si="54"/>
        <v>0</v>
      </c>
      <c r="FM32" s="312">
        <v>0</v>
      </c>
      <c r="FN32" s="312">
        <v>0</v>
      </c>
      <c r="FO32" s="622">
        <f t="shared" si="55"/>
        <v>0</v>
      </c>
      <c r="FP32" s="312">
        <v>0</v>
      </c>
      <c r="FQ32" s="312">
        <v>0</v>
      </c>
      <c r="FR32" s="622">
        <f t="shared" si="56"/>
        <v>0</v>
      </c>
      <c r="FS32" s="312">
        <v>0</v>
      </c>
      <c r="FT32" s="312">
        <v>0</v>
      </c>
      <c r="FU32" s="622">
        <f t="shared" si="57"/>
        <v>0</v>
      </c>
      <c r="FV32" s="312">
        <v>0</v>
      </c>
      <c r="FW32" s="312">
        <v>0</v>
      </c>
      <c r="FX32" s="622">
        <f t="shared" si="58"/>
        <v>0</v>
      </c>
      <c r="FY32" s="312">
        <v>0</v>
      </c>
      <c r="FZ32" s="312">
        <v>0</v>
      </c>
      <c r="GA32" s="622">
        <f t="shared" si="59"/>
        <v>0</v>
      </c>
      <c r="GB32" s="312">
        <v>0</v>
      </c>
      <c r="GC32" s="312">
        <v>0</v>
      </c>
      <c r="GD32" s="622">
        <f t="shared" si="60"/>
        <v>0</v>
      </c>
      <c r="GE32" s="312">
        <v>0</v>
      </c>
      <c r="GF32" s="312">
        <v>0</v>
      </c>
      <c r="GG32" s="622">
        <f t="shared" si="61"/>
        <v>0</v>
      </c>
      <c r="GH32" s="312">
        <v>1</v>
      </c>
      <c r="GI32" s="312">
        <v>0</v>
      </c>
      <c r="GJ32" s="622">
        <f t="shared" si="62"/>
        <v>1</v>
      </c>
      <c r="GK32" s="312">
        <v>17</v>
      </c>
      <c r="GL32" s="312">
        <v>19</v>
      </c>
      <c r="GM32" s="622">
        <f t="shared" si="63"/>
        <v>36</v>
      </c>
      <c r="GN32" s="312">
        <v>46</v>
      </c>
      <c r="GO32" s="312">
        <v>157</v>
      </c>
      <c r="GP32" s="622">
        <f t="shared" si="64"/>
        <v>203</v>
      </c>
      <c r="GQ32" s="312">
        <v>5</v>
      </c>
      <c r="GR32" s="312">
        <v>0</v>
      </c>
      <c r="GS32" s="622">
        <f t="shared" si="65"/>
        <v>5</v>
      </c>
      <c r="GT32" s="312">
        <v>11</v>
      </c>
      <c r="GU32" s="312">
        <v>3</v>
      </c>
      <c r="GV32" s="622">
        <f t="shared" si="66"/>
        <v>14</v>
      </c>
      <c r="GW32" s="312">
        <v>1</v>
      </c>
      <c r="GX32" s="312">
        <v>2</v>
      </c>
      <c r="GY32" s="622">
        <f t="shared" si="67"/>
        <v>3</v>
      </c>
      <c r="GZ32" s="312">
        <v>0</v>
      </c>
      <c r="HA32" s="312">
        <v>1</v>
      </c>
      <c r="HB32" s="622">
        <f t="shared" si="68"/>
        <v>1</v>
      </c>
      <c r="HC32" s="312">
        <v>1</v>
      </c>
      <c r="HD32" s="312">
        <v>1</v>
      </c>
      <c r="HE32" s="622">
        <f t="shared" si="69"/>
        <v>2</v>
      </c>
      <c r="HF32" s="312">
        <v>3</v>
      </c>
      <c r="HG32" s="312">
        <v>3</v>
      </c>
      <c r="HH32" s="622">
        <f t="shared" si="70"/>
        <v>6</v>
      </c>
      <c r="HI32" s="312">
        <v>45</v>
      </c>
      <c r="HJ32" s="312">
        <v>94</v>
      </c>
      <c r="HK32" s="622">
        <f t="shared" si="71"/>
        <v>139</v>
      </c>
      <c r="HL32" s="312">
        <v>0</v>
      </c>
      <c r="HM32" s="312">
        <v>22</v>
      </c>
      <c r="HN32" s="622">
        <f t="shared" si="72"/>
        <v>22</v>
      </c>
      <c r="HO32" s="312">
        <v>8</v>
      </c>
      <c r="HP32" s="312">
        <v>36</v>
      </c>
      <c r="HQ32" s="622">
        <f t="shared" si="73"/>
        <v>44</v>
      </c>
      <c r="HR32" s="312">
        <v>2</v>
      </c>
      <c r="HS32" s="312">
        <v>8</v>
      </c>
      <c r="HT32" s="622">
        <f t="shared" si="74"/>
        <v>10</v>
      </c>
      <c r="HU32" s="312">
        <v>0</v>
      </c>
      <c r="HV32" s="312">
        <v>2</v>
      </c>
      <c r="HW32" s="622">
        <f t="shared" si="75"/>
        <v>2</v>
      </c>
      <c r="HX32" s="312">
        <v>0</v>
      </c>
      <c r="HY32" s="312">
        <v>0</v>
      </c>
      <c r="HZ32" s="622">
        <f t="shared" si="76"/>
        <v>0</v>
      </c>
      <c r="IA32" s="312">
        <v>0</v>
      </c>
      <c r="IB32" s="312">
        <v>0</v>
      </c>
      <c r="IC32" s="622">
        <f t="shared" si="77"/>
        <v>0</v>
      </c>
      <c r="ID32" s="312">
        <v>5</v>
      </c>
      <c r="IE32" s="312">
        <v>0</v>
      </c>
      <c r="IF32" s="622">
        <f t="shared" si="78"/>
        <v>5</v>
      </c>
      <c r="IG32" s="312">
        <v>1</v>
      </c>
      <c r="IH32" s="312">
        <v>0</v>
      </c>
      <c r="II32" s="622">
        <f t="shared" si="79"/>
        <v>1</v>
      </c>
      <c r="IJ32" s="312">
        <v>62</v>
      </c>
      <c r="IK32" s="312">
        <v>0</v>
      </c>
      <c r="IL32" s="622">
        <f t="shared" si="80"/>
        <v>62</v>
      </c>
      <c r="IM32" s="312">
        <v>0</v>
      </c>
      <c r="IN32" s="312">
        <v>0</v>
      </c>
      <c r="IO32" s="622">
        <f t="shared" si="81"/>
        <v>0</v>
      </c>
      <c r="IP32" s="312">
        <v>0</v>
      </c>
      <c r="IQ32" s="312">
        <v>0</v>
      </c>
      <c r="IR32" s="622">
        <f t="shared" si="82"/>
        <v>0</v>
      </c>
      <c r="IS32" s="312">
        <v>66</v>
      </c>
      <c r="IT32" s="312">
        <v>16</v>
      </c>
      <c r="IU32" s="622">
        <f t="shared" si="83"/>
        <v>82</v>
      </c>
      <c r="IV32" s="312">
        <v>0</v>
      </c>
      <c r="IW32" s="312">
        <v>0</v>
      </c>
      <c r="IX32" s="622">
        <f t="shared" si="84"/>
        <v>0</v>
      </c>
      <c r="IY32" s="312">
        <v>0</v>
      </c>
      <c r="IZ32" s="312">
        <v>0</v>
      </c>
      <c r="JA32" s="622">
        <f t="shared" si="85"/>
        <v>0</v>
      </c>
      <c r="JB32" s="312">
        <v>0</v>
      </c>
      <c r="JC32" s="312">
        <v>2</v>
      </c>
      <c r="JD32" s="622">
        <f t="shared" si="86"/>
        <v>2</v>
      </c>
      <c r="JE32" s="312">
        <v>2369</v>
      </c>
      <c r="JF32" s="312">
        <v>631</v>
      </c>
      <c r="JG32" s="622">
        <f t="shared" si="87"/>
        <v>3000</v>
      </c>
      <c r="JH32" s="312">
        <v>0</v>
      </c>
      <c r="JI32" s="312">
        <v>0</v>
      </c>
      <c r="JJ32" s="622">
        <f t="shared" si="88"/>
        <v>0</v>
      </c>
      <c r="JK32" s="312">
        <v>0</v>
      </c>
      <c r="JL32" s="312">
        <v>0</v>
      </c>
      <c r="JM32" s="622">
        <f t="shared" si="89"/>
        <v>0</v>
      </c>
      <c r="JN32" s="312">
        <v>0</v>
      </c>
      <c r="JO32" s="312">
        <v>0</v>
      </c>
      <c r="JP32" s="622">
        <f t="shared" si="90"/>
        <v>0</v>
      </c>
      <c r="JQ32" s="312">
        <v>0</v>
      </c>
      <c r="JR32" s="312">
        <v>0</v>
      </c>
      <c r="JS32" s="622">
        <f t="shared" si="91"/>
        <v>0</v>
      </c>
      <c r="JT32" s="312">
        <v>0</v>
      </c>
      <c r="JU32" s="312">
        <v>0</v>
      </c>
      <c r="JV32" s="622">
        <f t="shared" si="92"/>
        <v>0</v>
      </c>
      <c r="JW32" s="312">
        <v>0</v>
      </c>
      <c r="JX32" s="312">
        <v>0</v>
      </c>
      <c r="JY32" s="622">
        <f t="shared" si="93"/>
        <v>0</v>
      </c>
      <c r="JZ32" s="312">
        <v>0</v>
      </c>
      <c r="KA32" s="312">
        <v>0</v>
      </c>
      <c r="KB32" s="622">
        <f t="shared" si="94"/>
        <v>0</v>
      </c>
      <c r="KC32" s="312">
        <v>0</v>
      </c>
      <c r="KD32" s="312">
        <v>0</v>
      </c>
      <c r="KE32" s="622">
        <f t="shared" si="95"/>
        <v>0</v>
      </c>
      <c r="KF32" s="312">
        <v>0</v>
      </c>
      <c r="KG32" s="312">
        <v>0</v>
      </c>
      <c r="KH32" s="622">
        <f t="shared" si="96"/>
        <v>0</v>
      </c>
      <c r="KI32" s="312">
        <v>0</v>
      </c>
      <c r="KJ32" s="312">
        <v>0</v>
      </c>
      <c r="KK32" s="622">
        <f t="shared" si="97"/>
        <v>0</v>
      </c>
      <c r="KL32" s="622">
        <v>0</v>
      </c>
      <c r="KM32" s="622">
        <v>0</v>
      </c>
      <c r="KN32" s="622">
        <f t="shared" si="98"/>
        <v>0</v>
      </c>
      <c r="KO32" s="622">
        <v>0</v>
      </c>
      <c r="KP32" s="622">
        <v>0</v>
      </c>
      <c r="KQ32" s="622">
        <f t="shared" si="99"/>
        <v>0</v>
      </c>
      <c r="KR32" s="622">
        <v>0</v>
      </c>
      <c r="KS32" s="622">
        <v>0</v>
      </c>
      <c r="KT32" s="622">
        <f t="shared" si="100"/>
        <v>0</v>
      </c>
      <c r="KU32" s="622">
        <v>0</v>
      </c>
      <c r="KV32" s="622">
        <v>0</v>
      </c>
      <c r="KW32" s="622">
        <f t="shared" si="101"/>
        <v>0</v>
      </c>
      <c r="KX32" s="622">
        <v>0</v>
      </c>
      <c r="KY32" s="622">
        <v>0</v>
      </c>
      <c r="KZ32" s="622">
        <f t="shared" si="102"/>
        <v>0</v>
      </c>
      <c r="LA32" s="622">
        <v>0</v>
      </c>
      <c r="LB32" s="622">
        <v>0</v>
      </c>
      <c r="LC32" s="622">
        <f t="shared" si="103"/>
        <v>0</v>
      </c>
      <c r="LD32" s="622">
        <v>0</v>
      </c>
      <c r="LE32" s="622">
        <v>0</v>
      </c>
      <c r="LF32" s="622">
        <f t="shared" si="104"/>
        <v>0</v>
      </c>
      <c r="LG32" s="622">
        <v>0</v>
      </c>
      <c r="LH32" s="622">
        <v>0</v>
      </c>
      <c r="LI32" s="622">
        <f t="shared" si="105"/>
        <v>0</v>
      </c>
      <c r="LJ32" s="312">
        <v>0</v>
      </c>
      <c r="LK32" s="312">
        <v>0</v>
      </c>
      <c r="LL32" s="689">
        <f t="shared" si="106"/>
        <v>0</v>
      </c>
    </row>
    <row r="33" spans="1:324" ht="15" thickBot="1" x14ac:dyDescent="0.4">
      <c r="A33" s="690">
        <v>4</v>
      </c>
      <c r="B33" s="379" t="s">
        <v>281</v>
      </c>
      <c r="C33" s="434" t="s">
        <v>76</v>
      </c>
      <c r="D33" s="318">
        <v>5267</v>
      </c>
      <c r="E33" s="318">
        <v>5035</v>
      </c>
      <c r="F33" s="691">
        <f t="shared" si="0"/>
        <v>10302</v>
      </c>
      <c r="G33" s="318">
        <v>4</v>
      </c>
      <c r="H33" s="318">
        <v>7823</v>
      </c>
      <c r="I33" s="691">
        <f t="shared" si="1"/>
        <v>7827</v>
      </c>
      <c r="J33" s="318">
        <v>5628</v>
      </c>
      <c r="K33" s="318">
        <v>4952</v>
      </c>
      <c r="L33" s="691">
        <f t="shared" si="2"/>
        <v>10580</v>
      </c>
      <c r="M33" s="318">
        <v>69</v>
      </c>
      <c r="N33" s="318">
        <v>27</v>
      </c>
      <c r="O33" s="691">
        <f t="shared" si="3"/>
        <v>96</v>
      </c>
      <c r="P33" s="318">
        <v>213</v>
      </c>
      <c r="Q33" s="318">
        <v>156</v>
      </c>
      <c r="R33" s="691">
        <f t="shared" si="4"/>
        <v>369</v>
      </c>
      <c r="S33" s="318">
        <v>64</v>
      </c>
      <c r="T33" s="318">
        <v>9</v>
      </c>
      <c r="U33" s="691">
        <f t="shared" si="5"/>
        <v>73</v>
      </c>
      <c r="V33" s="318">
        <v>58</v>
      </c>
      <c r="W33" s="318">
        <v>4</v>
      </c>
      <c r="X33" s="691">
        <f t="shared" si="6"/>
        <v>62</v>
      </c>
      <c r="Y33" s="318">
        <v>56</v>
      </c>
      <c r="Z33" s="318">
        <v>15</v>
      </c>
      <c r="AA33" s="691">
        <f t="shared" si="7"/>
        <v>71</v>
      </c>
      <c r="AB33" s="318">
        <v>54</v>
      </c>
      <c r="AC33" s="318">
        <v>25</v>
      </c>
      <c r="AD33" s="691">
        <f t="shared" si="8"/>
        <v>79</v>
      </c>
      <c r="AE33" s="318">
        <v>0</v>
      </c>
      <c r="AF33" s="318">
        <v>0</v>
      </c>
      <c r="AG33" s="691">
        <f t="shared" si="9"/>
        <v>0</v>
      </c>
      <c r="AH33" s="318">
        <v>0</v>
      </c>
      <c r="AI33" s="318">
        <v>0</v>
      </c>
      <c r="AJ33" s="691">
        <f t="shared" si="10"/>
        <v>0</v>
      </c>
      <c r="AK33" s="318">
        <v>62</v>
      </c>
      <c r="AL33" s="318">
        <v>9</v>
      </c>
      <c r="AM33" s="691">
        <f t="shared" si="11"/>
        <v>71</v>
      </c>
      <c r="AN33" s="318">
        <v>2</v>
      </c>
      <c r="AO33" s="318">
        <v>1</v>
      </c>
      <c r="AP33" s="691">
        <f t="shared" si="12"/>
        <v>3</v>
      </c>
      <c r="AQ33" s="318">
        <v>21</v>
      </c>
      <c r="AR33" s="318">
        <v>1</v>
      </c>
      <c r="AS33" s="691">
        <f t="shared" si="13"/>
        <v>22</v>
      </c>
      <c r="AT33" s="318">
        <v>7351</v>
      </c>
      <c r="AU33" s="318">
        <v>3542</v>
      </c>
      <c r="AV33" s="691">
        <f t="shared" si="14"/>
        <v>10893</v>
      </c>
      <c r="AW33" s="318">
        <v>54</v>
      </c>
      <c r="AX33" s="318">
        <v>25</v>
      </c>
      <c r="AY33" s="691">
        <f t="shared" si="15"/>
        <v>79</v>
      </c>
      <c r="AZ33" s="318">
        <v>8</v>
      </c>
      <c r="BA33" s="318">
        <v>5</v>
      </c>
      <c r="BB33" s="691">
        <f t="shared" si="16"/>
        <v>13</v>
      </c>
      <c r="BC33" s="318">
        <v>42</v>
      </c>
      <c r="BD33" s="318">
        <v>22</v>
      </c>
      <c r="BE33" s="691">
        <f t="shared" si="17"/>
        <v>64</v>
      </c>
      <c r="BF33" s="318">
        <v>673</v>
      </c>
      <c r="BG33" s="318">
        <v>43</v>
      </c>
      <c r="BH33" s="691">
        <f t="shared" si="18"/>
        <v>716</v>
      </c>
      <c r="BI33" s="318">
        <v>27</v>
      </c>
      <c r="BJ33" s="318">
        <v>6</v>
      </c>
      <c r="BK33" s="691">
        <f t="shared" si="19"/>
        <v>33</v>
      </c>
      <c r="BL33" s="318">
        <v>1</v>
      </c>
      <c r="BM33" s="318">
        <v>0</v>
      </c>
      <c r="BN33" s="691">
        <f t="shared" si="20"/>
        <v>1</v>
      </c>
      <c r="BO33" s="318">
        <v>0</v>
      </c>
      <c r="BP33" s="318">
        <v>0</v>
      </c>
      <c r="BQ33" s="691">
        <f t="shared" si="21"/>
        <v>0</v>
      </c>
      <c r="BR33" s="318">
        <v>0</v>
      </c>
      <c r="BS33" s="318">
        <v>1</v>
      </c>
      <c r="BT33" s="691">
        <f t="shared" si="22"/>
        <v>1</v>
      </c>
      <c r="BU33" s="318">
        <v>0</v>
      </c>
      <c r="BV33" s="318">
        <v>0</v>
      </c>
      <c r="BW33" s="691">
        <f t="shared" si="23"/>
        <v>0</v>
      </c>
      <c r="BX33" s="318">
        <v>2</v>
      </c>
      <c r="BY33" s="318">
        <v>0</v>
      </c>
      <c r="BZ33" s="691">
        <f t="shared" si="24"/>
        <v>2</v>
      </c>
      <c r="CA33" s="318">
        <v>4</v>
      </c>
      <c r="CB33" s="318">
        <v>0</v>
      </c>
      <c r="CC33" s="691">
        <f t="shared" si="25"/>
        <v>4</v>
      </c>
      <c r="CD33" s="318">
        <v>1</v>
      </c>
      <c r="CE33" s="318">
        <v>0</v>
      </c>
      <c r="CF33" s="691">
        <f t="shared" si="26"/>
        <v>1</v>
      </c>
      <c r="CG33" s="318">
        <v>0</v>
      </c>
      <c r="CH33" s="318">
        <v>0</v>
      </c>
      <c r="CI33" s="691">
        <f t="shared" si="27"/>
        <v>0</v>
      </c>
      <c r="CJ33" s="318">
        <v>0</v>
      </c>
      <c r="CK33" s="318">
        <v>0</v>
      </c>
      <c r="CL33" s="691">
        <f t="shared" si="28"/>
        <v>0</v>
      </c>
      <c r="CM33" s="318">
        <v>2</v>
      </c>
      <c r="CN33" s="318">
        <v>1</v>
      </c>
      <c r="CO33" s="691">
        <f t="shared" si="29"/>
        <v>3</v>
      </c>
      <c r="CP33" s="318">
        <v>0</v>
      </c>
      <c r="CQ33" s="318">
        <v>0</v>
      </c>
      <c r="CR33" s="691">
        <f t="shared" si="30"/>
        <v>0</v>
      </c>
      <c r="CS33" s="318">
        <v>0</v>
      </c>
      <c r="CT33" s="318">
        <v>1</v>
      </c>
      <c r="CU33" s="691">
        <f t="shared" si="31"/>
        <v>1</v>
      </c>
      <c r="CV33" s="318">
        <v>0</v>
      </c>
      <c r="CW33" s="318">
        <v>1</v>
      </c>
      <c r="CX33" s="691">
        <f t="shared" si="32"/>
        <v>1</v>
      </c>
      <c r="CY33" s="318">
        <v>0</v>
      </c>
      <c r="CZ33" s="318">
        <v>2</v>
      </c>
      <c r="DA33" s="691">
        <f t="shared" si="33"/>
        <v>2</v>
      </c>
      <c r="DB33" s="318">
        <v>9</v>
      </c>
      <c r="DC33" s="318">
        <v>0</v>
      </c>
      <c r="DD33" s="691">
        <f t="shared" si="34"/>
        <v>9</v>
      </c>
      <c r="DE33" s="318">
        <v>8</v>
      </c>
      <c r="DF33" s="318">
        <v>1</v>
      </c>
      <c r="DG33" s="691">
        <f t="shared" si="35"/>
        <v>9</v>
      </c>
      <c r="DH33" s="318">
        <v>0</v>
      </c>
      <c r="DI33" s="318">
        <v>0</v>
      </c>
      <c r="DJ33" s="691">
        <f t="shared" si="36"/>
        <v>0</v>
      </c>
      <c r="DK33" s="318">
        <v>0</v>
      </c>
      <c r="DL33" s="318">
        <v>0</v>
      </c>
      <c r="DM33" s="691">
        <f t="shared" si="37"/>
        <v>0</v>
      </c>
      <c r="DN33" s="318">
        <v>0</v>
      </c>
      <c r="DO33" s="318">
        <v>0</v>
      </c>
      <c r="DP33" s="691">
        <f t="shared" si="38"/>
        <v>0</v>
      </c>
      <c r="DQ33" s="318">
        <v>0</v>
      </c>
      <c r="DR33" s="318">
        <v>0</v>
      </c>
      <c r="DS33" s="691">
        <f t="shared" si="39"/>
        <v>0</v>
      </c>
      <c r="DT33" s="318">
        <v>0</v>
      </c>
      <c r="DU33" s="318">
        <v>0</v>
      </c>
      <c r="DV33" s="691">
        <f t="shared" si="40"/>
        <v>0</v>
      </c>
      <c r="DW33" s="318">
        <v>17</v>
      </c>
      <c r="DX33" s="318">
        <v>6</v>
      </c>
      <c r="DY33" s="691">
        <f t="shared" si="41"/>
        <v>23</v>
      </c>
      <c r="DZ33" s="318">
        <v>0</v>
      </c>
      <c r="EA33" s="318">
        <v>0</v>
      </c>
      <c r="EB33" s="691">
        <f t="shared" si="42"/>
        <v>0</v>
      </c>
      <c r="EC33" s="318">
        <v>22</v>
      </c>
      <c r="ED33" s="318">
        <v>0</v>
      </c>
      <c r="EE33" s="691">
        <f t="shared" si="43"/>
        <v>22</v>
      </c>
      <c r="EF33" s="318">
        <v>2</v>
      </c>
      <c r="EG33" s="318">
        <v>1</v>
      </c>
      <c r="EH33" s="691">
        <f t="shared" si="44"/>
        <v>3</v>
      </c>
      <c r="EI33" s="318">
        <v>0</v>
      </c>
      <c r="EJ33" s="318">
        <v>1</v>
      </c>
      <c r="EK33" s="691">
        <f t="shared" si="45"/>
        <v>1</v>
      </c>
      <c r="EL33" s="318">
        <v>0</v>
      </c>
      <c r="EM33" s="318">
        <v>0</v>
      </c>
      <c r="EN33" s="691">
        <f t="shared" si="46"/>
        <v>0</v>
      </c>
      <c r="EO33" s="318">
        <v>0</v>
      </c>
      <c r="EP33" s="318">
        <v>0</v>
      </c>
      <c r="EQ33" s="691">
        <f t="shared" si="47"/>
        <v>0</v>
      </c>
      <c r="ER33" s="318">
        <v>0</v>
      </c>
      <c r="ES33" s="318">
        <v>0</v>
      </c>
      <c r="ET33" s="691">
        <f t="shared" si="48"/>
        <v>0</v>
      </c>
      <c r="EU33" s="318">
        <v>0</v>
      </c>
      <c r="EV33" s="318">
        <v>0</v>
      </c>
      <c r="EW33" s="691">
        <f t="shared" si="49"/>
        <v>0</v>
      </c>
      <c r="EX33" s="318">
        <v>0</v>
      </c>
      <c r="EY33" s="318">
        <v>0</v>
      </c>
      <c r="EZ33" s="691">
        <f t="shared" si="50"/>
        <v>0</v>
      </c>
      <c r="FA33" s="318">
        <v>0</v>
      </c>
      <c r="FB33" s="318">
        <v>0</v>
      </c>
      <c r="FC33" s="691">
        <f t="shared" si="51"/>
        <v>0</v>
      </c>
      <c r="FD33" s="318">
        <v>0</v>
      </c>
      <c r="FE33" s="318">
        <v>0</v>
      </c>
      <c r="FF33" s="691">
        <f t="shared" si="52"/>
        <v>0</v>
      </c>
      <c r="FG33" s="318">
        <v>0</v>
      </c>
      <c r="FH33" s="318">
        <v>0</v>
      </c>
      <c r="FI33" s="691">
        <f t="shared" si="53"/>
        <v>0</v>
      </c>
      <c r="FJ33" s="318">
        <v>0</v>
      </c>
      <c r="FK33" s="318">
        <v>0</v>
      </c>
      <c r="FL33" s="691">
        <f t="shared" si="54"/>
        <v>0</v>
      </c>
      <c r="FM33" s="318">
        <v>0</v>
      </c>
      <c r="FN33" s="318">
        <v>0</v>
      </c>
      <c r="FO33" s="691">
        <f t="shared" si="55"/>
        <v>0</v>
      </c>
      <c r="FP33" s="318">
        <v>0</v>
      </c>
      <c r="FQ33" s="318">
        <v>0</v>
      </c>
      <c r="FR33" s="691">
        <f t="shared" si="56"/>
        <v>0</v>
      </c>
      <c r="FS33" s="318">
        <v>0</v>
      </c>
      <c r="FT33" s="318">
        <v>0</v>
      </c>
      <c r="FU33" s="691">
        <f t="shared" si="57"/>
        <v>0</v>
      </c>
      <c r="FV33" s="318">
        <v>0</v>
      </c>
      <c r="FW33" s="318">
        <v>0</v>
      </c>
      <c r="FX33" s="691">
        <f t="shared" si="58"/>
        <v>0</v>
      </c>
      <c r="FY33" s="318">
        <v>0</v>
      </c>
      <c r="FZ33" s="318">
        <v>0</v>
      </c>
      <c r="GA33" s="691">
        <f t="shared" si="59"/>
        <v>0</v>
      </c>
      <c r="GB33" s="318">
        <v>0</v>
      </c>
      <c r="GC33" s="318">
        <v>0</v>
      </c>
      <c r="GD33" s="691">
        <f t="shared" si="60"/>
        <v>0</v>
      </c>
      <c r="GE33" s="318">
        <v>0</v>
      </c>
      <c r="GF33" s="318">
        <v>0</v>
      </c>
      <c r="GG33" s="691">
        <f t="shared" si="61"/>
        <v>0</v>
      </c>
      <c r="GH33" s="318">
        <v>0</v>
      </c>
      <c r="GI33" s="318">
        <v>0</v>
      </c>
      <c r="GJ33" s="691">
        <f t="shared" si="62"/>
        <v>0</v>
      </c>
      <c r="GK33" s="318">
        <v>13</v>
      </c>
      <c r="GL33" s="318">
        <v>8</v>
      </c>
      <c r="GM33" s="691">
        <f t="shared" si="63"/>
        <v>21</v>
      </c>
      <c r="GN33" s="318">
        <v>71</v>
      </c>
      <c r="GO33" s="318">
        <v>163</v>
      </c>
      <c r="GP33" s="691">
        <f t="shared" si="64"/>
        <v>234</v>
      </c>
      <c r="GQ33" s="318">
        <v>1</v>
      </c>
      <c r="GR33" s="318">
        <v>0</v>
      </c>
      <c r="GS33" s="691">
        <f t="shared" si="65"/>
        <v>1</v>
      </c>
      <c r="GT33" s="318">
        <v>11</v>
      </c>
      <c r="GU33" s="318">
        <v>1</v>
      </c>
      <c r="GV33" s="691">
        <f t="shared" si="66"/>
        <v>12</v>
      </c>
      <c r="GW33" s="318">
        <v>1</v>
      </c>
      <c r="GX33" s="318">
        <v>1</v>
      </c>
      <c r="GY33" s="691">
        <f t="shared" si="67"/>
        <v>2</v>
      </c>
      <c r="GZ33" s="318">
        <v>0</v>
      </c>
      <c r="HA33" s="318">
        <v>0</v>
      </c>
      <c r="HB33" s="691">
        <f t="shared" si="68"/>
        <v>0</v>
      </c>
      <c r="HC33" s="318">
        <v>2</v>
      </c>
      <c r="HD33" s="318">
        <v>0</v>
      </c>
      <c r="HE33" s="691">
        <f t="shared" si="69"/>
        <v>2</v>
      </c>
      <c r="HF33" s="318">
        <v>2</v>
      </c>
      <c r="HG33" s="318">
        <v>1</v>
      </c>
      <c r="HH33" s="691">
        <f t="shared" si="70"/>
        <v>3</v>
      </c>
      <c r="HI33" s="318">
        <v>11</v>
      </c>
      <c r="HJ33" s="318">
        <v>18</v>
      </c>
      <c r="HK33" s="691">
        <f t="shared" si="71"/>
        <v>29</v>
      </c>
      <c r="HL33" s="318">
        <v>0</v>
      </c>
      <c r="HM33" s="318">
        <v>32</v>
      </c>
      <c r="HN33" s="691">
        <f t="shared" si="72"/>
        <v>32</v>
      </c>
      <c r="HO33" s="318">
        <v>6</v>
      </c>
      <c r="HP33" s="318">
        <v>36</v>
      </c>
      <c r="HQ33" s="691">
        <f t="shared" si="73"/>
        <v>42</v>
      </c>
      <c r="HR33" s="318">
        <v>1</v>
      </c>
      <c r="HS33" s="318">
        <v>4</v>
      </c>
      <c r="HT33" s="691">
        <f t="shared" si="74"/>
        <v>5</v>
      </c>
      <c r="HU33" s="318">
        <v>0</v>
      </c>
      <c r="HV33" s="318">
        <v>0</v>
      </c>
      <c r="HW33" s="691">
        <f t="shared" si="75"/>
        <v>0</v>
      </c>
      <c r="HX33" s="318">
        <v>0</v>
      </c>
      <c r="HY33" s="318">
        <v>0</v>
      </c>
      <c r="HZ33" s="691">
        <f t="shared" si="76"/>
        <v>0</v>
      </c>
      <c r="IA33" s="318">
        <v>0</v>
      </c>
      <c r="IB33" s="318">
        <v>0</v>
      </c>
      <c r="IC33" s="691">
        <f t="shared" si="77"/>
        <v>0</v>
      </c>
      <c r="ID33" s="318">
        <v>10</v>
      </c>
      <c r="IE33" s="318">
        <v>0</v>
      </c>
      <c r="IF33" s="691">
        <f t="shared" si="78"/>
        <v>10</v>
      </c>
      <c r="IG33" s="318">
        <v>0</v>
      </c>
      <c r="IH33" s="318">
        <v>0</v>
      </c>
      <c r="II33" s="691">
        <f t="shared" si="79"/>
        <v>0</v>
      </c>
      <c r="IJ33" s="318">
        <v>97</v>
      </c>
      <c r="IK33" s="318">
        <v>0</v>
      </c>
      <c r="IL33" s="691">
        <f t="shared" si="80"/>
        <v>97</v>
      </c>
      <c r="IM33" s="318">
        <v>0</v>
      </c>
      <c r="IN33" s="318">
        <v>0</v>
      </c>
      <c r="IO33" s="691">
        <f t="shared" si="81"/>
        <v>0</v>
      </c>
      <c r="IP33" s="318">
        <v>0</v>
      </c>
      <c r="IQ33" s="318">
        <v>0</v>
      </c>
      <c r="IR33" s="691">
        <f t="shared" si="82"/>
        <v>0</v>
      </c>
      <c r="IS33" s="318">
        <v>106</v>
      </c>
      <c r="IT33" s="318">
        <v>43</v>
      </c>
      <c r="IU33" s="691">
        <f t="shared" si="83"/>
        <v>149</v>
      </c>
      <c r="IV33" s="318">
        <v>4</v>
      </c>
      <c r="IW33" s="318">
        <v>0</v>
      </c>
      <c r="IX33" s="691">
        <f t="shared" si="84"/>
        <v>4</v>
      </c>
      <c r="IY33" s="318">
        <v>0</v>
      </c>
      <c r="IZ33" s="318">
        <v>0</v>
      </c>
      <c r="JA33" s="691">
        <f t="shared" si="85"/>
        <v>0</v>
      </c>
      <c r="JB33" s="318">
        <v>0</v>
      </c>
      <c r="JC33" s="318">
        <v>5</v>
      </c>
      <c r="JD33" s="691">
        <f t="shared" si="86"/>
        <v>5</v>
      </c>
      <c r="JE33" s="318">
        <v>2827</v>
      </c>
      <c r="JF33" s="318">
        <v>718</v>
      </c>
      <c r="JG33" s="691">
        <f t="shared" si="87"/>
        <v>3545</v>
      </c>
      <c r="JH33" s="318">
        <v>1</v>
      </c>
      <c r="JI33" s="318">
        <v>1</v>
      </c>
      <c r="JJ33" s="691">
        <f t="shared" si="88"/>
        <v>2</v>
      </c>
      <c r="JK33" s="318">
        <v>0</v>
      </c>
      <c r="JL33" s="318">
        <v>0</v>
      </c>
      <c r="JM33" s="691">
        <f t="shared" si="89"/>
        <v>0</v>
      </c>
      <c r="JN33" s="318">
        <v>2</v>
      </c>
      <c r="JO33" s="318">
        <v>0</v>
      </c>
      <c r="JP33" s="691">
        <f t="shared" si="90"/>
        <v>2</v>
      </c>
      <c r="JQ33" s="318">
        <v>0</v>
      </c>
      <c r="JR33" s="318">
        <v>0</v>
      </c>
      <c r="JS33" s="691">
        <f t="shared" si="91"/>
        <v>0</v>
      </c>
      <c r="JT33" s="318">
        <v>0</v>
      </c>
      <c r="JU33" s="318">
        <v>0</v>
      </c>
      <c r="JV33" s="691">
        <f t="shared" si="92"/>
        <v>0</v>
      </c>
      <c r="JW33" s="318">
        <v>0</v>
      </c>
      <c r="JX33" s="318">
        <v>0</v>
      </c>
      <c r="JY33" s="691">
        <f t="shared" si="93"/>
        <v>0</v>
      </c>
      <c r="JZ33" s="318">
        <v>0</v>
      </c>
      <c r="KA33" s="318">
        <v>0</v>
      </c>
      <c r="KB33" s="691">
        <f t="shared" si="94"/>
        <v>0</v>
      </c>
      <c r="KC33" s="318">
        <v>0</v>
      </c>
      <c r="KD33" s="318">
        <v>0</v>
      </c>
      <c r="KE33" s="691">
        <f t="shared" si="95"/>
        <v>0</v>
      </c>
      <c r="KF33" s="318">
        <v>0</v>
      </c>
      <c r="KG33" s="318">
        <v>0</v>
      </c>
      <c r="KH33" s="691">
        <f t="shared" si="96"/>
        <v>0</v>
      </c>
      <c r="KI33" s="318">
        <v>0</v>
      </c>
      <c r="KJ33" s="318">
        <v>0</v>
      </c>
      <c r="KK33" s="691">
        <f t="shared" si="97"/>
        <v>0</v>
      </c>
      <c r="KL33" s="691">
        <v>0</v>
      </c>
      <c r="KM33" s="691">
        <v>0</v>
      </c>
      <c r="KN33" s="691">
        <f t="shared" si="98"/>
        <v>0</v>
      </c>
      <c r="KO33" s="691">
        <v>0</v>
      </c>
      <c r="KP33" s="691">
        <v>0</v>
      </c>
      <c r="KQ33" s="691">
        <f t="shared" si="99"/>
        <v>0</v>
      </c>
      <c r="KR33" s="691">
        <v>0</v>
      </c>
      <c r="KS33" s="691">
        <v>0</v>
      </c>
      <c r="KT33" s="691">
        <f t="shared" si="100"/>
        <v>0</v>
      </c>
      <c r="KU33" s="691">
        <v>0</v>
      </c>
      <c r="KV33" s="691">
        <v>0</v>
      </c>
      <c r="KW33" s="691">
        <f t="shared" si="101"/>
        <v>0</v>
      </c>
      <c r="KX33" s="691">
        <v>0</v>
      </c>
      <c r="KY33" s="691">
        <v>0</v>
      </c>
      <c r="KZ33" s="691">
        <f t="shared" si="102"/>
        <v>0</v>
      </c>
      <c r="LA33" s="691">
        <v>0</v>
      </c>
      <c r="LB33" s="691">
        <v>0</v>
      </c>
      <c r="LC33" s="691">
        <f t="shared" si="103"/>
        <v>0</v>
      </c>
      <c r="LD33" s="691">
        <v>0</v>
      </c>
      <c r="LE33" s="691">
        <v>0</v>
      </c>
      <c r="LF33" s="691">
        <f t="shared" si="104"/>
        <v>0</v>
      </c>
      <c r="LG33" s="691">
        <v>0</v>
      </c>
      <c r="LH33" s="691">
        <v>0</v>
      </c>
      <c r="LI33" s="691">
        <f t="shared" si="105"/>
        <v>0</v>
      </c>
      <c r="LJ33" s="318">
        <v>0</v>
      </c>
      <c r="LK33" s="318">
        <v>0</v>
      </c>
      <c r="LL33" s="692">
        <f t="shared" si="106"/>
        <v>0</v>
      </c>
    </row>
    <row r="34" spans="1:324" x14ac:dyDescent="0.35">
      <c r="A34" s="693">
        <v>3</v>
      </c>
      <c r="B34" s="383" t="s">
        <v>282</v>
      </c>
      <c r="C34" s="437" t="s">
        <v>79</v>
      </c>
      <c r="D34" s="324">
        <v>18389</v>
      </c>
      <c r="E34" s="324">
        <v>16482</v>
      </c>
      <c r="F34" s="694">
        <f t="shared" si="0"/>
        <v>34871</v>
      </c>
      <c r="G34" s="324">
        <v>16</v>
      </c>
      <c r="H34" s="324">
        <v>29448</v>
      </c>
      <c r="I34" s="694">
        <f t="shared" si="1"/>
        <v>29464</v>
      </c>
      <c r="J34" s="324">
        <v>20495</v>
      </c>
      <c r="K34" s="324">
        <v>17116</v>
      </c>
      <c r="L34" s="694">
        <f t="shared" si="2"/>
        <v>37611</v>
      </c>
      <c r="M34" s="324">
        <v>591</v>
      </c>
      <c r="N34" s="324">
        <v>213</v>
      </c>
      <c r="O34" s="694">
        <f t="shared" si="3"/>
        <v>804</v>
      </c>
      <c r="P34" s="324">
        <v>914</v>
      </c>
      <c r="Q34" s="324">
        <v>772</v>
      </c>
      <c r="R34" s="694">
        <f t="shared" si="4"/>
        <v>1686</v>
      </c>
      <c r="S34" s="324">
        <v>152</v>
      </c>
      <c r="T34" s="324">
        <v>13</v>
      </c>
      <c r="U34" s="694">
        <f t="shared" si="5"/>
        <v>165</v>
      </c>
      <c r="V34" s="324">
        <v>182</v>
      </c>
      <c r="W34" s="324">
        <v>15</v>
      </c>
      <c r="X34" s="694">
        <f t="shared" si="6"/>
        <v>197</v>
      </c>
      <c r="Y34" s="324">
        <v>476</v>
      </c>
      <c r="Z34" s="324">
        <v>141</v>
      </c>
      <c r="AA34" s="694">
        <f t="shared" si="7"/>
        <v>617</v>
      </c>
      <c r="AB34" s="324">
        <v>76</v>
      </c>
      <c r="AC34" s="324">
        <v>22</v>
      </c>
      <c r="AD34" s="694">
        <f t="shared" si="8"/>
        <v>98</v>
      </c>
      <c r="AE34" s="324">
        <v>5</v>
      </c>
      <c r="AF34" s="324">
        <v>1</v>
      </c>
      <c r="AG34" s="694">
        <f t="shared" si="9"/>
        <v>6</v>
      </c>
      <c r="AH34" s="324">
        <v>6</v>
      </c>
      <c r="AI34" s="324">
        <v>0</v>
      </c>
      <c r="AJ34" s="694">
        <f t="shared" si="10"/>
        <v>6</v>
      </c>
      <c r="AK34" s="324">
        <v>226</v>
      </c>
      <c r="AL34" s="324">
        <v>47</v>
      </c>
      <c r="AM34" s="694">
        <f t="shared" si="11"/>
        <v>273</v>
      </c>
      <c r="AN34" s="324">
        <v>56</v>
      </c>
      <c r="AO34" s="324">
        <v>1</v>
      </c>
      <c r="AP34" s="694">
        <f t="shared" si="12"/>
        <v>57</v>
      </c>
      <c r="AQ34" s="324">
        <v>110</v>
      </c>
      <c r="AR34" s="324">
        <v>2</v>
      </c>
      <c r="AS34" s="694">
        <f t="shared" si="13"/>
        <v>112</v>
      </c>
      <c r="AT34" s="324">
        <v>27771</v>
      </c>
      <c r="AU34" s="324">
        <v>12394</v>
      </c>
      <c r="AV34" s="694">
        <f t="shared" si="14"/>
        <v>40165</v>
      </c>
      <c r="AW34" s="324">
        <v>423</v>
      </c>
      <c r="AX34" s="324">
        <v>183</v>
      </c>
      <c r="AY34" s="694">
        <f t="shared" si="15"/>
        <v>606</v>
      </c>
      <c r="AZ34" s="324">
        <v>30</v>
      </c>
      <c r="BA34" s="324">
        <v>21</v>
      </c>
      <c r="BB34" s="694">
        <f t="shared" si="16"/>
        <v>51</v>
      </c>
      <c r="BC34" s="324">
        <v>145</v>
      </c>
      <c r="BD34" s="324">
        <v>74</v>
      </c>
      <c r="BE34" s="694">
        <f t="shared" si="17"/>
        <v>219</v>
      </c>
      <c r="BF34" s="324">
        <v>1711</v>
      </c>
      <c r="BG34" s="324">
        <v>117</v>
      </c>
      <c r="BH34" s="694">
        <f t="shared" si="18"/>
        <v>1828</v>
      </c>
      <c r="BI34" s="324">
        <v>51</v>
      </c>
      <c r="BJ34" s="324">
        <v>4</v>
      </c>
      <c r="BK34" s="694">
        <f t="shared" si="19"/>
        <v>55</v>
      </c>
      <c r="BL34" s="324">
        <v>2</v>
      </c>
      <c r="BM34" s="324">
        <v>0</v>
      </c>
      <c r="BN34" s="694">
        <f t="shared" si="20"/>
        <v>2</v>
      </c>
      <c r="BO34" s="324">
        <v>1</v>
      </c>
      <c r="BP34" s="324">
        <v>1</v>
      </c>
      <c r="BQ34" s="694">
        <f t="shared" si="21"/>
        <v>2</v>
      </c>
      <c r="BR34" s="324">
        <v>1</v>
      </c>
      <c r="BS34" s="324">
        <v>35</v>
      </c>
      <c r="BT34" s="694">
        <f t="shared" si="22"/>
        <v>36</v>
      </c>
      <c r="BU34" s="324">
        <v>2</v>
      </c>
      <c r="BV34" s="324">
        <v>0</v>
      </c>
      <c r="BW34" s="694">
        <f t="shared" si="23"/>
        <v>2</v>
      </c>
      <c r="BX34" s="324">
        <v>5</v>
      </c>
      <c r="BY34" s="324">
        <v>0</v>
      </c>
      <c r="BZ34" s="694">
        <f t="shared" si="24"/>
        <v>5</v>
      </c>
      <c r="CA34" s="324">
        <v>22</v>
      </c>
      <c r="CB34" s="324">
        <v>0</v>
      </c>
      <c r="CC34" s="694">
        <f t="shared" si="25"/>
        <v>22</v>
      </c>
      <c r="CD34" s="324">
        <v>4</v>
      </c>
      <c r="CE34" s="324">
        <v>0</v>
      </c>
      <c r="CF34" s="694">
        <f t="shared" si="26"/>
        <v>4</v>
      </c>
      <c r="CG34" s="324">
        <v>1</v>
      </c>
      <c r="CH34" s="324">
        <v>0</v>
      </c>
      <c r="CI34" s="694">
        <f t="shared" si="27"/>
        <v>1</v>
      </c>
      <c r="CJ34" s="324">
        <v>8</v>
      </c>
      <c r="CK34" s="324">
        <v>0</v>
      </c>
      <c r="CL34" s="694">
        <f t="shared" si="28"/>
        <v>8</v>
      </c>
      <c r="CM34" s="324">
        <v>15</v>
      </c>
      <c r="CN34" s="324">
        <v>16</v>
      </c>
      <c r="CO34" s="694">
        <f t="shared" si="29"/>
        <v>31</v>
      </c>
      <c r="CP34" s="324">
        <v>1</v>
      </c>
      <c r="CQ34" s="324">
        <v>0</v>
      </c>
      <c r="CR34" s="694">
        <f t="shared" si="30"/>
        <v>1</v>
      </c>
      <c r="CS34" s="324">
        <v>2</v>
      </c>
      <c r="CT34" s="324">
        <v>3</v>
      </c>
      <c r="CU34" s="694">
        <f t="shared" si="31"/>
        <v>5</v>
      </c>
      <c r="CV34" s="324">
        <v>0</v>
      </c>
      <c r="CW34" s="324">
        <v>0</v>
      </c>
      <c r="CX34" s="694">
        <f t="shared" si="32"/>
        <v>0</v>
      </c>
      <c r="CY34" s="324">
        <v>3</v>
      </c>
      <c r="CZ34" s="324">
        <v>4</v>
      </c>
      <c r="DA34" s="694">
        <f t="shared" si="33"/>
        <v>7</v>
      </c>
      <c r="DB34" s="324">
        <v>40</v>
      </c>
      <c r="DC34" s="324">
        <v>0</v>
      </c>
      <c r="DD34" s="694">
        <f t="shared" si="34"/>
        <v>40</v>
      </c>
      <c r="DE34" s="324">
        <v>35</v>
      </c>
      <c r="DF34" s="324">
        <v>7</v>
      </c>
      <c r="DG34" s="694">
        <f t="shared" si="35"/>
        <v>42</v>
      </c>
      <c r="DH34" s="324">
        <v>0</v>
      </c>
      <c r="DI34" s="324">
        <v>0</v>
      </c>
      <c r="DJ34" s="694">
        <f t="shared" si="36"/>
        <v>0</v>
      </c>
      <c r="DK34" s="324">
        <v>1</v>
      </c>
      <c r="DL34" s="324">
        <v>0</v>
      </c>
      <c r="DM34" s="694">
        <f t="shared" si="37"/>
        <v>1</v>
      </c>
      <c r="DN34" s="324">
        <v>1</v>
      </c>
      <c r="DO34" s="324">
        <v>0</v>
      </c>
      <c r="DP34" s="694">
        <f t="shared" si="38"/>
        <v>1</v>
      </c>
      <c r="DQ34" s="324">
        <v>1</v>
      </c>
      <c r="DR34" s="324">
        <v>1</v>
      </c>
      <c r="DS34" s="694">
        <f t="shared" si="39"/>
        <v>2</v>
      </c>
      <c r="DT34" s="324">
        <v>2</v>
      </c>
      <c r="DU34" s="324">
        <v>0</v>
      </c>
      <c r="DV34" s="694">
        <f t="shared" si="40"/>
        <v>2</v>
      </c>
      <c r="DW34" s="324">
        <v>61</v>
      </c>
      <c r="DX34" s="324">
        <v>20</v>
      </c>
      <c r="DY34" s="694">
        <f t="shared" si="41"/>
        <v>81</v>
      </c>
      <c r="DZ34" s="324">
        <v>1</v>
      </c>
      <c r="EA34" s="324">
        <v>1</v>
      </c>
      <c r="EB34" s="694">
        <f t="shared" si="42"/>
        <v>2</v>
      </c>
      <c r="EC34" s="324">
        <v>36</v>
      </c>
      <c r="ED34" s="324">
        <v>5</v>
      </c>
      <c r="EE34" s="694">
        <f t="shared" si="43"/>
        <v>41</v>
      </c>
      <c r="EF34" s="324">
        <v>13</v>
      </c>
      <c r="EG34" s="324">
        <v>5</v>
      </c>
      <c r="EH34" s="694">
        <f t="shared" si="44"/>
        <v>18</v>
      </c>
      <c r="EI34" s="324">
        <v>3</v>
      </c>
      <c r="EJ34" s="324">
        <v>0</v>
      </c>
      <c r="EK34" s="694">
        <f t="shared" si="45"/>
        <v>3</v>
      </c>
      <c r="EL34" s="324">
        <v>0</v>
      </c>
      <c r="EM34" s="324">
        <v>0</v>
      </c>
      <c r="EN34" s="694">
        <f t="shared" si="46"/>
        <v>0</v>
      </c>
      <c r="EO34" s="324">
        <v>0</v>
      </c>
      <c r="EP34" s="324">
        <v>0</v>
      </c>
      <c r="EQ34" s="694">
        <f t="shared" si="47"/>
        <v>0</v>
      </c>
      <c r="ER34" s="324">
        <v>1</v>
      </c>
      <c r="ES34" s="324">
        <v>0</v>
      </c>
      <c r="ET34" s="694">
        <f t="shared" si="48"/>
        <v>1</v>
      </c>
      <c r="EU34" s="324">
        <v>0</v>
      </c>
      <c r="EV34" s="324">
        <v>0</v>
      </c>
      <c r="EW34" s="694">
        <f t="shared" si="49"/>
        <v>0</v>
      </c>
      <c r="EX34" s="324">
        <v>0</v>
      </c>
      <c r="EY34" s="324">
        <v>0</v>
      </c>
      <c r="EZ34" s="694">
        <f t="shared" si="50"/>
        <v>0</v>
      </c>
      <c r="FA34" s="324">
        <v>0</v>
      </c>
      <c r="FB34" s="324">
        <v>0</v>
      </c>
      <c r="FC34" s="694">
        <f t="shared" si="51"/>
        <v>0</v>
      </c>
      <c r="FD34" s="324">
        <v>0</v>
      </c>
      <c r="FE34" s="324">
        <v>0</v>
      </c>
      <c r="FF34" s="694">
        <f t="shared" si="52"/>
        <v>0</v>
      </c>
      <c r="FG34" s="324">
        <v>0</v>
      </c>
      <c r="FH34" s="324">
        <v>0</v>
      </c>
      <c r="FI34" s="694">
        <f t="shared" si="53"/>
        <v>0</v>
      </c>
      <c r="FJ34" s="324">
        <v>0</v>
      </c>
      <c r="FK34" s="324">
        <v>0</v>
      </c>
      <c r="FL34" s="694">
        <f t="shared" si="54"/>
        <v>0</v>
      </c>
      <c r="FM34" s="324">
        <v>0</v>
      </c>
      <c r="FN34" s="324">
        <v>0</v>
      </c>
      <c r="FO34" s="694">
        <f t="shared" si="55"/>
        <v>0</v>
      </c>
      <c r="FP34" s="324">
        <v>0</v>
      </c>
      <c r="FQ34" s="324">
        <v>0</v>
      </c>
      <c r="FR34" s="694">
        <f t="shared" si="56"/>
        <v>0</v>
      </c>
      <c r="FS34" s="324">
        <v>0</v>
      </c>
      <c r="FT34" s="324">
        <v>0</v>
      </c>
      <c r="FU34" s="694">
        <f t="shared" si="57"/>
        <v>0</v>
      </c>
      <c r="FV34" s="324">
        <v>0</v>
      </c>
      <c r="FW34" s="324">
        <v>0</v>
      </c>
      <c r="FX34" s="694">
        <f t="shared" si="58"/>
        <v>0</v>
      </c>
      <c r="FY34" s="324">
        <v>0</v>
      </c>
      <c r="FZ34" s="324">
        <v>0</v>
      </c>
      <c r="GA34" s="694">
        <f t="shared" si="59"/>
        <v>0</v>
      </c>
      <c r="GB34" s="324">
        <v>0</v>
      </c>
      <c r="GC34" s="324">
        <v>0</v>
      </c>
      <c r="GD34" s="694">
        <f t="shared" si="60"/>
        <v>0</v>
      </c>
      <c r="GE34" s="324">
        <v>0</v>
      </c>
      <c r="GF34" s="324">
        <v>0</v>
      </c>
      <c r="GG34" s="694">
        <f t="shared" si="61"/>
        <v>0</v>
      </c>
      <c r="GH34" s="324">
        <v>2</v>
      </c>
      <c r="GI34" s="324">
        <v>1</v>
      </c>
      <c r="GJ34" s="694">
        <f t="shared" si="62"/>
        <v>3</v>
      </c>
      <c r="GK34" s="324">
        <v>60</v>
      </c>
      <c r="GL34" s="324">
        <v>51</v>
      </c>
      <c r="GM34" s="694">
        <f t="shared" si="63"/>
        <v>111</v>
      </c>
      <c r="GN34" s="324">
        <v>387</v>
      </c>
      <c r="GO34" s="324">
        <v>1125</v>
      </c>
      <c r="GP34" s="694">
        <f t="shared" si="64"/>
        <v>1512</v>
      </c>
      <c r="GQ34" s="324">
        <v>7</v>
      </c>
      <c r="GR34" s="324">
        <v>0</v>
      </c>
      <c r="GS34" s="694">
        <f t="shared" si="65"/>
        <v>7</v>
      </c>
      <c r="GT34" s="324">
        <v>32</v>
      </c>
      <c r="GU34" s="324">
        <v>13</v>
      </c>
      <c r="GV34" s="694">
        <f t="shared" si="66"/>
        <v>45</v>
      </c>
      <c r="GW34" s="324">
        <v>4</v>
      </c>
      <c r="GX34" s="324">
        <v>6</v>
      </c>
      <c r="GY34" s="694">
        <f t="shared" si="67"/>
        <v>10</v>
      </c>
      <c r="GZ34" s="324">
        <v>10</v>
      </c>
      <c r="HA34" s="324">
        <v>3</v>
      </c>
      <c r="HB34" s="694">
        <f t="shared" si="68"/>
        <v>13</v>
      </c>
      <c r="HC34" s="324">
        <v>1</v>
      </c>
      <c r="HD34" s="324">
        <v>1</v>
      </c>
      <c r="HE34" s="694">
        <f t="shared" si="69"/>
        <v>2</v>
      </c>
      <c r="HF34" s="324">
        <v>15</v>
      </c>
      <c r="HG34" s="324">
        <v>4</v>
      </c>
      <c r="HH34" s="694">
        <f t="shared" si="70"/>
        <v>19</v>
      </c>
      <c r="HI34" s="324">
        <v>102</v>
      </c>
      <c r="HJ34" s="324">
        <v>226</v>
      </c>
      <c r="HK34" s="694">
        <f t="shared" si="71"/>
        <v>328</v>
      </c>
      <c r="HL34" s="324">
        <v>0</v>
      </c>
      <c r="HM34" s="324">
        <v>102</v>
      </c>
      <c r="HN34" s="694">
        <f t="shared" si="72"/>
        <v>102</v>
      </c>
      <c r="HO34" s="324">
        <v>20</v>
      </c>
      <c r="HP34" s="324">
        <v>182</v>
      </c>
      <c r="HQ34" s="694">
        <f t="shared" si="73"/>
        <v>202</v>
      </c>
      <c r="HR34" s="324">
        <v>4</v>
      </c>
      <c r="HS34" s="324">
        <v>28</v>
      </c>
      <c r="HT34" s="694">
        <f t="shared" si="74"/>
        <v>32</v>
      </c>
      <c r="HU34" s="324">
        <v>0</v>
      </c>
      <c r="HV34" s="324">
        <v>4</v>
      </c>
      <c r="HW34" s="694">
        <f t="shared" si="75"/>
        <v>4</v>
      </c>
      <c r="HX34" s="324">
        <v>0</v>
      </c>
      <c r="HY34" s="324">
        <v>0</v>
      </c>
      <c r="HZ34" s="694">
        <f t="shared" si="76"/>
        <v>0</v>
      </c>
      <c r="IA34" s="324">
        <v>0</v>
      </c>
      <c r="IB34" s="324">
        <v>0</v>
      </c>
      <c r="IC34" s="694">
        <f t="shared" si="77"/>
        <v>0</v>
      </c>
      <c r="ID34" s="324">
        <v>105</v>
      </c>
      <c r="IE34" s="324">
        <v>1</v>
      </c>
      <c r="IF34" s="694">
        <f t="shared" si="78"/>
        <v>106</v>
      </c>
      <c r="IG34" s="324">
        <v>2</v>
      </c>
      <c r="IH34" s="324">
        <v>2</v>
      </c>
      <c r="II34" s="694">
        <f t="shared" si="79"/>
        <v>4</v>
      </c>
      <c r="IJ34" s="324">
        <v>303</v>
      </c>
      <c r="IK34" s="324">
        <v>0</v>
      </c>
      <c r="IL34" s="694">
        <f t="shared" si="80"/>
        <v>303</v>
      </c>
      <c r="IM34" s="324">
        <v>1</v>
      </c>
      <c r="IN34" s="324">
        <v>1</v>
      </c>
      <c r="IO34" s="694">
        <f t="shared" si="81"/>
        <v>2</v>
      </c>
      <c r="IP34" s="324">
        <v>0</v>
      </c>
      <c r="IQ34" s="324">
        <v>0</v>
      </c>
      <c r="IR34" s="694">
        <f t="shared" si="82"/>
        <v>0</v>
      </c>
      <c r="IS34" s="324">
        <v>444</v>
      </c>
      <c r="IT34" s="324">
        <v>138</v>
      </c>
      <c r="IU34" s="694">
        <f t="shared" si="83"/>
        <v>582</v>
      </c>
      <c r="IV34" s="324">
        <v>4</v>
      </c>
      <c r="IW34" s="324">
        <v>1</v>
      </c>
      <c r="IX34" s="694">
        <f t="shared" si="84"/>
        <v>5</v>
      </c>
      <c r="IY34" s="324">
        <v>0</v>
      </c>
      <c r="IZ34" s="324">
        <v>0</v>
      </c>
      <c r="JA34" s="694">
        <f t="shared" si="85"/>
        <v>0</v>
      </c>
      <c r="JB34" s="324">
        <v>1</v>
      </c>
      <c r="JC34" s="324">
        <v>6</v>
      </c>
      <c r="JD34" s="694">
        <f t="shared" si="86"/>
        <v>7</v>
      </c>
      <c r="JE34" s="324">
        <v>8150</v>
      </c>
      <c r="JF34" s="324">
        <v>1834</v>
      </c>
      <c r="JG34" s="694">
        <f t="shared" si="87"/>
        <v>9984</v>
      </c>
      <c r="JH34" s="324">
        <v>0</v>
      </c>
      <c r="JI34" s="324">
        <v>3</v>
      </c>
      <c r="JJ34" s="694">
        <f t="shared" si="88"/>
        <v>3</v>
      </c>
      <c r="JK34" s="324">
        <v>0</v>
      </c>
      <c r="JL34" s="324">
        <v>0</v>
      </c>
      <c r="JM34" s="694">
        <f t="shared" si="89"/>
        <v>0</v>
      </c>
      <c r="JN34" s="324">
        <v>1</v>
      </c>
      <c r="JO34" s="324">
        <v>0</v>
      </c>
      <c r="JP34" s="694">
        <f t="shared" si="90"/>
        <v>1</v>
      </c>
      <c r="JQ34" s="324">
        <v>0</v>
      </c>
      <c r="JR34" s="324">
        <v>0</v>
      </c>
      <c r="JS34" s="694">
        <f t="shared" si="91"/>
        <v>0</v>
      </c>
      <c r="JT34" s="324">
        <v>0</v>
      </c>
      <c r="JU34" s="324">
        <v>0</v>
      </c>
      <c r="JV34" s="694">
        <f t="shared" si="92"/>
        <v>0</v>
      </c>
      <c r="JW34" s="324">
        <v>0</v>
      </c>
      <c r="JX34" s="324">
        <v>0</v>
      </c>
      <c r="JY34" s="694">
        <f t="shared" si="93"/>
        <v>0</v>
      </c>
      <c r="JZ34" s="324">
        <v>0</v>
      </c>
      <c r="KA34" s="324">
        <v>0</v>
      </c>
      <c r="KB34" s="694">
        <f t="shared" si="94"/>
        <v>0</v>
      </c>
      <c r="KC34" s="324">
        <v>0</v>
      </c>
      <c r="KD34" s="324">
        <v>0</v>
      </c>
      <c r="KE34" s="694">
        <f t="shared" si="95"/>
        <v>0</v>
      </c>
      <c r="KF34" s="324">
        <v>0</v>
      </c>
      <c r="KG34" s="324">
        <v>0</v>
      </c>
      <c r="KH34" s="694">
        <f t="shared" si="96"/>
        <v>0</v>
      </c>
      <c r="KI34" s="324">
        <v>0</v>
      </c>
      <c r="KJ34" s="324">
        <v>0</v>
      </c>
      <c r="KK34" s="694">
        <f t="shared" si="97"/>
        <v>0</v>
      </c>
      <c r="KL34" s="694">
        <v>0</v>
      </c>
      <c r="KM34" s="694">
        <v>0</v>
      </c>
      <c r="KN34" s="694">
        <f t="shared" si="98"/>
        <v>0</v>
      </c>
      <c r="KO34" s="694">
        <v>0</v>
      </c>
      <c r="KP34" s="694">
        <v>0</v>
      </c>
      <c r="KQ34" s="694">
        <f t="shared" si="99"/>
        <v>0</v>
      </c>
      <c r="KR34" s="694">
        <v>0</v>
      </c>
      <c r="KS34" s="694">
        <v>0</v>
      </c>
      <c r="KT34" s="694">
        <f t="shared" si="100"/>
        <v>0</v>
      </c>
      <c r="KU34" s="694">
        <v>0</v>
      </c>
      <c r="KV34" s="694">
        <v>0</v>
      </c>
      <c r="KW34" s="694">
        <f t="shared" si="101"/>
        <v>0</v>
      </c>
      <c r="KX34" s="694">
        <v>0</v>
      </c>
      <c r="KY34" s="694">
        <v>0</v>
      </c>
      <c r="KZ34" s="694">
        <f t="shared" si="102"/>
        <v>0</v>
      </c>
      <c r="LA34" s="694">
        <v>0</v>
      </c>
      <c r="LB34" s="694">
        <v>0</v>
      </c>
      <c r="LC34" s="694">
        <f t="shared" si="103"/>
        <v>0</v>
      </c>
      <c r="LD34" s="694">
        <v>0</v>
      </c>
      <c r="LE34" s="694">
        <v>0</v>
      </c>
      <c r="LF34" s="694">
        <f t="shared" si="104"/>
        <v>0</v>
      </c>
      <c r="LG34" s="694">
        <v>0</v>
      </c>
      <c r="LH34" s="694">
        <v>0</v>
      </c>
      <c r="LI34" s="694">
        <f t="shared" si="105"/>
        <v>0</v>
      </c>
      <c r="LJ34" s="324">
        <v>0</v>
      </c>
      <c r="LK34" s="324">
        <v>0</v>
      </c>
      <c r="LL34" s="695">
        <f t="shared" si="106"/>
        <v>0</v>
      </c>
    </row>
    <row r="35" spans="1:324" x14ac:dyDescent="0.35">
      <c r="A35" s="696">
        <v>4</v>
      </c>
      <c r="B35" s="387" t="s">
        <v>283</v>
      </c>
      <c r="C35" s="440" t="s">
        <v>79</v>
      </c>
      <c r="D35" s="330">
        <v>3510</v>
      </c>
      <c r="E35" s="330">
        <v>3198</v>
      </c>
      <c r="F35" s="629">
        <f t="shared" si="0"/>
        <v>6708</v>
      </c>
      <c r="G35" s="330">
        <v>2</v>
      </c>
      <c r="H35" s="330">
        <v>5551</v>
      </c>
      <c r="I35" s="629">
        <f t="shared" si="1"/>
        <v>5553</v>
      </c>
      <c r="J35" s="330">
        <v>3440</v>
      </c>
      <c r="K35" s="330">
        <v>2750</v>
      </c>
      <c r="L35" s="629">
        <f t="shared" si="2"/>
        <v>6190</v>
      </c>
      <c r="M35" s="330">
        <v>38</v>
      </c>
      <c r="N35" s="330">
        <v>10</v>
      </c>
      <c r="O35" s="629">
        <f t="shared" si="3"/>
        <v>48</v>
      </c>
      <c r="P35" s="330">
        <v>43</v>
      </c>
      <c r="Q35" s="330">
        <v>43</v>
      </c>
      <c r="R35" s="629">
        <f t="shared" si="4"/>
        <v>86</v>
      </c>
      <c r="S35" s="330">
        <v>15</v>
      </c>
      <c r="T35" s="330">
        <v>5</v>
      </c>
      <c r="U35" s="629">
        <f t="shared" si="5"/>
        <v>20</v>
      </c>
      <c r="V35" s="330">
        <v>21</v>
      </c>
      <c r="W35" s="330">
        <v>1</v>
      </c>
      <c r="X35" s="629">
        <f t="shared" si="6"/>
        <v>22</v>
      </c>
      <c r="Y35" s="330">
        <v>87</v>
      </c>
      <c r="Z35" s="330">
        <v>35</v>
      </c>
      <c r="AA35" s="629">
        <f t="shared" si="7"/>
        <v>122</v>
      </c>
      <c r="AB35" s="330">
        <v>14</v>
      </c>
      <c r="AC35" s="330">
        <v>4</v>
      </c>
      <c r="AD35" s="629">
        <f t="shared" si="8"/>
        <v>18</v>
      </c>
      <c r="AE35" s="330">
        <v>1</v>
      </c>
      <c r="AF35" s="330">
        <v>1</v>
      </c>
      <c r="AG35" s="629">
        <f t="shared" si="9"/>
        <v>2</v>
      </c>
      <c r="AH35" s="330">
        <v>1</v>
      </c>
      <c r="AI35" s="330">
        <v>0</v>
      </c>
      <c r="AJ35" s="629">
        <f t="shared" si="10"/>
        <v>1</v>
      </c>
      <c r="AK35" s="330">
        <v>84</v>
      </c>
      <c r="AL35" s="330">
        <v>9</v>
      </c>
      <c r="AM35" s="629">
        <f t="shared" si="11"/>
        <v>93</v>
      </c>
      <c r="AN35" s="330">
        <v>6</v>
      </c>
      <c r="AO35" s="330">
        <v>0</v>
      </c>
      <c r="AP35" s="629">
        <f t="shared" si="12"/>
        <v>6</v>
      </c>
      <c r="AQ35" s="330">
        <v>31</v>
      </c>
      <c r="AR35" s="330">
        <v>0</v>
      </c>
      <c r="AS35" s="629">
        <f t="shared" si="13"/>
        <v>31</v>
      </c>
      <c r="AT35" s="330">
        <v>5092</v>
      </c>
      <c r="AU35" s="330">
        <v>1772</v>
      </c>
      <c r="AV35" s="629">
        <f t="shared" si="14"/>
        <v>6864</v>
      </c>
      <c r="AW35" s="330">
        <v>12</v>
      </c>
      <c r="AX35" s="330">
        <v>7</v>
      </c>
      <c r="AY35" s="629">
        <f t="shared" si="15"/>
        <v>19</v>
      </c>
      <c r="AZ35" s="330">
        <v>3</v>
      </c>
      <c r="BA35" s="330">
        <v>1</v>
      </c>
      <c r="BB35" s="629">
        <f t="shared" si="16"/>
        <v>4</v>
      </c>
      <c r="BC35" s="330">
        <v>26</v>
      </c>
      <c r="BD35" s="330">
        <v>15</v>
      </c>
      <c r="BE35" s="629">
        <f t="shared" si="17"/>
        <v>41</v>
      </c>
      <c r="BF35" s="330">
        <v>380</v>
      </c>
      <c r="BG35" s="330">
        <v>30</v>
      </c>
      <c r="BH35" s="629">
        <f t="shared" si="18"/>
        <v>410</v>
      </c>
      <c r="BI35" s="330">
        <v>3</v>
      </c>
      <c r="BJ35" s="330">
        <v>0</v>
      </c>
      <c r="BK35" s="629">
        <f t="shared" si="19"/>
        <v>3</v>
      </c>
      <c r="BL35" s="330">
        <v>0</v>
      </c>
      <c r="BM35" s="330">
        <v>0</v>
      </c>
      <c r="BN35" s="629">
        <f t="shared" si="20"/>
        <v>0</v>
      </c>
      <c r="BO35" s="330">
        <v>0</v>
      </c>
      <c r="BP35" s="330">
        <v>1</v>
      </c>
      <c r="BQ35" s="629">
        <f t="shared" si="21"/>
        <v>1</v>
      </c>
      <c r="BR35" s="330">
        <v>0</v>
      </c>
      <c r="BS35" s="330">
        <v>5</v>
      </c>
      <c r="BT35" s="629">
        <f t="shared" si="22"/>
        <v>5</v>
      </c>
      <c r="BU35" s="330">
        <v>0</v>
      </c>
      <c r="BV35" s="330">
        <v>0</v>
      </c>
      <c r="BW35" s="629">
        <f t="shared" si="23"/>
        <v>0</v>
      </c>
      <c r="BX35" s="330">
        <v>2</v>
      </c>
      <c r="BY35" s="330">
        <v>0</v>
      </c>
      <c r="BZ35" s="629">
        <f t="shared" si="24"/>
        <v>2</v>
      </c>
      <c r="CA35" s="330">
        <v>5</v>
      </c>
      <c r="CB35" s="330">
        <v>0</v>
      </c>
      <c r="CC35" s="629">
        <f t="shared" si="25"/>
        <v>5</v>
      </c>
      <c r="CD35" s="330">
        <v>2</v>
      </c>
      <c r="CE35" s="330">
        <v>0</v>
      </c>
      <c r="CF35" s="629">
        <f t="shared" si="26"/>
        <v>2</v>
      </c>
      <c r="CG35" s="330">
        <v>0</v>
      </c>
      <c r="CH35" s="330">
        <v>0</v>
      </c>
      <c r="CI35" s="629">
        <f t="shared" si="27"/>
        <v>0</v>
      </c>
      <c r="CJ35" s="330">
        <v>1</v>
      </c>
      <c r="CK35" s="330">
        <v>0</v>
      </c>
      <c r="CL35" s="629">
        <f t="shared" si="28"/>
        <v>1</v>
      </c>
      <c r="CM35" s="330">
        <v>2</v>
      </c>
      <c r="CN35" s="330">
        <v>5</v>
      </c>
      <c r="CO35" s="629">
        <f t="shared" si="29"/>
        <v>7</v>
      </c>
      <c r="CP35" s="330">
        <v>0</v>
      </c>
      <c r="CQ35" s="330">
        <v>0</v>
      </c>
      <c r="CR35" s="629">
        <f t="shared" si="30"/>
        <v>0</v>
      </c>
      <c r="CS35" s="330">
        <v>0</v>
      </c>
      <c r="CT35" s="330">
        <v>0</v>
      </c>
      <c r="CU35" s="629">
        <f t="shared" si="31"/>
        <v>0</v>
      </c>
      <c r="CV35" s="330">
        <v>0</v>
      </c>
      <c r="CW35" s="330">
        <v>0</v>
      </c>
      <c r="CX35" s="629">
        <f t="shared" si="32"/>
        <v>0</v>
      </c>
      <c r="CY35" s="330">
        <v>0</v>
      </c>
      <c r="CZ35" s="330">
        <v>0</v>
      </c>
      <c r="DA35" s="629">
        <f t="shared" si="33"/>
        <v>0</v>
      </c>
      <c r="DB35" s="330">
        <v>3</v>
      </c>
      <c r="DC35" s="330">
        <v>0</v>
      </c>
      <c r="DD35" s="629">
        <f t="shared" si="34"/>
        <v>3</v>
      </c>
      <c r="DE35" s="330">
        <v>4</v>
      </c>
      <c r="DF35" s="330">
        <v>0</v>
      </c>
      <c r="DG35" s="629">
        <f t="shared" si="35"/>
        <v>4</v>
      </c>
      <c r="DH35" s="330">
        <v>0</v>
      </c>
      <c r="DI35" s="330">
        <v>0</v>
      </c>
      <c r="DJ35" s="629">
        <f t="shared" si="36"/>
        <v>0</v>
      </c>
      <c r="DK35" s="330">
        <v>0</v>
      </c>
      <c r="DL35" s="330">
        <v>0</v>
      </c>
      <c r="DM35" s="629">
        <f t="shared" si="37"/>
        <v>0</v>
      </c>
      <c r="DN35" s="330">
        <v>1</v>
      </c>
      <c r="DO35" s="330">
        <v>0</v>
      </c>
      <c r="DP35" s="629">
        <f t="shared" si="38"/>
        <v>1</v>
      </c>
      <c r="DQ35" s="330">
        <v>0</v>
      </c>
      <c r="DR35" s="330">
        <v>0</v>
      </c>
      <c r="DS35" s="629">
        <f t="shared" si="39"/>
        <v>0</v>
      </c>
      <c r="DT35" s="330">
        <v>0</v>
      </c>
      <c r="DU35" s="330">
        <v>0</v>
      </c>
      <c r="DV35" s="629">
        <f t="shared" si="40"/>
        <v>0</v>
      </c>
      <c r="DW35" s="330">
        <v>0</v>
      </c>
      <c r="DX35" s="330">
        <v>0</v>
      </c>
      <c r="DY35" s="629">
        <f t="shared" si="41"/>
        <v>0</v>
      </c>
      <c r="DZ35" s="330">
        <v>0</v>
      </c>
      <c r="EA35" s="330">
        <v>0</v>
      </c>
      <c r="EB35" s="629">
        <f t="shared" si="42"/>
        <v>0</v>
      </c>
      <c r="EC35" s="330">
        <v>2</v>
      </c>
      <c r="ED35" s="330">
        <v>0</v>
      </c>
      <c r="EE35" s="629">
        <f t="shared" si="43"/>
        <v>2</v>
      </c>
      <c r="EF35" s="330">
        <v>3</v>
      </c>
      <c r="EG35" s="330">
        <v>2</v>
      </c>
      <c r="EH35" s="629">
        <f t="shared" si="44"/>
        <v>5</v>
      </c>
      <c r="EI35" s="330">
        <v>0</v>
      </c>
      <c r="EJ35" s="330">
        <v>0</v>
      </c>
      <c r="EK35" s="629">
        <f t="shared" si="45"/>
        <v>0</v>
      </c>
      <c r="EL35" s="330">
        <v>0</v>
      </c>
      <c r="EM35" s="330">
        <v>0</v>
      </c>
      <c r="EN35" s="629">
        <f t="shared" si="46"/>
        <v>0</v>
      </c>
      <c r="EO35" s="330">
        <v>0</v>
      </c>
      <c r="EP35" s="330">
        <v>0</v>
      </c>
      <c r="EQ35" s="629">
        <f t="shared" si="47"/>
        <v>0</v>
      </c>
      <c r="ER35" s="330">
        <v>0</v>
      </c>
      <c r="ES35" s="330">
        <v>0</v>
      </c>
      <c r="ET35" s="629">
        <f t="shared" si="48"/>
        <v>0</v>
      </c>
      <c r="EU35" s="330">
        <v>0</v>
      </c>
      <c r="EV35" s="330">
        <v>0</v>
      </c>
      <c r="EW35" s="629">
        <f t="shared" si="49"/>
        <v>0</v>
      </c>
      <c r="EX35" s="330">
        <v>0</v>
      </c>
      <c r="EY35" s="330">
        <v>0</v>
      </c>
      <c r="EZ35" s="629">
        <f t="shared" si="50"/>
        <v>0</v>
      </c>
      <c r="FA35" s="330">
        <v>0</v>
      </c>
      <c r="FB35" s="330">
        <v>0</v>
      </c>
      <c r="FC35" s="629">
        <f t="shared" si="51"/>
        <v>0</v>
      </c>
      <c r="FD35" s="330">
        <v>0</v>
      </c>
      <c r="FE35" s="330">
        <v>0</v>
      </c>
      <c r="FF35" s="629">
        <f t="shared" si="52"/>
        <v>0</v>
      </c>
      <c r="FG35" s="330">
        <v>0</v>
      </c>
      <c r="FH35" s="330">
        <v>0</v>
      </c>
      <c r="FI35" s="629">
        <f t="shared" si="53"/>
        <v>0</v>
      </c>
      <c r="FJ35" s="330">
        <v>0</v>
      </c>
      <c r="FK35" s="330">
        <v>0</v>
      </c>
      <c r="FL35" s="629">
        <f t="shared" si="54"/>
        <v>0</v>
      </c>
      <c r="FM35" s="330">
        <v>0</v>
      </c>
      <c r="FN35" s="330">
        <v>0</v>
      </c>
      <c r="FO35" s="629">
        <f t="shared" si="55"/>
        <v>0</v>
      </c>
      <c r="FP35" s="330">
        <v>0</v>
      </c>
      <c r="FQ35" s="330">
        <v>0</v>
      </c>
      <c r="FR35" s="629">
        <f t="shared" si="56"/>
        <v>0</v>
      </c>
      <c r="FS35" s="330">
        <v>0</v>
      </c>
      <c r="FT35" s="330">
        <v>0</v>
      </c>
      <c r="FU35" s="629">
        <f t="shared" si="57"/>
        <v>0</v>
      </c>
      <c r="FV35" s="330">
        <v>0</v>
      </c>
      <c r="FW35" s="330">
        <v>0</v>
      </c>
      <c r="FX35" s="629">
        <f t="shared" si="58"/>
        <v>0</v>
      </c>
      <c r="FY35" s="330">
        <v>0</v>
      </c>
      <c r="FZ35" s="330">
        <v>0</v>
      </c>
      <c r="GA35" s="629">
        <f t="shared" si="59"/>
        <v>0</v>
      </c>
      <c r="GB35" s="330">
        <v>0</v>
      </c>
      <c r="GC35" s="330">
        <v>0</v>
      </c>
      <c r="GD35" s="629">
        <f t="shared" si="60"/>
        <v>0</v>
      </c>
      <c r="GE35" s="330">
        <v>0</v>
      </c>
      <c r="GF35" s="330">
        <v>0</v>
      </c>
      <c r="GG35" s="629">
        <f t="shared" si="61"/>
        <v>0</v>
      </c>
      <c r="GH35" s="330">
        <v>1</v>
      </c>
      <c r="GI35" s="330">
        <v>0</v>
      </c>
      <c r="GJ35" s="629">
        <f t="shared" si="62"/>
        <v>1</v>
      </c>
      <c r="GK35" s="330">
        <v>4</v>
      </c>
      <c r="GL35" s="330">
        <v>2</v>
      </c>
      <c r="GM35" s="629">
        <f t="shared" si="63"/>
        <v>6</v>
      </c>
      <c r="GN35" s="330">
        <v>49</v>
      </c>
      <c r="GO35" s="330">
        <v>181</v>
      </c>
      <c r="GP35" s="629">
        <f t="shared" si="64"/>
        <v>230</v>
      </c>
      <c r="GQ35" s="330">
        <v>0</v>
      </c>
      <c r="GR35" s="330">
        <v>0</v>
      </c>
      <c r="GS35" s="629">
        <f t="shared" si="65"/>
        <v>0</v>
      </c>
      <c r="GT35" s="330">
        <v>2</v>
      </c>
      <c r="GU35" s="330">
        <v>0</v>
      </c>
      <c r="GV35" s="629">
        <f t="shared" si="66"/>
        <v>2</v>
      </c>
      <c r="GW35" s="330">
        <v>0</v>
      </c>
      <c r="GX35" s="330">
        <v>0</v>
      </c>
      <c r="GY35" s="629">
        <f t="shared" si="67"/>
        <v>0</v>
      </c>
      <c r="GZ35" s="330">
        <v>2</v>
      </c>
      <c r="HA35" s="330">
        <v>0</v>
      </c>
      <c r="HB35" s="629">
        <f t="shared" si="68"/>
        <v>2</v>
      </c>
      <c r="HC35" s="330">
        <v>0</v>
      </c>
      <c r="HD35" s="330">
        <v>0</v>
      </c>
      <c r="HE35" s="629">
        <f t="shared" si="69"/>
        <v>0</v>
      </c>
      <c r="HF35" s="330">
        <v>0</v>
      </c>
      <c r="HG35" s="330">
        <v>0</v>
      </c>
      <c r="HH35" s="629">
        <f t="shared" si="70"/>
        <v>0</v>
      </c>
      <c r="HI35" s="330">
        <v>3</v>
      </c>
      <c r="HJ35" s="330">
        <v>4</v>
      </c>
      <c r="HK35" s="629">
        <f t="shared" si="71"/>
        <v>7</v>
      </c>
      <c r="HL35" s="330">
        <v>0</v>
      </c>
      <c r="HM35" s="330">
        <v>16</v>
      </c>
      <c r="HN35" s="629">
        <f t="shared" si="72"/>
        <v>16</v>
      </c>
      <c r="HO35" s="330">
        <v>4</v>
      </c>
      <c r="HP35" s="330">
        <v>24</v>
      </c>
      <c r="HQ35" s="629">
        <f t="shared" si="73"/>
        <v>28</v>
      </c>
      <c r="HR35" s="330">
        <v>1</v>
      </c>
      <c r="HS35" s="330">
        <v>1</v>
      </c>
      <c r="HT35" s="629">
        <f t="shared" si="74"/>
        <v>2</v>
      </c>
      <c r="HU35" s="330">
        <v>0</v>
      </c>
      <c r="HV35" s="330">
        <v>0</v>
      </c>
      <c r="HW35" s="629">
        <f t="shared" si="75"/>
        <v>0</v>
      </c>
      <c r="HX35" s="330">
        <v>0</v>
      </c>
      <c r="HY35" s="330">
        <v>0</v>
      </c>
      <c r="HZ35" s="629">
        <f t="shared" si="76"/>
        <v>0</v>
      </c>
      <c r="IA35" s="330">
        <v>0</v>
      </c>
      <c r="IB35" s="330">
        <v>0</v>
      </c>
      <c r="IC35" s="629">
        <f t="shared" si="77"/>
        <v>0</v>
      </c>
      <c r="ID35" s="330">
        <v>1</v>
      </c>
      <c r="IE35" s="330">
        <v>0</v>
      </c>
      <c r="IF35" s="629">
        <f t="shared" si="78"/>
        <v>1</v>
      </c>
      <c r="IG35" s="330">
        <v>0</v>
      </c>
      <c r="IH35" s="330">
        <v>1</v>
      </c>
      <c r="II35" s="629">
        <f t="shared" si="79"/>
        <v>1</v>
      </c>
      <c r="IJ35" s="330">
        <v>95</v>
      </c>
      <c r="IK35" s="330">
        <v>0</v>
      </c>
      <c r="IL35" s="629">
        <f t="shared" si="80"/>
        <v>95</v>
      </c>
      <c r="IM35" s="330">
        <v>1</v>
      </c>
      <c r="IN35" s="330">
        <v>0</v>
      </c>
      <c r="IO35" s="629">
        <f t="shared" si="81"/>
        <v>1</v>
      </c>
      <c r="IP35" s="330">
        <v>0</v>
      </c>
      <c r="IQ35" s="330">
        <v>0</v>
      </c>
      <c r="IR35" s="629">
        <f t="shared" si="82"/>
        <v>0</v>
      </c>
      <c r="IS35" s="330">
        <v>77</v>
      </c>
      <c r="IT35" s="330">
        <v>35</v>
      </c>
      <c r="IU35" s="629">
        <f t="shared" si="83"/>
        <v>112</v>
      </c>
      <c r="IV35" s="330">
        <v>0</v>
      </c>
      <c r="IW35" s="330">
        <v>0</v>
      </c>
      <c r="IX35" s="629">
        <f t="shared" si="84"/>
        <v>0</v>
      </c>
      <c r="IY35" s="330">
        <v>0</v>
      </c>
      <c r="IZ35" s="330">
        <v>0</v>
      </c>
      <c r="JA35" s="629">
        <f t="shared" si="85"/>
        <v>0</v>
      </c>
      <c r="JB35" s="330">
        <v>0</v>
      </c>
      <c r="JC35" s="330">
        <v>0</v>
      </c>
      <c r="JD35" s="629">
        <f t="shared" si="86"/>
        <v>0</v>
      </c>
      <c r="JE35" s="330">
        <v>1334</v>
      </c>
      <c r="JF35" s="330">
        <v>236</v>
      </c>
      <c r="JG35" s="629">
        <f t="shared" si="87"/>
        <v>1570</v>
      </c>
      <c r="JH35" s="330">
        <v>0</v>
      </c>
      <c r="JI35" s="330">
        <v>0</v>
      </c>
      <c r="JJ35" s="629">
        <f t="shared" si="88"/>
        <v>0</v>
      </c>
      <c r="JK35" s="330">
        <v>0</v>
      </c>
      <c r="JL35" s="330">
        <v>0</v>
      </c>
      <c r="JM35" s="629">
        <f t="shared" si="89"/>
        <v>0</v>
      </c>
      <c r="JN35" s="330">
        <v>1</v>
      </c>
      <c r="JO35" s="330">
        <v>0</v>
      </c>
      <c r="JP35" s="629">
        <f t="shared" si="90"/>
        <v>1</v>
      </c>
      <c r="JQ35" s="330">
        <v>0</v>
      </c>
      <c r="JR35" s="330">
        <v>0</v>
      </c>
      <c r="JS35" s="629">
        <f t="shared" si="91"/>
        <v>0</v>
      </c>
      <c r="JT35" s="330">
        <v>0</v>
      </c>
      <c r="JU35" s="330">
        <v>0</v>
      </c>
      <c r="JV35" s="629">
        <f t="shared" si="92"/>
        <v>0</v>
      </c>
      <c r="JW35" s="330">
        <v>0</v>
      </c>
      <c r="JX35" s="330">
        <v>0</v>
      </c>
      <c r="JY35" s="629">
        <f t="shared" si="93"/>
        <v>0</v>
      </c>
      <c r="JZ35" s="330">
        <v>0</v>
      </c>
      <c r="KA35" s="330">
        <v>0</v>
      </c>
      <c r="KB35" s="629">
        <f t="shared" si="94"/>
        <v>0</v>
      </c>
      <c r="KC35" s="330">
        <v>0</v>
      </c>
      <c r="KD35" s="330">
        <v>0</v>
      </c>
      <c r="KE35" s="629">
        <f t="shared" si="95"/>
        <v>0</v>
      </c>
      <c r="KF35" s="330">
        <v>0</v>
      </c>
      <c r="KG35" s="330">
        <v>0</v>
      </c>
      <c r="KH35" s="629">
        <f t="shared" si="96"/>
        <v>0</v>
      </c>
      <c r="KI35" s="330">
        <v>0</v>
      </c>
      <c r="KJ35" s="330">
        <v>0</v>
      </c>
      <c r="KK35" s="629">
        <f t="shared" si="97"/>
        <v>0</v>
      </c>
      <c r="KL35" s="629">
        <v>0</v>
      </c>
      <c r="KM35" s="629">
        <v>0</v>
      </c>
      <c r="KN35" s="629">
        <f t="shared" si="98"/>
        <v>0</v>
      </c>
      <c r="KO35" s="629">
        <v>0</v>
      </c>
      <c r="KP35" s="629">
        <v>0</v>
      </c>
      <c r="KQ35" s="629">
        <f t="shared" si="99"/>
        <v>0</v>
      </c>
      <c r="KR35" s="629">
        <v>0</v>
      </c>
      <c r="KS35" s="629">
        <v>0</v>
      </c>
      <c r="KT35" s="629">
        <f t="shared" si="100"/>
        <v>0</v>
      </c>
      <c r="KU35" s="629">
        <v>0</v>
      </c>
      <c r="KV35" s="629">
        <v>0</v>
      </c>
      <c r="KW35" s="629">
        <f t="shared" si="101"/>
        <v>0</v>
      </c>
      <c r="KX35" s="629">
        <v>0</v>
      </c>
      <c r="KY35" s="629">
        <v>0</v>
      </c>
      <c r="KZ35" s="629">
        <f t="shared" si="102"/>
        <v>0</v>
      </c>
      <c r="LA35" s="629">
        <v>0</v>
      </c>
      <c r="LB35" s="629">
        <v>0</v>
      </c>
      <c r="LC35" s="629">
        <f t="shared" si="103"/>
        <v>0</v>
      </c>
      <c r="LD35" s="629">
        <v>0</v>
      </c>
      <c r="LE35" s="629">
        <v>0</v>
      </c>
      <c r="LF35" s="629">
        <f t="shared" si="104"/>
        <v>0</v>
      </c>
      <c r="LG35" s="629">
        <v>0</v>
      </c>
      <c r="LH35" s="629">
        <v>0</v>
      </c>
      <c r="LI35" s="629">
        <f t="shared" si="105"/>
        <v>0</v>
      </c>
      <c r="LJ35" s="330">
        <v>0</v>
      </c>
      <c r="LK35" s="330">
        <v>0</v>
      </c>
      <c r="LL35" s="697">
        <f t="shared" si="106"/>
        <v>0</v>
      </c>
    </row>
    <row r="36" spans="1:324" x14ac:dyDescent="0.35">
      <c r="A36" s="696">
        <v>4</v>
      </c>
      <c r="B36" s="387" t="s">
        <v>284</v>
      </c>
      <c r="C36" s="440" t="s">
        <v>81</v>
      </c>
      <c r="D36" s="330">
        <v>3166</v>
      </c>
      <c r="E36" s="330">
        <v>2808</v>
      </c>
      <c r="F36" s="629">
        <f t="shared" si="0"/>
        <v>5974</v>
      </c>
      <c r="G36" s="330">
        <v>1</v>
      </c>
      <c r="H36" s="330">
        <v>4609</v>
      </c>
      <c r="I36" s="629">
        <f t="shared" si="1"/>
        <v>4610</v>
      </c>
      <c r="J36" s="330">
        <v>3120</v>
      </c>
      <c r="K36" s="330">
        <v>2558</v>
      </c>
      <c r="L36" s="629">
        <f t="shared" si="2"/>
        <v>5678</v>
      </c>
      <c r="M36" s="330">
        <v>52</v>
      </c>
      <c r="N36" s="330">
        <v>24</v>
      </c>
      <c r="O36" s="629">
        <f t="shared" si="3"/>
        <v>76</v>
      </c>
      <c r="P36" s="330">
        <v>144</v>
      </c>
      <c r="Q36" s="330">
        <v>129</v>
      </c>
      <c r="R36" s="629">
        <f t="shared" si="4"/>
        <v>273</v>
      </c>
      <c r="S36" s="330">
        <v>24</v>
      </c>
      <c r="T36" s="330">
        <v>0</v>
      </c>
      <c r="U36" s="629">
        <f t="shared" si="5"/>
        <v>24</v>
      </c>
      <c r="V36" s="330">
        <v>28</v>
      </c>
      <c r="W36" s="330">
        <v>1</v>
      </c>
      <c r="X36" s="629">
        <f t="shared" si="6"/>
        <v>29</v>
      </c>
      <c r="Y36" s="330">
        <v>108</v>
      </c>
      <c r="Z36" s="330">
        <v>24</v>
      </c>
      <c r="AA36" s="629">
        <f t="shared" si="7"/>
        <v>132</v>
      </c>
      <c r="AB36" s="330">
        <v>21</v>
      </c>
      <c r="AC36" s="330">
        <v>4</v>
      </c>
      <c r="AD36" s="629">
        <f t="shared" si="8"/>
        <v>25</v>
      </c>
      <c r="AE36" s="330">
        <v>2</v>
      </c>
      <c r="AF36" s="330">
        <v>0</v>
      </c>
      <c r="AG36" s="629">
        <f t="shared" si="9"/>
        <v>2</v>
      </c>
      <c r="AH36" s="330">
        <v>2</v>
      </c>
      <c r="AI36" s="330">
        <v>0</v>
      </c>
      <c r="AJ36" s="629">
        <f t="shared" si="10"/>
        <v>2</v>
      </c>
      <c r="AK36" s="330">
        <v>88</v>
      </c>
      <c r="AL36" s="330">
        <v>22</v>
      </c>
      <c r="AM36" s="629">
        <f t="shared" si="11"/>
        <v>110</v>
      </c>
      <c r="AN36" s="330">
        <v>22</v>
      </c>
      <c r="AO36" s="330">
        <v>0</v>
      </c>
      <c r="AP36" s="629">
        <f t="shared" si="12"/>
        <v>22</v>
      </c>
      <c r="AQ36" s="330">
        <v>35</v>
      </c>
      <c r="AR36" s="330">
        <v>0</v>
      </c>
      <c r="AS36" s="629">
        <f t="shared" si="13"/>
        <v>35</v>
      </c>
      <c r="AT36" s="330">
        <v>4132</v>
      </c>
      <c r="AU36" s="330">
        <v>1720</v>
      </c>
      <c r="AV36" s="629">
        <f t="shared" si="14"/>
        <v>5852</v>
      </c>
      <c r="AW36" s="330">
        <v>85</v>
      </c>
      <c r="AX36" s="330">
        <v>33</v>
      </c>
      <c r="AY36" s="629">
        <f t="shared" si="15"/>
        <v>118</v>
      </c>
      <c r="AZ36" s="330">
        <v>4</v>
      </c>
      <c r="BA36" s="330">
        <v>4</v>
      </c>
      <c r="BB36" s="629">
        <f t="shared" si="16"/>
        <v>8</v>
      </c>
      <c r="BC36" s="330">
        <v>15</v>
      </c>
      <c r="BD36" s="330">
        <v>7</v>
      </c>
      <c r="BE36" s="629">
        <f t="shared" si="17"/>
        <v>22</v>
      </c>
      <c r="BF36" s="330">
        <v>288</v>
      </c>
      <c r="BG36" s="330">
        <v>12</v>
      </c>
      <c r="BH36" s="629">
        <f t="shared" si="18"/>
        <v>300</v>
      </c>
      <c r="BI36" s="330">
        <v>14</v>
      </c>
      <c r="BJ36" s="330">
        <v>3</v>
      </c>
      <c r="BK36" s="629">
        <f t="shared" si="19"/>
        <v>17</v>
      </c>
      <c r="BL36" s="330">
        <v>0</v>
      </c>
      <c r="BM36" s="330">
        <v>0</v>
      </c>
      <c r="BN36" s="629">
        <f t="shared" si="20"/>
        <v>0</v>
      </c>
      <c r="BO36" s="330">
        <v>0</v>
      </c>
      <c r="BP36" s="330">
        <v>0</v>
      </c>
      <c r="BQ36" s="629">
        <f t="shared" si="21"/>
        <v>0</v>
      </c>
      <c r="BR36" s="330">
        <v>0</v>
      </c>
      <c r="BS36" s="330">
        <v>3</v>
      </c>
      <c r="BT36" s="629">
        <f t="shared" si="22"/>
        <v>3</v>
      </c>
      <c r="BU36" s="330">
        <v>0</v>
      </c>
      <c r="BV36" s="330">
        <v>0</v>
      </c>
      <c r="BW36" s="629">
        <f t="shared" si="23"/>
        <v>0</v>
      </c>
      <c r="BX36" s="330">
        <v>1</v>
      </c>
      <c r="BY36" s="330">
        <v>0</v>
      </c>
      <c r="BZ36" s="629">
        <f t="shared" si="24"/>
        <v>1</v>
      </c>
      <c r="CA36" s="330">
        <v>4</v>
      </c>
      <c r="CB36" s="330">
        <v>0</v>
      </c>
      <c r="CC36" s="629">
        <f t="shared" si="25"/>
        <v>4</v>
      </c>
      <c r="CD36" s="330">
        <v>0</v>
      </c>
      <c r="CE36" s="330">
        <v>0</v>
      </c>
      <c r="CF36" s="629">
        <f t="shared" si="26"/>
        <v>0</v>
      </c>
      <c r="CG36" s="330">
        <v>1</v>
      </c>
      <c r="CH36" s="330">
        <v>0</v>
      </c>
      <c r="CI36" s="629">
        <f t="shared" si="27"/>
        <v>1</v>
      </c>
      <c r="CJ36" s="330">
        <v>1</v>
      </c>
      <c r="CK36" s="330">
        <v>0</v>
      </c>
      <c r="CL36" s="629">
        <f t="shared" si="28"/>
        <v>1</v>
      </c>
      <c r="CM36" s="330">
        <v>3</v>
      </c>
      <c r="CN36" s="330">
        <v>0</v>
      </c>
      <c r="CO36" s="629">
        <f t="shared" si="29"/>
        <v>3</v>
      </c>
      <c r="CP36" s="330">
        <v>0</v>
      </c>
      <c r="CQ36" s="330">
        <v>0</v>
      </c>
      <c r="CR36" s="629">
        <f t="shared" si="30"/>
        <v>0</v>
      </c>
      <c r="CS36" s="330">
        <v>2</v>
      </c>
      <c r="CT36" s="330">
        <v>0</v>
      </c>
      <c r="CU36" s="629">
        <f t="shared" si="31"/>
        <v>2</v>
      </c>
      <c r="CV36" s="330">
        <v>0</v>
      </c>
      <c r="CW36" s="330">
        <v>0</v>
      </c>
      <c r="CX36" s="629">
        <f t="shared" si="32"/>
        <v>0</v>
      </c>
      <c r="CY36" s="330">
        <v>1</v>
      </c>
      <c r="CZ36" s="330">
        <v>0</v>
      </c>
      <c r="DA36" s="629">
        <f t="shared" si="33"/>
        <v>1</v>
      </c>
      <c r="DB36" s="330">
        <v>3</v>
      </c>
      <c r="DC36" s="330">
        <v>0</v>
      </c>
      <c r="DD36" s="629">
        <f t="shared" si="34"/>
        <v>3</v>
      </c>
      <c r="DE36" s="330">
        <v>6</v>
      </c>
      <c r="DF36" s="330">
        <v>2</v>
      </c>
      <c r="DG36" s="629">
        <f t="shared" si="35"/>
        <v>8</v>
      </c>
      <c r="DH36" s="330">
        <v>0</v>
      </c>
      <c r="DI36" s="330">
        <v>0</v>
      </c>
      <c r="DJ36" s="629">
        <f t="shared" si="36"/>
        <v>0</v>
      </c>
      <c r="DK36" s="330">
        <v>0</v>
      </c>
      <c r="DL36" s="330">
        <v>0</v>
      </c>
      <c r="DM36" s="629">
        <f t="shared" si="37"/>
        <v>0</v>
      </c>
      <c r="DN36" s="330">
        <v>0</v>
      </c>
      <c r="DO36" s="330">
        <v>0</v>
      </c>
      <c r="DP36" s="629">
        <f t="shared" si="38"/>
        <v>0</v>
      </c>
      <c r="DQ36" s="330">
        <v>0</v>
      </c>
      <c r="DR36" s="330">
        <v>1</v>
      </c>
      <c r="DS36" s="629">
        <f t="shared" si="39"/>
        <v>1</v>
      </c>
      <c r="DT36" s="330">
        <v>0</v>
      </c>
      <c r="DU36" s="330">
        <v>0</v>
      </c>
      <c r="DV36" s="629">
        <f t="shared" si="40"/>
        <v>0</v>
      </c>
      <c r="DW36" s="330">
        <v>3</v>
      </c>
      <c r="DX36" s="330">
        <v>1</v>
      </c>
      <c r="DY36" s="629">
        <f t="shared" si="41"/>
        <v>4</v>
      </c>
      <c r="DZ36" s="330">
        <v>0</v>
      </c>
      <c r="EA36" s="330">
        <v>0</v>
      </c>
      <c r="EB36" s="629">
        <f t="shared" si="42"/>
        <v>0</v>
      </c>
      <c r="EC36" s="330">
        <v>6</v>
      </c>
      <c r="ED36" s="330">
        <v>0</v>
      </c>
      <c r="EE36" s="629">
        <f t="shared" si="43"/>
        <v>6</v>
      </c>
      <c r="EF36" s="330">
        <v>0</v>
      </c>
      <c r="EG36" s="330">
        <v>1</v>
      </c>
      <c r="EH36" s="629">
        <f t="shared" si="44"/>
        <v>1</v>
      </c>
      <c r="EI36" s="330">
        <v>0</v>
      </c>
      <c r="EJ36" s="330">
        <v>0</v>
      </c>
      <c r="EK36" s="629">
        <f t="shared" si="45"/>
        <v>0</v>
      </c>
      <c r="EL36" s="330">
        <v>0</v>
      </c>
      <c r="EM36" s="330">
        <v>0</v>
      </c>
      <c r="EN36" s="629">
        <f t="shared" si="46"/>
        <v>0</v>
      </c>
      <c r="EO36" s="330">
        <v>0</v>
      </c>
      <c r="EP36" s="330">
        <v>0</v>
      </c>
      <c r="EQ36" s="629">
        <f t="shared" si="47"/>
        <v>0</v>
      </c>
      <c r="ER36" s="330">
        <v>0</v>
      </c>
      <c r="ES36" s="330">
        <v>0</v>
      </c>
      <c r="ET36" s="629">
        <f t="shared" si="48"/>
        <v>0</v>
      </c>
      <c r="EU36" s="330">
        <v>0</v>
      </c>
      <c r="EV36" s="330">
        <v>0</v>
      </c>
      <c r="EW36" s="629">
        <f t="shared" si="49"/>
        <v>0</v>
      </c>
      <c r="EX36" s="330">
        <v>0</v>
      </c>
      <c r="EY36" s="330">
        <v>0</v>
      </c>
      <c r="EZ36" s="629">
        <f t="shared" si="50"/>
        <v>0</v>
      </c>
      <c r="FA36" s="330">
        <v>0</v>
      </c>
      <c r="FB36" s="330">
        <v>0</v>
      </c>
      <c r="FC36" s="629">
        <f t="shared" si="51"/>
        <v>0</v>
      </c>
      <c r="FD36" s="330">
        <v>0</v>
      </c>
      <c r="FE36" s="330">
        <v>0</v>
      </c>
      <c r="FF36" s="629">
        <f t="shared" si="52"/>
        <v>0</v>
      </c>
      <c r="FG36" s="330">
        <v>0</v>
      </c>
      <c r="FH36" s="330">
        <v>0</v>
      </c>
      <c r="FI36" s="629">
        <f t="shared" si="53"/>
        <v>0</v>
      </c>
      <c r="FJ36" s="330">
        <v>0</v>
      </c>
      <c r="FK36" s="330">
        <v>0</v>
      </c>
      <c r="FL36" s="629">
        <f t="shared" si="54"/>
        <v>0</v>
      </c>
      <c r="FM36" s="330">
        <v>0</v>
      </c>
      <c r="FN36" s="330">
        <v>0</v>
      </c>
      <c r="FO36" s="629">
        <f t="shared" si="55"/>
        <v>0</v>
      </c>
      <c r="FP36" s="330">
        <v>0</v>
      </c>
      <c r="FQ36" s="330">
        <v>0</v>
      </c>
      <c r="FR36" s="629">
        <f t="shared" si="56"/>
        <v>0</v>
      </c>
      <c r="FS36" s="330">
        <v>0</v>
      </c>
      <c r="FT36" s="330">
        <v>0</v>
      </c>
      <c r="FU36" s="629">
        <f t="shared" si="57"/>
        <v>0</v>
      </c>
      <c r="FV36" s="330">
        <v>0</v>
      </c>
      <c r="FW36" s="330">
        <v>0</v>
      </c>
      <c r="FX36" s="629">
        <f t="shared" si="58"/>
        <v>0</v>
      </c>
      <c r="FY36" s="330">
        <v>0</v>
      </c>
      <c r="FZ36" s="330">
        <v>0</v>
      </c>
      <c r="GA36" s="629">
        <f t="shared" si="59"/>
        <v>0</v>
      </c>
      <c r="GB36" s="330">
        <v>0</v>
      </c>
      <c r="GC36" s="330">
        <v>0</v>
      </c>
      <c r="GD36" s="629">
        <f t="shared" si="60"/>
        <v>0</v>
      </c>
      <c r="GE36" s="330">
        <v>0</v>
      </c>
      <c r="GF36" s="330">
        <v>0</v>
      </c>
      <c r="GG36" s="629">
        <f t="shared" si="61"/>
        <v>0</v>
      </c>
      <c r="GH36" s="330">
        <v>0</v>
      </c>
      <c r="GI36" s="330">
        <v>1</v>
      </c>
      <c r="GJ36" s="629">
        <f t="shared" si="62"/>
        <v>1</v>
      </c>
      <c r="GK36" s="330">
        <v>7</v>
      </c>
      <c r="GL36" s="330">
        <v>6</v>
      </c>
      <c r="GM36" s="629">
        <f t="shared" si="63"/>
        <v>13</v>
      </c>
      <c r="GN36" s="330">
        <v>58</v>
      </c>
      <c r="GO36" s="330">
        <v>136</v>
      </c>
      <c r="GP36" s="629">
        <f t="shared" si="64"/>
        <v>194</v>
      </c>
      <c r="GQ36" s="330">
        <v>1</v>
      </c>
      <c r="GR36" s="330">
        <v>0</v>
      </c>
      <c r="GS36" s="629">
        <f t="shared" si="65"/>
        <v>1</v>
      </c>
      <c r="GT36" s="330">
        <v>5</v>
      </c>
      <c r="GU36" s="330">
        <v>0</v>
      </c>
      <c r="GV36" s="629">
        <f t="shared" si="66"/>
        <v>5</v>
      </c>
      <c r="GW36" s="330">
        <v>1</v>
      </c>
      <c r="GX36" s="330">
        <v>5</v>
      </c>
      <c r="GY36" s="629">
        <f t="shared" si="67"/>
        <v>6</v>
      </c>
      <c r="GZ36" s="330">
        <v>2</v>
      </c>
      <c r="HA36" s="330">
        <v>2</v>
      </c>
      <c r="HB36" s="629">
        <f t="shared" si="68"/>
        <v>4</v>
      </c>
      <c r="HC36" s="330">
        <v>0</v>
      </c>
      <c r="HD36" s="330">
        <v>0</v>
      </c>
      <c r="HE36" s="629">
        <f t="shared" si="69"/>
        <v>0</v>
      </c>
      <c r="HF36" s="330">
        <v>3</v>
      </c>
      <c r="HG36" s="330">
        <v>2</v>
      </c>
      <c r="HH36" s="629">
        <f t="shared" si="70"/>
        <v>5</v>
      </c>
      <c r="HI36" s="330">
        <v>22</v>
      </c>
      <c r="HJ36" s="330">
        <v>59</v>
      </c>
      <c r="HK36" s="629">
        <f t="shared" si="71"/>
        <v>81</v>
      </c>
      <c r="HL36" s="330">
        <v>0</v>
      </c>
      <c r="HM36" s="330">
        <v>18</v>
      </c>
      <c r="HN36" s="629">
        <f t="shared" si="72"/>
        <v>18</v>
      </c>
      <c r="HO36" s="330">
        <v>5</v>
      </c>
      <c r="HP36" s="330">
        <v>34</v>
      </c>
      <c r="HQ36" s="629">
        <f t="shared" si="73"/>
        <v>39</v>
      </c>
      <c r="HR36" s="330">
        <v>0</v>
      </c>
      <c r="HS36" s="330">
        <v>2</v>
      </c>
      <c r="HT36" s="629">
        <f t="shared" si="74"/>
        <v>2</v>
      </c>
      <c r="HU36" s="330">
        <v>0</v>
      </c>
      <c r="HV36" s="330">
        <v>0</v>
      </c>
      <c r="HW36" s="629">
        <f t="shared" si="75"/>
        <v>0</v>
      </c>
      <c r="HX36" s="330">
        <v>0</v>
      </c>
      <c r="HY36" s="330">
        <v>0</v>
      </c>
      <c r="HZ36" s="629">
        <f t="shared" si="76"/>
        <v>0</v>
      </c>
      <c r="IA36" s="330">
        <v>0</v>
      </c>
      <c r="IB36" s="330">
        <v>0</v>
      </c>
      <c r="IC36" s="629">
        <f t="shared" si="77"/>
        <v>0</v>
      </c>
      <c r="ID36" s="330">
        <v>5</v>
      </c>
      <c r="IE36" s="330">
        <v>0</v>
      </c>
      <c r="IF36" s="629">
        <f t="shared" si="78"/>
        <v>5</v>
      </c>
      <c r="IG36" s="330">
        <v>1</v>
      </c>
      <c r="IH36" s="330">
        <v>0</v>
      </c>
      <c r="II36" s="629">
        <f t="shared" si="79"/>
        <v>1</v>
      </c>
      <c r="IJ36" s="330">
        <v>54</v>
      </c>
      <c r="IK36" s="330">
        <v>0</v>
      </c>
      <c r="IL36" s="629">
        <f t="shared" si="80"/>
        <v>54</v>
      </c>
      <c r="IM36" s="330">
        <v>0</v>
      </c>
      <c r="IN36" s="330">
        <v>0</v>
      </c>
      <c r="IO36" s="629">
        <f t="shared" si="81"/>
        <v>0</v>
      </c>
      <c r="IP36" s="330">
        <v>0</v>
      </c>
      <c r="IQ36" s="330">
        <v>0</v>
      </c>
      <c r="IR36" s="629">
        <f t="shared" si="82"/>
        <v>0</v>
      </c>
      <c r="IS36" s="330">
        <v>68</v>
      </c>
      <c r="IT36" s="330">
        <v>9</v>
      </c>
      <c r="IU36" s="629">
        <f t="shared" si="83"/>
        <v>77</v>
      </c>
      <c r="IV36" s="330">
        <v>1</v>
      </c>
      <c r="IW36" s="330">
        <v>0</v>
      </c>
      <c r="IX36" s="629">
        <f t="shared" si="84"/>
        <v>1</v>
      </c>
      <c r="IY36" s="330">
        <v>0</v>
      </c>
      <c r="IZ36" s="330">
        <v>0</v>
      </c>
      <c r="JA36" s="629">
        <f t="shared" si="85"/>
        <v>0</v>
      </c>
      <c r="JB36" s="330">
        <v>0</v>
      </c>
      <c r="JC36" s="330">
        <v>0</v>
      </c>
      <c r="JD36" s="629">
        <f t="shared" si="86"/>
        <v>0</v>
      </c>
      <c r="JE36" s="330">
        <v>1229</v>
      </c>
      <c r="JF36" s="330">
        <v>294</v>
      </c>
      <c r="JG36" s="629">
        <f t="shared" si="87"/>
        <v>1523</v>
      </c>
      <c r="JH36" s="330">
        <v>0</v>
      </c>
      <c r="JI36" s="330">
        <v>0</v>
      </c>
      <c r="JJ36" s="629">
        <f t="shared" si="88"/>
        <v>0</v>
      </c>
      <c r="JK36" s="330">
        <v>0</v>
      </c>
      <c r="JL36" s="330">
        <v>0</v>
      </c>
      <c r="JM36" s="629">
        <f t="shared" si="89"/>
        <v>0</v>
      </c>
      <c r="JN36" s="330">
        <v>0</v>
      </c>
      <c r="JO36" s="330">
        <v>0</v>
      </c>
      <c r="JP36" s="629">
        <f t="shared" si="90"/>
        <v>0</v>
      </c>
      <c r="JQ36" s="330">
        <v>0</v>
      </c>
      <c r="JR36" s="330">
        <v>0</v>
      </c>
      <c r="JS36" s="629">
        <f t="shared" si="91"/>
        <v>0</v>
      </c>
      <c r="JT36" s="330">
        <v>0</v>
      </c>
      <c r="JU36" s="330">
        <v>0</v>
      </c>
      <c r="JV36" s="629">
        <f t="shared" si="92"/>
        <v>0</v>
      </c>
      <c r="JW36" s="330">
        <v>0</v>
      </c>
      <c r="JX36" s="330">
        <v>0</v>
      </c>
      <c r="JY36" s="629">
        <f t="shared" si="93"/>
        <v>0</v>
      </c>
      <c r="JZ36" s="330">
        <v>0</v>
      </c>
      <c r="KA36" s="330">
        <v>0</v>
      </c>
      <c r="KB36" s="629">
        <f t="shared" si="94"/>
        <v>0</v>
      </c>
      <c r="KC36" s="330">
        <v>0</v>
      </c>
      <c r="KD36" s="330">
        <v>0</v>
      </c>
      <c r="KE36" s="629">
        <f t="shared" si="95"/>
        <v>0</v>
      </c>
      <c r="KF36" s="330">
        <v>0</v>
      </c>
      <c r="KG36" s="330">
        <v>0</v>
      </c>
      <c r="KH36" s="629">
        <f t="shared" si="96"/>
        <v>0</v>
      </c>
      <c r="KI36" s="330">
        <v>0</v>
      </c>
      <c r="KJ36" s="330">
        <v>0</v>
      </c>
      <c r="KK36" s="629">
        <f t="shared" si="97"/>
        <v>0</v>
      </c>
      <c r="KL36" s="629">
        <v>0</v>
      </c>
      <c r="KM36" s="629">
        <v>0</v>
      </c>
      <c r="KN36" s="629">
        <f t="shared" si="98"/>
        <v>0</v>
      </c>
      <c r="KO36" s="629">
        <v>0</v>
      </c>
      <c r="KP36" s="629">
        <v>0</v>
      </c>
      <c r="KQ36" s="629">
        <f t="shared" si="99"/>
        <v>0</v>
      </c>
      <c r="KR36" s="629">
        <v>0</v>
      </c>
      <c r="KS36" s="629">
        <v>0</v>
      </c>
      <c r="KT36" s="629">
        <f t="shared" si="100"/>
        <v>0</v>
      </c>
      <c r="KU36" s="629">
        <v>0</v>
      </c>
      <c r="KV36" s="629">
        <v>0</v>
      </c>
      <c r="KW36" s="629">
        <f t="shared" si="101"/>
        <v>0</v>
      </c>
      <c r="KX36" s="629">
        <v>0</v>
      </c>
      <c r="KY36" s="629">
        <v>0</v>
      </c>
      <c r="KZ36" s="629">
        <f t="shared" si="102"/>
        <v>0</v>
      </c>
      <c r="LA36" s="629">
        <v>0</v>
      </c>
      <c r="LB36" s="629">
        <v>0</v>
      </c>
      <c r="LC36" s="629">
        <f t="shared" si="103"/>
        <v>0</v>
      </c>
      <c r="LD36" s="629">
        <v>0</v>
      </c>
      <c r="LE36" s="629">
        <v>0</v>
      </c>
      <c r="LF36" s="629">
        <f t="shared" si="104"/>
        <v>0</v>
      </c>
      <c r="LG36" s="629">
        <v>0</v>
      </c>
      <c r="LH36" s="629">
        <v>0</v>
      </c>
      <c r="LI36" s="629">
        <f t="shared" si="105"/>
        <v>0</v>
      </c>
      <c r="LJ36" s="330">
        <v>0</v>
      </c>
      <c r="LK36" s="330">
        <v>0</v>
      </c>
      <c r="LL36" s="697">
        <f t="shared" si="106"/>
        <v>0</v>
      </c>
    </row>
    <row r="37" spans="1:324" x14ac:dyDescent="0.35">
      <c r="A37" s="696">
        <v>4</v>
      </c>
      <c r="B37" s="387" t="s">
        <v>285</v>
      </c>
      <c r="C37" s="440" t="s">
        <v>83</v>
      </c>
      <c r="D37" s="330">
        <v>7991</v>
      </c>
      <c r="E37" s="330">
        <v>7200</v>
      </c>
      <c r="F37" s="629">
        <f t="shared" si="0"/>
        <v>15191</v>
      </c>
      <c r="G37" s="330">
        <v>11</v>
      </c>
      <c r="H37" s="330">
        <v>13439</v>
      </c>
      <c r="I37" s="629">
        <f t="shared" si="1"/>
        <v>13450</v>
      </c>
      <c r="J37" s="330">
        <v>10156</v>
      </c>
      <c r="K37" s="330">
        <v>8661</v>
      </c>
      <c r="L37" s="629">
        <f t="shared" si="2"/>
        <v>18817</v>
      </c>
      <c r="M37" s="330">
        <v>394</v>
      </c>
      <c r="N37" s="330">
        <v>148</v>
      </c>
      <c r="O37" s="629">
        <f t="shared" si="3"/>
        <v>542</v>
      </c>
      <c r="P37" s="330">
        <v>599</v>
      </c>
      <c r="Q37" s="330">
        <v>484</v>
      </c>
      <c r="R37" s="629">
        <f t="shared" si="4"/>
        <v>1083</v>
      </c>
      <c r="S37" s="330">
        <v>90</v>
      </c>
      <c r="T37" s="330">
        <v>7</v>
      </c>
      <c r="U37" s="629">
        <f t="shared" si="5"/>
        <v>97</v>
      </c>
      <c r="V37" s="330">
        <v>110</v>
      </c>
      <c r="W37" s="330">
        <v>11</v>
      </c>
      <c r="X37" s="629">
        <f t="shared" si="6"/>
        <v>121</v>
      </c>
      <c r="Y37" s="330">
        <v>168</v>
      </c>
      <c r="Z37" s="330">
        <v>55</v>
      </c>
      <c r="AA37" s="629">
        <f t="shared" si="7"/>
        <v>223</v>
      </c>
      <c r="AB37" s="330">
        <v>28</v>
      </c>
      <c r="AC37" s="330">
        <v>9</v>
      </c>
      <c r="AD37" s="629">
        <f t="shared" si="8"/>
        <v>37</v>
      </c>
      <c r="AE37" s="330">
        <v>1</v>
      </c>
      <c r="AF37" s="330">
        <v>0</v>
      </c>
      <c r="AG37" s="629">
        <f t="shared" si="9"/>
        <v>1</v>
      </c>
      <c r="AH37" s="330">
        <v>2</v>
      </c>
      <c r="AI37" s="330">
        <v>0</v>
      </c>
      <c r="AJ37" s="629">
        <f t="shared" si="10"/>
        <v>2</v>
      </c>
      <c r="AK37" s="330">
        <v>7</v>
      </c>
      <c r="AL37" s="330">
        <v>1</v>
      </c>
      <c r="AM37" s="629">
        <f t="shared" si="11"/>
        <v>8</v>
      </c>
      <c r="AN37" s="330">
        <v>19</v>
      </c>
      <c r="AO37" s="330">
        <v>0</v>
      </c>
      <c r="AP37" s="629">
        <f t="shared" si="12"/>
        <v>19</v>
      </c>
      <c r="AQ37" s="330">
        <v>24</v>
      </c>
      <c r="AR37" s="330">
        <v>2</v>
      </c>
      <c r="AS37" s="629">
        <f t="shared" si="13"/>
        <v>26</v>
      </c>
      <c r="AT37" s="330">
        <v>13332</v>
      </c>
      <c r="AU37" s="330">
        <v>6698</v>
      </c>
      <c r="AV37" s="629">
        <f t="shared" si="14"/>
        <v>20030</v>
      </c>
      <c r="AW37" s="330">
        <v>281</v>
      </c>
      <c r="AX37" s="330">
        <v>128</v>
      </c>
      <c r="AY37" s="629">
        <f t="shared" si="15"/>
        <v>409</v>
      </c>
      <c r="AZ37" s="330">
        <v>17</v>
      </c>
      <c r="BA37" s="330">
        <v>12</v>
      </c>
      <c r="BB37" s="629">
        <f t="shared" si="16"/>
        <v>29</v>
      </c>
      <c r="BC37" s="330">
        <v>76</v>
      </c>
      <c r="BD37" s="330">
        <v>32</v>
      </c>
      <c r="BE37" s="629">
        <f t="shared" si="17"/>
        <v>108</v>
      </c>
      <c r="BF37" s="330">
        <v>628</v>
      </c>
      <c r="BG37" s="330">
        <v>48</v>
      </c>
      <c r="BH37" s="629">
        <f t="shared" si="18"/>
        <v>676</v>
      </c>
      <c r="BI37" s="330">
        <v>18</v>
      </c>
      <c r="BJ37" s="330">
        <v>1</v>
      </c>
      <c r="BK37" s="629">
        <f t="shared" si="19"/>
        <v>19</v>
      </c>
      <c r="BL37" s="330">
        <v>0</v>
      </c>
      <c r="BM37" s="330">
        <v>0</v>
      </c>
      <c r="BN37" s="629">
        <f t="shared" si="20"/>
        <v>0</v>
      </c>
      <c r="BO37" s="330">
        <v>0</v>
      </c>
      <c r="BP37" s="330">
        <v>0</v>
      </c>
      <c r="BQ37" s="629">
        <f t="shared" si="21"/>
        <v>0</v>
      </c>
      <c r="BR37" s="330">
        <v>1</v>
      </c>
      <c r="BS37" s="330">
        <v>21</v>
      </c>
      <c r="BT37" s="629">
        <f t="shared" si="22"/>
        <v>22</v>
      </c>
      <c r="BU37" s="330">
        <v>1</v>
      </c>
      <c r="BV37" s="330">
        <v>0</v>
      </c>
      <c r="BW37" s="629">
        <f t="shared" si="23"/>
        <v>1</v>
      </c>
      <c r="BX37" s="330">
        <v>2</v>
      </c>
      <c r="BY37" s="330">
        <v>0</v>
      </c>
      <c r="BZ37" s="629">
        <f t="shared" si="24"/>
        <v>2</v>
      </c>
      <c r="CA37" s="330">
        <v>12</v>
      </c>
      <c r="CB37" s="330">
        <v>0</v>
      </c>
      <c r="CC37" s="629">
        <f t="shared" si="25"/>
        <v>12</v>
      </c>
      <c r="CD37" s="330">
        <v>2</v>
      </c>
      <c r="CE37" s="330">
        <v>0</v>
      </c>
      <c r="CF37" s="629">
        <f t="shared" si="26"/>
        <v>2</v>
      </c>
      <c r="CG37" s="330">
        <v>0</v>
      </c>
      <c r="CH37" s="330">
        <v>0</v>
      </c>
      <c r="CI37" s="629">
        <f t="shared" si="27"/>
        <v>0</v>
      </c>
      <c r="CJ37" s="330">
        <v>5</v>
      </c>
      <c r="CK37" s="330">
        <v>0</v>
      </c>
      <c r="CL37" s="629">
        <f t="shared" si="28"/>
        <v>5</v>
      </c>
      <c r="CM37" s="330">
        <v>6</v>
      </c>
      <c r="CN37" s="330">
        <v>9</v>
      </c>
      <c r="CO37" s="629">
        <f t="shared" si="29"/>
        <v>15</v>
      </c>
      <c r="CP37" s="330">
        <v>1</v>
      </c>
      <c r="CQ37" s="330">
        <v>0</v>
      </c>
      <c r="CR37" s="629">
        <f t="shared" si="30"/>
        <v>1</v>
      </c>
      <c r="CS37" s="330">
        <v>0</v>
      </c>
      <c r="CT37" s="330">
        <v>3</v>
      </c>
      <c r="CU37" s="629">
        <f t="shared" si="31"/>
        <v>3</v>
      </c>
      <c r="CV37" s="330">
        <v>0</v>
      </c>
      <c r="CW37" s="330">
        <v>0</v>
      </c>
      <c r="CX37" s="629">
        <f t="shared" si="32"/>
        <v>0</v>
      </c>
      <c r="CY37" s="330">
        <v>2</v>
      </c>
      <c r="CZ37" s="330">
        <v>4</v>
      </c>
      <c r="DA37" s="629">
        <f t="shared" si="33"/>
        <v>6</v>
      </c>
      <c r="DB37" s="330">
        <v>33</v>
      </c>
      <c r="DC37" s="330">
        <v>0</v>
      </c>
      <c r="DD37" s="629">
        <f t="shared" si="34"/>
        <v>33</v>
      </c>
      <c r="DE37" s="330">
        <v>18</v>
      </c>
      <c r="DF37" s="330">
        <v>4</v>
      </c>
      <c r="DG37" s="629">
        <f t="shared" si="35"/>
        <v>22</v>
      </c>
      <c r="DH37" s="330">
        <v>0</v>
      </c>
      <c r="DI37" s="330">
        <v>0</v>
      </c>
      <c r="DJ37" s="629">
        <f t="shared" si="36"/>
        <v>0</v>
      </c>
      <c r="DK37" s="330">
        <v>1</v>
      </c>
      <c r="DL37" s="330">
        <v>0</v>
      </c>
      <c r="DM37" s="629">
        <f t="shared" si="37"/>
        <v>1</v>
      </c>
      <c r="DN37" s="330">
        <v>0</v>
      </c>
      <c r="DO37" s="330">
        <v>0</v>
      </c>
      <c r="DP37" s="629">
        <f t="shared" si="38"/>
        <v>0</v>
      </c>
      <c r="DQ37" s="330">
        <v>1</v>
      </c>
      <c r="DR37" s="330">
        <v>0</v>
      </c>
      <c r="DS37" s="629">
        <f t="shared" si="39"/>
        <v>1</v>
      </c>
      <c r="DT37" s="330">
        <v>2</v>
      </c>
      <c r="DU37" s="330">
        <v>0</v>
      </c>
      <c r="DV37" s="629">
        <f t="shared" si="40"/>
        <v>2</v>
      </c>
      <c r="DW37" s="330">
        <v>54</v>
      </c>
      <c r="DX37" s="330">
        <v>15</v>
      </c>
      <c r="DY37" s="629">
        <f t="shared" si="41"/>
        <v>69</v>
      </c>
      <c r="DZ37" s="330">
        <v>1</v>
      </c>
      <c r="EA37" s="330">
        <v>1</v>
      </c>
      <c r="EB37" s="629">
        <f t="shared" si="42"/>
        <v>2</v>
      </c>
      <c r="EC37" s="330">
        <v>27</v>
      </c>
      <c r="ED37" s="330">
        <v>5</v>
      </c>
      <c r="EE37" s="629">
        <f t="shared" si="43"/>
        <v>32</v>
      </c>
      <c r="EF37" s="330">
        <v>5</v>
      </c>
      <c r="EG37" s="330">
        <v>1</v>
      </c>
      <c r="EH37" s="629">
        <f t="shared" si="44"/>
        <v>6</v>
      </c>
      <c r="EI37" s="330">
        <v>3</v>
      </c>
      <c r="EJ37" s="330">
        <v>0</v>
      </c>
      <c r="EK37" s="629">
        <f t="shared" si="45"/>
        <v>3</v>
      </c>
      <c r="EL37" s="330">
        <v>0</v>
      </c>
      <c r="EM37" s="330">
        <v>0</v>
      </c>
      <c r="EN37" s="629">
        <f t="shared" si="46"/>
        <v>0</v>
      </c>
      <c r="EO37" s="330">
        <v>0</v>
      </c>
      <c r="EP37" s="330">
        <v>0</v>
      </c>
      <c r="EQ37" s="629">
        <f t="shared" si="47"/>
        <v>0</v>
      </c>
      <c r="ER37" s="330">
        <v>1</v>
      </c>
      <c r="ES37" s="330">
        <v>0</v>
      </c>
      <c r="ET37" s="629">
        <f t="shared" si="48"/>
        <v>1</v>
      </c>
      <c r="EU37" s="330">
        <v>0</v>
      </c>
      <c r="EV37" s="330">
        <v>0</v>
      </c>
      <c r="EW37" s="629">
        <f t="shared" si="49"/>
        <v>0</v>
      </c>
      <c r="EX37" s="330">
        <v>0</v>
      </c>
      <c r="EY37" s="330">
        <v>0</v>
      </c>
      <c r="EZ37" s="629">
        <f t="shared" si="50"/>
        <v>0</v>
      </c>
      <c r="FA37" s="330">
        <v>0</v>
      </c>
      <c r="FB37" s="330">
        <v>0</v>
      </c>
      <c r="FC37" s="629">
        <f t="shared" si="51"/>
        <v>0</v>
      </c>
      <c r="FD37" s="330">
        <v>0</v>
      </c>
      <c r="FE37" s="330">
        <v>0</v>
      </c>
      <c r="FF37" s="629">
        <f t="shared" si="52"/>
        <v>0</v>
      </c>
      <c r="FG37" s="330">
        <v>0</v>
      </c>
      <c r="FH37" s="330">
        <v>0</v>
      </c>
      <c r="FI37" s="629">
        <f t="shared" si="53"/>
        <v>0</v>
      </c>
      <c r="FJ37" s="330">
        <v>0</v>
      </c>
      <c r="FK37" s="330">
        <v>0</v>
      </c>
      <c r="FL37" s="629">
        <f t="shared" si="54"/>
        <v>0</v>
      </c>
      <c r="FM37" s="330">
        <v>0</v>
      </c>
      <c r="FN37" s="330">
        <v>0</v>
      </c>
      <c r="FO37" s="629">
        <f t="shared" si="55"/>
        <v>0</v>
      </c>
      <c r="FP37" s="330">
        <v>0</v>
      </c>
      <c r="FQ37" s="330">
        <v>0</v>
      </c>
      <c r="FR37" s="629">
        <f t="shared" si="56"/>
        <v>0</v>
      </c>
      <c r="FS37" s="330">
        <v>0</v>
      </c>
      <c r="FT37" s="330">
        <v>0</v>
      </c>
      <c r="FU37" s="629">
        <f t="shared" si="57"/>
        <v>0</v>
      </c>
      <c r="FV37" s="330">
        <v>0</v>
      </c>
      <c r="FW37" s="330">
        <v>0</v>
      </c>
      <c r="FX37" s="629">
        <f t="shared" si="58"/>
        <v>0</v>
      </c>
      <c r="FY37" s="330">
        <v>0</v>
      </c>
      <c r="FZ37" s="330">
        <v>0</v>
      </c>
      <c r="GA37" s="629">
        <f t="shared" si="59"/>
        <v>0</v>
      </c>
      <c r="GB37" s="330">
        <v>0</v>
      </c>
      <c r="GC37" s="330">
        <v>0</v>
      </c>
      <c r="GD37" s="629">
        <f t="shared" si="60"/>
        <v>0</v>
      </c>
      <c r="GE37" s="330">
        <v>0</v>
      </c>
      <c r="GF37" s="330">
        <v>0</v>
      </c>
      <c r="GG37" s="629">
        <f t="shared" si="61"/>
        <v>0</v>
      </c>
      <c r="GH37" s="330">
        <v>1</v>
      </c>
      <c r="GI37" s="330">
        <v>0</v>
      </c>
      <c r="GJ37" s="629">
        <f t="shared" si="62"/>
        <v>1</v>
      </c>
      <c r="GK37" s="330">
        <v>44</v>
      </c>
      <c r="GL37" s="330">
        <v>39</v>
      </c>
      <c r="GM37" s="629">
        <f t="shared" si="63"/>
        <v>83</v>
      </c>
      <c r="GN37" s="330">
        <v>231</v>
      </c>
      <c r="GO37" s="330">
        <v>652</v>
      </c>
      <c r="GP37" s="629">
        <f t="shared" si="64"/>
        <v>883</v>
      </c>
      <c r="GQ37" s="330">
        <v>5</v>
      </c>
      <c r="GR37" s="330">
        <v>0</v>
      </c>
      <c r="GS37" s="629">
        <f t="shared" si="65"/>
        <v>5</v>
      </c>
      <c r="GT37" s="330">
        <v>22</v>
      </c>
      <c r="GU37" s="330">
        <v>11</v>
      </c>
      <c r="GV37" s="629">
        <f t="shared" si="66"/>
        <v>33</v>
      </c>
      <c r="GW37" s="330">
        <v>3</v>
      </c>
      <c r="GX37" s="330">
        <v>1</v>
      </c>
      <c r="GY37" s="629">
        <f t="shared" si="67"/>
        <v>4</v>
      </c>
      <c r="GZ37" s="330">
        <v>6</v>
      </c>
      <c r="HA37" s="330">
        <v>1</v>
      </c>
      <c r="HB37" s="629">
        <f t="shared" si="68"/>
        <v>7</v>
      </c>
      <c r="HC37" s="330">
        <v>0</v>
      </c>
      <c r="HD37" s="330">
        <v>1</v>
      </c>
      <c r="HE37" s="629">
        <f t="shared" si="69"/>
        <v>1</v>
      </c>
      <c r="HF37" s="330">
        <v>12</v>
      </c>
      <c r="HG37" s="330">
        <v>2</v>
      </c>
      <c r="HH37" s="629">
        <f t="shared" si="70"/>
        <v>14</v>
      </c>
      <c r="HI37" s="330">
        <v>60</v>
      </c>
      <c r="HJ37" s="330">
        <v>146</v>
      </c>
      <c r="HK37" s="629">
        <f t="shared" si="71"/>
        <v>206</v>
      </c>
      <c r="HL37" s="330">
        <v>0</v>
      </c>
      <c r="HM37" s="330">
        <v>54</v>
      </c>
      <c r="HN37" s="629">
        <f t="shared" si="72"/>
        <v>54</v>
      </c>
      <c r="HO37" s="330">
        <v>7</v>
      </c>
      <c r="HP37" s="330">
        <v>92</v>
      </c>
      <c r="HQ37" s="629">
        <f t="shared" si="73"/>
        <v>99</v>
      </c>
      <c r="HR37" s="330">
        <v>3</v>
      </c>
      <c r="HS37" s="330">
        <v>23</v>
      </c>
      <c r="HT37" s="629">
        <f t="shared" si="74"/>
        <v>26</v>
      </c>
      <c r="HU37" s="330">
        <v>0</v>
      </c>
      <c r="HV37" s="330">
        <v>4</v>
      </c>
      <c r="HW37" s="629">
        <f t="shared" si="75"/>
        <v>4</v>
      </c>
      <c r="HX37" s="330">
        <v>0</v>
      </c>
      <c r="HY37" s="330">
        <v>0</v>
      </c>
      <c r="HZ37" s="629">
        <f t="shared" si="76"/>
        <v>0</v>
      </c>
      <c r="IA37" s="330">
        <v>0</v>
      </c>
      <c r="IB37" s="330">
        <v>0</v>
      </c>
      <c r="IC37" s="629">
        <f t="shared" si="77"/>
        <v>0</v>
      </c>
      <c r="ID37" s="330">
        <v>86</v>
      </c>
      <c r="IE37" s="330">
        <v>1</v>
      </c>
      <c r="IF37" s="629">
        <f t="shared" si="78"/>
        <v>87</v>
      </c>
      <c r="IG37" s="330">
        <v>0</v>
      </c>
      <c r="IH37" s="330">
        <v>1</v>
      </c>
      <c r="II37" s="629">
        <f t="shared" si="79"/>
        <v>1</v>
      </c>
      <c r="IJ37" s="330">
        <v>106</v>
      </c>
      <c r="IK37" s="330">
        <v>0</v>
      </c>
      <c r="IL37" s="629">
        <f t="shared" si="80"/>
        <v>106</v>
      </c>
      <c r="IM37" s="330">
        <v>0</v>
      </c>
      <c r="IN37" s="330">
        <v>1</v>
      </c>
      <c r="IO37" s="629">
        <f t="shared" si="81"/>
        <v>1</v>
      </c>
      <c r="IP37" s="330">
        <v>0</v>
      </c>
      <c r="IQ37" s="330">
        <v>0</v>
      </c>
      <c r="IR37" s="629">
        <f t="shared" si="82"/>
        <v>0</v>
      </c>
      <c r="IS37" s="330">
        <v>214</v>
      </c>
      <c r="IT37" s="330">
        <v>70</v>
      </c>
      <c r="IU37" s="629">
        <f t="shared" si="83"/>
        <v>284</v>
      </c>
      <c r="IV37" s="330">
        <v>3</v>
      </c>
      <c r="IW37" s="330">
        <v>1</v>
      </c>
      <c r="IX37" s="629">
        <f t="shared" si="84"/>
        <v>4</v>
      </c>
      <c r="IY37" s="330">
        <v>0</v>
      </c>
      <c r="IZ37" s="330">
        <v>0</v>
      </c>
      <c r="JA37" s="629">
        <f t="shared" si="85"/>
        <v>0</v>
      </c>
      <c r="JB37" s="330">
        <v>1</v>
      </c>
      <c r="JC37" s="330">
        <v>6</v>
      </c>
      <c r="JD37" s="629">
        <f t="shared" si="86"/>
        <v>7</v>
      </c>
      <c r="JE37" s="330">
        <v>3824</v>
      </c>
      <c r="JF37" s="330">
        <v>991</v>
      </c>
      <c r="JG37" s="629">
        <f t="shared" si="87"/>
        <v>4815</v>
      </c>
      <c r="JH37" s="330">
        <v>0</v>
      </c>
      <c r="JI37" s="330">
        <v>3</v>
      </c>
      <c r="JJ37" s="629">
        <f t="shared" si="88"/>
        <v>3</v>
      </c>
      <c r="JK37" s="330">
        <v>0</v>
      </c>
      <c r="JL37" s="330">
        <v>0</v>
      </c>
      <c r="JM37" s="629">
        <f t="shared" si="89"/>
        <v>0</v>
      </c>
      <c r="JN37" s="330">
        <v>0</v>
      </c>
      <c r="JO37" s="330">
        <v>0</v>
      </c>
      <c r="JP37" s="629">
        <f t="shared" si="90"/>
        <v>0</v>
      </c>
      <c r="JQ37" s="330">
        <v>0</v>
      </c>
      <c r="JR37" s="330">
        <v>0</v>
      </c>
      <c r="JS37" s="629">
        <f t="shared" si="91"/>
        <v>0</v>
      </c>
      <c r="JT37" s="330">
        <v>0</v>
      </c>
      <c r="JU37" s="330">
        <v>0</v>
      </c>
      <c r="JV37" s="629">
        <f t="shared" si="92"/>
        <v>0</v>
      </c>
      <c r="JW37" s="330">
        <v>0</v>
      </c>
      <c r="JX37" s="330">
        <v>0</v>
      </c>
      <c r="JY37" s="629">
        <f t="shared" si="93"/>
        <v>0</v>
      </c>
      <c r="JZ37" s="330">
        <v>0</v>
      </c>
      <c r="KA37" s="330">
        <v>0</v>
      </c>
      <c r="KB37" s="629">
        <f t="shared" si="94"/>
        <v>0</v>
      </c>
      <c r="KC37" s="330">
        <v>0</v>
      </c>
      <c r="KD37" s="330">
        <v>0</v>
      </c>
      <c r="KE37" s="629">
        <f t="shared" si="95"/>
        <v>0</v>
      </c>
      <c r="KF37" s="330">
        <v>0</v>
      </c>
      <c r="KG37" s="330">
        <v>0</v>
      </c>
      <c r="KH37" s="629">
        <f t="shared" si="96"/>
        <v>0</v>
      </c>
      <c r="KI37" s="330">
        <v>0</v>
      </c>
      <c r="KJ37" s="330">
        <v>0</v>
      </c>
      <c r="KK37" s="629">
        <f t="shared" si="97"/>
        <v>0</v>
      </c>
      <c r="KL37" s="629">
        <v>0</v>
      </c>
      <c r="KM37" s="629">
        <v>0</v>
      </c>
      <c r="KN37" s="629">
        <f t="shared" si="98"/>
        <v>0</v>
      </c>
      <c r="KO37" s="629">
        <v>0</v>
      </c>
      <c r="KP37" s="629">
        <v>0</v>
      </c>
      <c r="KQ37" s="629">
        <f t="shared" si="99"/>
        <v>0</v>
      </c>
      <c r="KR37" s="629">
        <v>0</v>
      </c>
      <c r="KS37" s="629">
        <v>0</v>
      </c>
      <c r="KT37" s="629">
        <f t="shared" si="100"/>
        <v>0</v>
      </c>
      <c r="KU37" s="629">
        <v>0</v>
      </c>
      <c r="KV37" s="629">
        <v>0</v>
      </c>
      <c r="KW37" s="629">
        <f t="shared" si="101"/>
        <v>0</v>
      </c>
      <c r="KX37" s="629">
        <v>0</v>
      </c>
      <c r="KY37" s="629">
        <v>0</v>
      </c>
      <c r="KZ37" s="629">
        <f t="shared" si="102"/>
        <v>0</v>
      </c>
      <c r="LA37" s="629">
        <v>0</v>
      </c>
      <c r="LB37" s="629">
        <v>0</v>
      </c>
      <c r="LC37" s="629">
        <f t="shared" si="103"/>
        <v>0</v>
      </c>
      <c r="LD37" s="629">
        <v>0</v>
      </c>
      <c r="LE37" s="629">
        <v>0</v>
      </c>
      <c r="LF37" s="629">
        <f t="shared" si="104"/>
        <v>0</v>
      </c>
      <c r="LG37" s="629">
        <v>0</v>
      </c>
      <c r="LH37" s="629">
        <v>0</v>
      </c>
      <c r="LI37" s="629">
        <f t="shared" si="105"/>
        <v>0</v>
      </c>
      <c r="LJ37" s="330">
        <v>0</v>
      </c>
      <c r="LK37" s="330">
        <v>0</v>
      </c>
      <c r="LL37" s="697">
        <f t="shared" si="106"/>
        <v>0</v>
      </c>
    </row>
    <row r="38" spans="1:324" ht="15" thickBot="1" x14ac:dyDescent="0.4">
      <c r="A38" s="698">
        <v>4</v>
      </c>
      <c r="B38" s="391" t="s">
        <v>286</v>
      </c>
      <c r="C38" s="443" t="s">
        <v>85</v>
      </c>
      <c r="D38" s="337">
        <v>3722</v>
      </c>
      <c r="E38" s="337">
        <v>3276</v>
      </c>
      <c r="F38" s="699">
        <f t="shared" si="0"/>
        <v>6998</v>
      </c>
      <c r="G38" s="337">
        <v>2</v>
      </c>
      <c r="H38" s="337">
        <v>5849</v>
      </c>
      <c r="I38" s="699">
        <f t="shared" si="1"/>
        <v>5851</v>
      </c>
      <c r="J38" s="337">
        <v>3779</v>
      </c>
      <c r="K38" s="337">
        <v>3147</v>
      </c>
      <c r="L38" s="699">
        <f t="shared" si="2"/>
        <v>6926</v>
      </c>
      <c r="M38" s="337">
        <v>107</v>
      </c>
      <c r="N38" s="337">
        <v>31</v>
      </c>
      <c r="O38" s="699">
        <f t="shared" si="3"/>
        <v>138</v>
      </c>
      <c r="P38" s="337">
        <v>128</v>
      </c>
      <c r="Q38" s="337">
        <v>116</v>
      </c>
      <c r="R38" s="699">
        <f t="shared" si="4"/>
        <v>244</v>
      </c>
      <c r="S38" s="337">
        <v>23</v>
      </c>
      <c r="T38" s="337">
        <v>1</v>
      </c>
      <c r="U38" s="699">
        <f t="shared" si="5"/>
        <v>24</v>
      </c>
      <c r="V38" s="337">
        <v>23</v>
      </c>
      <c r="W38" s="337">
        <v>2</v>
      </c>
      <c r="X38" s="699">
        <f t="shared" si="6"/>
        <v>25</v>
      </c>
      <c r="Y38" s="337">
        <v>113</v>
      </c>
      <c r="Z38" s="337">
        <v>27</v>
      </c>
      <c r="AA38" s="699">
        <f t="shared" si="7"/>
        <v>140</v>
      </c>
      <c r="AB38" s="337">
        <v>13</v>
      </c>
      <c r="AC38" s="337">
        <v>5</v>
      </c>
      <c r="AD38" s="699">
        <f t="shared" si="8"/>
        <v>18</v>
      </c>
      <c r="AE38" s="337">
        <v>1</v>
      </c>
      <c r="AF38" s="337">
        <v>0</v>
      </c>
      <c r="AG38" s="699">
        <f t="shared" si="9"/>
        <v>1</v>
      </c>
      <c r="AH38" s="337">
        <v>1</v>
      </c>
      <c r="AI38" s="337">
        <v>0</v>
      </c>
      <c r="AJ38" s="699">
        <f t="shared" si="10"/>
        <v>1</v>
      </c>
      <c r="AK38" s="337">
        <v>47</v>
      </c>
      <c r="AL38" s="337">
        <v>15</v>
      </c>
      <c r="AM38" s="699">
        <f t="shared" si="11"/>
        <v>62</v>
      </c>
      <c r="AN38" s="337">
        <v>9</v>
      </c>
      <c r="AO38" s="337">
        <v>1</v>
      </c>
      <c r="AP38" s="699">
        <f t="shared" si="12"/>
        <v>10</v>
      </c>
      <c r="AQ38" s="337">
        <v>20</v>
      </c>
      <c r="AR38" s="337">
        <v>0</v>
      </c>
      <c r="AS38" s="699">
        <f t="shared" si="13"/>
        <v>20</v>
      </c>
      <c r="AT38" s="337">
        <v>5215</v>
      </c>
      <c r="AU38" s="337">
        <v>2204</v>
      </c>
      <c r="AV38" s="699">
        <f t="shared" si="14"/>
        <v>7419</v>
      </c>
      <c r="AW38" s="337">
        <v>45</v>
      </c>
      <c r="AX38" s="337">
        <v>15</v>
      </c>
      <c r="AY38" s="699">
        <f t="shared" si="15"/>
        <v>60</v>
      </c>
      <c r="AZ38" s="337">
        <v>6</v>
      </c>
      <c r="BA38" s="337">
        <v>4</v>
      </c>
      <c r="BB38" s="699">
        <f t="shared" si="16"/>
        <v>10</v>
      </c>
      <c r="BC38" s="337">
        <v>28</v>
      </c>
      <c r="BD38" s="337">
        <v>20</v>
      </c>
      <c r="BE38" s="699">
        <f t="shared" si="17"/>
        <v>48</v>
      </c>
      <c r="BF38" s="337">
        <v>415</v>
      </c>
      <c r="BG38" s="337">
        <v>27</v>
      </c>
      <c r="BH38" s="699">
        <f t="shared" si="18"/>
        <v>442</v>
      </c>
      <c r="BI38" s="337">
        <v>16</v>
      </c>
      <c r="BJ38" s="337">
        <v>0</v>
      </c>
      <c r="BK38" s="699">
        <f t="shared" si="19"/>
        <v>16</v>
      </c>
      <c r="BL38" s="337">
        <v>2</v>
      </c>
      <c r="BM38" s="337">
        <v>0</v>
      </c>
      <c r="BN38" s="699">
        <f t="shared" si="20"/>
        <v>2</v>
      </c>
      <c r="BO38" s="337">
        <v>1</v>
      </c>
      <c r="BP38" s="337">
        <v>0</v>
      </c>
      <c r="BQ38" s="699">
        <f t="shared" si="21"/>
        <v>1</v>
      </c>
      <c r="BR38" s="337">
        <v>0</v>
      </c>
      <c r="BS38" s="337">
        <v>6</v>
      </c>
      <c r="BT38" s="699">
        <f t="shared" si="22"/>
        <v>6</v>
      </c>
      <c r="BU38" s="337">
        <v>1</v>
      </c>
      <c r="BV38" s="337">
        <v>0</v>
      </c>
      <c r="BW38" s="699">
        <f t="shared" si="23"/>
        <v>1</v>
      </c>
      <c r="BX38" s="337">
        <v>0</v>
      </c>
      <c r="BY38" s="337">
        <v>0</v>
      </c>
      <c r="BZ38" s="699">
        <f t="shared" si="24"/>
        <v>0</v>
      </c>
      <c r="CA38" s="337">
        <v>1</v>
      </c>
      <c r="CB38" s="337">
        <v>0</v>
      </c>
      <c r="CC38" s="699">
        <f t="shared" si="25"/>
        <v>1</v>
      </c>
      <c r="CD38" s="337">
        <v>0</v>
      </c>
      <c r="CE38" s="337">
        <v>0</v>
      </c>
      <c r="CF38" s="699">
        <f t="shared" si="26"/>
        <v>0</v>
      </c>
      <c r="CG38" s="337">
        <v>0</v>
      </c>
      <c r="CH38" s="337">
        <v>0</v>
      </c>
      <c r="CI38" s="699">
        <f t="shared" si="27"/>
        <v>0</v>
      </c>
      <c r="CJ38" s="337">
        <v>1</v>
      </c>
      <c r="CK38" s="337">
        <v>0</v>
      </c>
      <c r="CL38" s="699">
        <f t="shared" si="28"/>
        <v>1</v>
      </c>
      <c r="CM38" s="337">
        <v>4</v>
      </c>
      <c r="CN38" s="337">
        <v>2</v>
      </c>
      <c r="CO38" s="699">
        <f t="shared" si="29"/>
        <v>6</v>
      </c>
      <c r="CP38" s="337">
        <v>0</v>
      </c>
      <c r="CQ38" s="337">
        <v>0</v>
      </c>
      <c r="CR38" s="699">
        <f t="shared" si="30"/>
        <v>0</v>
      </c>
      <c r="CS38" s="337">
        <v>0</v>
      </c>
      <c r="CT38" s="337">
        <v>0</v>
      </c>
      <c r="CU38" s="699">
        <f t="shared" si="31"/>
        <v>0</v>
      </c>
      <c r="CV38" s="337">
        <v>0</v>
      </c>
      <c r="CW38" s="337">
        <v>0</v>
      </c>
      <c r="CX38" s="699">
        <f t="shared" si="32"/>
        <v>0</v>
      </c>
      <c r="CY38" s="337">
        <v>0</v>
      </c>
      <c r="CZ38" s="337">
        <v>0</v>
      </c>
      <c r="DA38" s="699">
        <f t="shared" si="33"/>
        <v>0</v>
      </c>
      <c r="DB38" s="337">
        <v>1</v>
      </c>
      <c r="DC38" s="337">
        <v>0</v>
      </c>
      <c r="DD38" s="699">
        <f t="shared" si="34"/>
        <v>1</v>
      </c>
      <c r="DE38" s="337">
        <v>7</v>
      </c>
      <c r="DF38" s="337">
        <v>1</v>
      </c>
      <c r="DG38" s="699">
        <f t="shared" si="35"/>
        <v>8</v>
      </c>
      <c r="DH38" s="337">
        <v>0</v>
      </c>
      <c r="DI38" s="337">
        <v>0</v>
      </c>
      <c r="DJ38" s="699">
        <f t="shared" si="36"/>
        <v>0</v>
      </c>
      <c r="DK38" s="337">
        <v>0</v>
      </c>
      <c r="DL38" s="337">
        <v>0</v>
      </c>
      <c r="DM38" s="699">
        <f t="shared" si="37"/>
        <v>0</v>
      </c>
      <c r="DN38" s="337">
        <v>0</v>
      </c>
      <c r="DO38" s="337">
        <v>0</v>
      </c>
      <c r="DP38" s="699">
        <f t="shared" si="38"/>
        <v>0</v>
      </c>
      <c r="DQ38" s="337">
        <v>0</v>
      </c>
      <c r="DR38" s="337">
        <v>0</v>
      </c>
      <c r="DS38" s="699">
        <f t="shared" si="39"/>
        <v>0</v>
      </c>
      <c r="DT38" s="337">
        <v>0</v>
      </c>
      <c r="DU38" s="337">
        <v>0</v>
      </c>
      <c r="DV38" s="699">
        <f t="shared" si="40"/>
        <v>0</v>
      </c>
      <c r="DW38" s="337">
        <v>4</v>
      </c>
      <c r="DX38" s="337">
        <v>4</v>
      </c>
      <c r="DY38" s="699">
        <f t="shared" si="41"/>
        <v>8</v>
      </c>
      <c r="DZ38" s="337">
        <v>0</v>
      </c>
      <c r="EA38" s="337">
        <v>0</v>
      </c>
      <c r="EB38" s="699">
        <f t="shared" si="42"/>
        <v>0</v>
      </c>
      <c r="EC38" s="337">
        <v>1</v>
      </c>
      <c r="ED38" s="337">
        <v>0</v>
      </c>
      <c r="EE38" s="699">
        <f t="shared" si="43"/>
        <v>1</v>
      </c>
      <c r="EF38" s="337">
        <v>5</v>
      </c>
      <c r="EG38" s="337">
        <v>1</v>
      </c>
      <c r="EH38" s="699">
        <f t="shared" si="44"/>
        <v>6</v>
      </c>
      <c r="EI38" s="337">
        <v>0</v>
      </c>
      <c r="EJ38" s="337">
        <v>0</v>
      </c>
      <c r="EK38" s="699">
        <f t="shared" si="45"/>
        <v>0</v>
      </c>
      <c r="EL38" s="337">
        <v>0</v>
      </c>
      <c r="EM38" s="337">
        <v>0</v>
      </c>
      <c r="EN38" s="699">
        <f t="shared" si="46"/>
        <v>0</v>
      </c>
      <c r="EO38" s="337">
        <v>0</v>
      </c>
      <c r="EP38" s="337">
        <v>0</v>
      </c>
      <c r="EQ38" s="699">
        <f t="shared" si="47"/>
        <v>0</v>
      </c>
      <c r="ER38" s="337">
        <v>0</v>
      </c>
      <c r="ES38" s="337">
        <v>0</v>
      </c>
      <c r="ET38" s="699">
        <f t="shared" si="48"/>
        <v>0</v>
      </c>
      <c r="EU38" s="337">
        <v>0</v>
      </c>
      <c r="EV38" s="337">
        <v>0</v>
      </c>
      <c r="EW38" s="699">
        <f t="shared" si="49"/>
        <v>0</v>
      </c>
      <c r="EX38" s="337">
        <v>0</v>
      </c>
      <c r="EY38" s="337">
        <v>0</v>
      </c>
      <c r="EZ38" s="699">
        <f t="shared" si="50"/>
        <v>0</v>
      </c>
      <c r="FA38" s="337">
        <v>0</v>
      </c>
      <c r="FB38" s="337">
        <v>0</v>
      </c>
      <c r="FC38" s="699">
        <f t="shared" si="51"/>
        <v>0</v>
      </c>
      <c r="FD38" s="337">
        <v>0</v>
      </c>
      <c r="FE38" s="337">
        <v>0</v>
      </c>
      <c r="FF38" s="699">
        <f t="shared" si="52"/>
        <v>0</v>
      </c>
      <c r="FG38" s="337">
        <v>0</v>
      </c>
      <c r="FH38" s="337">
        <v>0</v>
      </c>
      <c r="FI38" s="699">
        <f t="shared" si="53"/>
        <v>0</v>
      </c>
      <c r="FJ38" s="337">
        <v>0</v>
      </c>
      <c r="FK38" s="337">
        <v>0</v>
      </c>
      <c r="FL38" s="699">
        <f t="shared" si="54"/>
        <v>0</v>
      </c>
      <c r="FM38" s="337">
        <v>0</v>
      </c>
      <c r="FN38" s="337">
        <v>0</v>
      </c>
      <c r="FO38" s="699">
        <f t="shared" si="55"/>
        <v>0</v>
      </c>
      <c r="FP38" s="337">
        <v>0</v>
      </c>
      <c r="FQ38" s="337">
        <v>0</v>
      </c>
      <c r="FR38" s="699">
        <f t="shared" si="56"/>
        <v>0</v>
      </c>
      <c r="FS38" s="337">
        <v>0</v>
      </c>
      <c r="FT38" s="337">
        <v>0</v>
      </c>
      <c r="FU38" s="699">
        <f t="shared" si="57"/>
        <v>0</v>
      </c>
      <c r="FV38" s="337">
        <v>0</v>
      </c>
      <c r="FW38" s="337">
        <v>0</v>
      </c>
      <c r="FX38" s="699">
        <f t="shared" si="58"/>
        <v>0</v>
      </c>
      <c r="FY38" s="337">
        <v>0</v>
      </c>
      <c r="FZ38" s="337">
        <v>0</v>
      </c>
      <c r="GA38" s="699">
        <f t="shared" si="59"/>
        <v>0</v>
      </c>
      <c r="GB38" s="337">
        <v>0</v>
      </c>
      <c r="GC38" s="337">
        <v>0</v>
      </c>
      <c r="GD38" s="699">
        <f t="shared" si="60"/>
        <v>0</v>
      </c>
      <c r="GE38" s="337">
        <v>0</v>
      </c>
      <c r="GF38" s="337">
        <v>0</v>
      </c>
      <c r="GG38" s="699">
        <f t="shared" si="61"/>
        <v>0</v>
      </c>
      <c r="GH38" s="337">
        <v>0</v>
      </c>
      <c r="GI38" s="337">
        <v>0</v>
      </c>
      <c r="GJ38" s="699">
        <f t="shared" si="62"/>
        <v>0</v>
      </c>
      <c r="GK38" s="337">
        <v>5</v>
      </c>
      <c r="GL38" s="337">
        <v>4</v>
      </c>
      <c r="GM38" s="699">
        <f t="shared" si="63"/>
        <v>9</v>
      </c>
      <c r="GN38" s="337">
        <v>49</v>
      </c>
      <c r="GO38" s="337">
        <v>156</v>
      </c>
      <c r="GP38" s="699">
        <f t="shared" si="64"/>
        <v>205</v>
      </c>
      <c r="GQ38" s="337">
        <v>1</v>
      </c>
      <c r="GR38" s="337">
        <v>0</v>
      </c>
      <c r="GS38" s="699">
        <f t="shared" si="65"/>
        <v>1</v>
      </c>
      <c r="GT38" s="337">
        <v>3</v>
      </c>
      <c r="GU38" s="337">
        <v>2</v>
      </c>
      <c r="GV38" s="699">
        <f t="shared" si="66"/>
        <v>5</v>
      </c>
      <c r="GW38" s="337">
        <v>0</v>
      </c>
      <c r="GX38" s="337">
        <v>0</v>
      </c>
      <c r="GY38" s="699">
        <f t="shared" si="67"/>
        <v>0</v>
      </c>
      <c r="GZ38" s="337">
        <v>0</v>
      </c>
      <c r="HA38" s="337">
        <v>0</v>
      </c>
      <c r="HB38" s="699">
        <f t="shared" si="68"/>
        <v>0</v>
      </c>
      <c r="HC38" s="337">
        <v>1</v>
      </c>
      <c r="HD38" s="337">
        <v>0</v>
      </c>
      <c r="HE38" s="699">
        <f t="shared" si="69"/>
        <v>1</v>
      </c>
      <c r="HF38" s="337">
        <v>0</v>
      </c>
      <c r="HG38" s="337">
        <v>0</v>
      </c>
      <c r="HH38" s="699">
        <f t="shared" si="70"/>
        <v>0</v>
      </c>
      <c r="HI38" s="337">
        <v>17</v>
      </c>
      <c r="HJ38" s="337">
        <v>17</v>
      </c>
      <c r="HK38" s="699">
        <f t="shared" si="71"/>
        <v>34</v>
      </c>
      <c r="HL38" s="337">
        <v>0</v>
      </c>
      <c r="HM38" s="337">
        <v>14</v>
      </c>
      <c r="HN38" s="699">
        <f t="shared" si="72"/>
        <v>14</v>
      </c>
      <c r="HO38" s="337">
        <v>4</v>
      </c>
      <c r="HP38" s="337">
        <v>32</v>
      </c>
      <c r="HQ38" s="699">
        <f t="shared" si="73"/>
        <v>36</v>
      </c>
      <c r="HR38" s="337">
        <v>0</v>
      </c>
      <c r="HS38" s="337">
        <v>2</v>
      </c>
      <c r="HT38" s="699">
        <f t="shared" si="74"/>
        <v>2</v>
      </c>
      <c r="HU38" s="337">
        <v>0</v>
      </c>
      <c r="HV38" s="337">
        <v>0</v>
      </c>
      <c r="HW38" s="699">
        <f t="shared" si="75"/>
        <v>0</v>
      </c>
      <c r="HX38" s="337">
        <v>0</v>
      </c>
      <c r="HY38" s="337">
        <v>0</v>
      </c>
      <c r="HZ38" s="699">
        <f t="shared" si="76"/>
        <v>0</v>
      </c>
      <c r="IA38" s="337">
        <v>0</v>
      </c>
      <c r="IB38" s="337">
        <v>0</v>
      </c>
      <c r="IC38" s="699">
        <f t="shared" si="77"/>
        <v>0</v>
      </c>
      <c r="ID38" s="337">
        <v>13</v>
      </c>
      <c r="IE38" s="337">
        <v>0</v>
      </c>
      <c r="IF38" s="699">
        <f t="shared" si="78"/>
        <v>13</v>
      </c>
      <c r="IG38" s="337">
        <v>1</v>
      </c>
      <c r="IH38" s="337">
        <v>0</v>
      </c>
      <c r="II38" s="699">
        <f t="shared" si="79"/>
        <v>1</v>
      </c>
      <c r="IJ38" s="337">
        <v>48</v>
      </c>
      <c r="IK38" s="337">
        <v>0</v>
      </c>
      <c r="IL38" s="699">
        <f t="shared" si="80"/>
        <v>48</v>
      </c>
      <c r="IM38" s="337">
        <v>0</v>
      </c>
      <c r="IN38" s="337">
        <v>0</v>
      </c>
      <c r="IO38" s="699">
        <f t="shared" si="81"/>
        <v>0</v>
      </c>
      <c r="IP38" s="337">
        <v>0</v>
      </c>
      <c r="IQ38" s="337">
        <v>0</v>
      </c>
      <c r="IR38" s="699">
        <f t="shared" si="82"/>
        <v>0</v>
      </c>
      <c r="IS38" s="337">
        <v>85</v>
      </c>
      <c r="IT38" s="337">
        <v>24</v>
      </c>
      <c r="IU38" s="699">
        <f t="shared" si="83"/>
        <v>109</v>
      </c>
      <c r="IV38" s="337">
        <v>0</v>
      </c>
      <c r="IW38" s="337">
        <v>0</v>
      </c>
      <c r="IX38" s="699">
        <f t="shared" si="84"/>
        <v>0</v>
      </c>
      <c r="IY38" s="337">
        <v>0</v>
      </c>
      <c r="IZ38" s="337">
        <v>0</v>
      </c>
      <c r="JA38" s="699">
        <f t="shared" si="85"/>
        <v>0</v>
      </c>
      <c r="JB38" s="337">
        <v>0</v>
      </c>
      <c r="JC38" s="337">
        <v>0</v>
      </c>
      <c r="JD38" s="699">
        <f t="shared" si="86"/>
        <v>0</v>
      </c>
      <c r="JE38" s="337">
        <v>1763</v>
      </c>
      <c r="JF38" s="337">
        <v>313</v>
      </c>
      <c r="JG38" s="699">
        <f t="shared" si="87"/>
        <v>2076</v>
      </c>
      <c r="JH38" s="337">
        <v>0</v>
      </c>
      <c r="JI38" s="337">
        <v>0</v>
      </c>
      <c r="JJ38" s="699">
        <f t="shared" si="88"/>
        <v>0</v>
      </c>
      <c r="JK38" s="337">
        <v>0</v>
      </c>
      <c r="JL38" s="337">
        <v>0</v>
      </c>
      <c r="JM38" s="699">
        <f t="shared" si="89"/>
        <v>0</v>
      </c>
      <c r="JN38" s="337">
        <v>0</v>
      </c>
      <c r="JO38" s="337">
        <v>0</v>
      </c>
      <c r="JP38" s="699">
        <f t="shared" si="90"/>
        <v>0</v>
      </c>
      <c r="JQ38" s="337">
        <v>0</v>
      </c>
      <c r="JR38" s="337">
        <v>0</v>
      </c>
      <c r="JS38" s="699">
        <f t="shared" si="91"/>
        <v>0</v>
      </c>
      <c r="JT38" s="337">
        <v>0</v>
      </c>
      <c r="JU38" s="337">
        <v>0</v>
      </c>
      <c r="JV38" s="699">
        <f t="shared" si="92"/>
        <v>0</v>
      </c>
      <c r="JW38" s="337">
        <v>0</v>
      </c>
      <c r="JX38" s="337">
        <v>0</v>
      </c>
      <c r="JY38" s="699">
        <f t="shared" si="93"/>
        <v>0</v>
      </c>
      <c r="JZ38" s="337">
        <v>0</v>
      </c>
      <c r="KA38" s="337">
        <v>0</v>
      </c>
      <c r="KB38" s="699">
        <f t="shared" si="94"/>
        <v>0</v>
      </c>
      <c r="KC38" s="337">
        <v>0</v>
      </c>
      <c r="KD38" s="337">
        <v>0</v>
      </c>
      <c r="KE38" s="699">
        <f t="shared" si="95"/>
        <v>0</v>
      </c>
      <c r="KF38" s="337">
        <v>0</v>
      </c>
      <c r="KG38" s="337">
        <v>0</v>
      </c>
      <c r="KH38" s="699">
        <f t="shared" si="96"/>
        <v>0</v>
      </c>
      <c r="KI38" s="337">
        <v>0</v>
      </c>
      <c r="KJ38" s="337">
        <v>0</v>
      </c>
      <c r="KK38" s="699">
        <f t="shared" si="97"/>
        <v>0</v>
      </c>
      <c r="KL38" s="699">
        <v>0</v>
      </c>
      <c r="KM38" s="699">
        <v>0</v>
      </c>
      <c r="KN38" s="699">
        <f t="shared" si="98"/>
        <v>0</v>
      </c>
      <c r="KO38" s="699">
        <v>0</v>
      </c>
      <c r="KP38" s="699">
        <v>0</v>
      </c>
      <c r="KQ38" s="699">
        <f t="shared" si="99"/>
        <v>0</v>
      </c>
      <c r="KR38" s="699">
        <v>0</v>
      </c>
      <c r="KS38" s="699">
        <v>0</v>
      </c>
      <c r="KT38" s="699">
        <f t="shared" si="100"/>
        <v>0</v>
      </c>
      <c r="KU38" s="699">
        <v>0</v>
      </c>
      <c r="KV38" s="699">
        <v>0</v>
      </c>
      <c r="KW38" s="699">
        <f t="shared" si="101"/>
        <v>0</v>
      </c>
      <c r="KX38" s="699">
        <v>0</v>
      </c>
      <c r="KY38" s="699">
        <v>0</v>
      </c>
      <c r="KZ38" s="699">
        <f t="shared" si="102"/>
        <v>0</v>
      </c>
      <c r="LA38" s="699">
        <v>0</v>
      </c>
      <c r="LB38" s="699">
        <v>0</v>
      </c>
      <c r="LC38" s="699">
        <f t="shared" si="103"/>
        <v>0</v>
      </c>
      <c r="LD38" s="699">
        <v>0</v>
      </c>
      <c r="LE38" s="699">
        <v>0</v>
      </c>
      <c r="LF38" s="699">
        <f t="shared" si="104"/>
        <v>0</v>
      </c>
      <c r="LG38" s="699">
        <v>0</v>
      </c>
      <c r="LH38" s="699">
        <v>0</v>
      </c>
      <c r="LI38" s="699">
        <f t="shared" si="105"/>
        <v>0</v>
      </c>
      <c r="LJ38" s="337">
        <v>0</v>
      </c>
      <c r="LK38" s="337">
        <v>0</v>
      </c>
      <c r="LL38" s="700">
        <f t="shared" si="106"/>
        <v>0</v>
      </c>
    </row>
    <row r="39" spans="1:324" x14ac:dyDescent="0.35">
      <c r="A39" s="685">
        <v>3</v>
      </c>
      <c r="B39" s="371" t="s">
        <v>287</v>
      </c>
      <c r="C39" s="428" t="s">
        <v>89</v>
      </c>
      <c r="D39" s="305">
        <v>14913</v>
      </c>
      <c r="E39" s="305">
        <v>13678</v>
      </c>
      <c r="F39" s="686">
        <f t="shared" si="0"/>
        <v>28591</v>
      </c>
      <c r="G39" s="305">
        <v>6</v>
      </c>
      <c r="H39" s="305">
        <v>23934</v>
      </c>
      <c r="I39" s="686">
        <f t="shared" si="1"/>
        <v>23940</v>
      </c>
      <c r="J39" s="305">
        <v>13831</v>
      </c>
      <c r="K39" s="305">
        <v>11660</v>
      </c>
      <c r="L39" s="686">
        <f t="shared" si="2"/>
        <v>25491</v>
      </c>
      <c r="M39" s="305">
        <v>131</v>
      </c>
      <c r="N39" s="305">
        <v>40</v>
      </c>
      <c r="O39" s="686">
        <f t="shared" si="3"/>
        <v>171</v>
      </c>
      <c r="P39" s="305">
        <v>341</v>
      </c>
      <c r="Q39" s="305">
        <v>221</v>
      </c>
      <c r="R39" s="686">
        <f t="shared" si="4"/>
        <v>562</v>
      </c>
      <c r="S39" s="305">
        <v>828</v>
      </c>
      <c r="T39" s="305">
        <v>4</v>
      </c>
      <c r="U39" s="686">
        <f t="shared" si="5"/>
        <v>832</v>
      </c>
      <c r="V39" s="305">
        <v>80</v>
      </c>
      <c r="W39" s="305">
        <v>11</v>
      </c>
      <c r="X39" s="686">
        <f t="shared" si="6"/>
        <v>91</v>
      </c>
      <c r="Y39" s="305">
        <v>510</v>
      </c>
      <c r="Z39" s="305">
        <v>135</v>
      </c>
      <c r="AA39" s="686">
        <f t="shared" si="7"/>
        <v>645</v>
      </c>
      <c r="AB39" s="305">
        <v>277</v>
      </c>
      <c r="AC39" s="305">
        <v>35</v>
      </c>
      <c r="AD39" s="686">
        <f t="shared" si="8"/>
        <v>312</v>
      </c>
      <c r="AE39" s="305">
        <v>4</v>
      </c>
      <c r="AF39" s="305">
        <v>0</v>
      </c>
      <c r="AG39" s="686">
        <f t="shared" si="9"/>
        <v>4</v>
      </c>
      <c r="AH39" s="305">
        <v>6</v>
      </c>
      <c r="AI39" s="305">
        <v>0</v>
      </c>
      <c r="AJ39" s="686">
        <f t="shared" si="10"/>
        <v>6</v>
      </c>
      <c r="AK39" s="305">
        <v>576</v>
      </c>
      <c r="AL39" s="305">
        <v>96</v>
      </c>
      <c r="AM39" s="686">
        <f t="shared" si="11"/>
        <v>672</v>
      </c>
      <c r="AN39" s="305">
        <v>32</v>
      </c>
      <c r="AO39" s="305">
        <v>1</v>
      </c>
      <c r="AP39" s="686">
        <f t="shared" si="12"/>
        <v>33</v>
      </c>
      <c r="AQ39" s="305">
        <v>101</v>
      </c>
      <c r="AR39" s="305">
        <v>2</v>
      </c>
      <c r="AS39" s="686">
        <f t="shared" si="13"/>
        <v>103</v>
      </c>
      <c r="AT39" s="305">
        <v>19592</v>
      </c>
      <c r="AU39" s="305">
        <v>7330</v>
      </c>
      <c r="AV39" s="686">
        <f t="shared" si="14"/>
        <v>26922</v>
      </c>
      <c r="AW39" s="305">
        <v>95</v>
      </c>
      <c r="AX39" s="305">
        <v>23</v>
      </c>
      <c r="AY39" s="686">
        <f t="shared" si="15"/>
        <v>118</v>
      </c>
      <c r="AZ39" s="305">
        <v>6</v>
      </c>
      <c r="BA39" s="305">
        <v>3</v>
      </c>
      <c r="BB39" s="686">
        <f t="shared" si="16"/>
        <v>9</v>
      </c>
      <c r="BC39" s="305">
        <v>109</v>
      </c>
      <c r="BD39" s="305">
        <v>62</v>
      </c>
      <c r="BE39" s="686">
        <f t="shared" si="17"/>
        <v>171</v>
      </c>
      <c r="BF39" s="305">
        <v>1922</v>
      </c>
      <c r="BG39" s="305">
        <v>112</v>
      </c>
      <c r="BH39" s="686">
        <f t="shared" si="18"/>
        <v>2034</v>
      </c>
      <c r="BI39" s="305">
        <v>172</v>
      </c>
      <c r="BJ39" s="305">
        <v>14</v>
      </c>
      <c r="BK39" s="686">
        <f t="shared" si="19"/>
        <v>186</v>
      </c>
      <c r="BL39" s="305">
        <v>3</v>
      </c>
      <c r="BM39" s="305">
        <v>0</v>
      </c>
      <c r="BN39" s="686">
        <f t="shared" si="20"/>
        <v>3</v>
      </c>
      <c r="BO39" s="305">
        <v>4</v>
      </c>
      <c r="BP39" s="305">
        <v>0</v>
      </c>
      <c r="BQ39" s="686">
        <f t="shared" si="21"/>
        <v>4</v>
      </c>
      <c r="BR39" s="305">
        <v>0</v>
      </c>
      <c r="BS39" s="305">
        <v>8</v>
      </c>
      <c r="BT39" s="686">
        <f t="shared" si="22"/>
        <v>8</v>
      </c>
      <c r="BU39" s="305">
        <v>0</v>
      </c>
      <c r="BV39" s="305">
        <v>0</v>
      </c>
      <c r="BW39" s="686">
        <f t="shared" si="23"/>
        <v>0</v>
      </c>
      <c r="BX39" s="305">
        <v>0</v>
      </c>
      <c r="BY39" s="305">
        <v>0</v>
      </c>
      <c r="BZ39" s="686">
        <f t="shared" si="24"/>
        <v>0</v>
      </c>
      <c r="CA39" s="305">
        <v>7</v>
      </c>
      <c r="CB39" s="305">
        <v>0</v>
      </c>
      <c r="CC39" s="686">
        <f t="shared" si="25"/>
        <v>7</v>
      </c>
      <c r="CD39" s="305">
        <v>8</v>
      </c>
      <c r="CE39" s="305">
        <v>0</v>
      </c>
      <c r="CF39" s="686">
        <f t="shared" si="26"/>
        <v>8</v>
      </c>
      <c r="CG39" s="305">
        <v>2</v>
      </c>
      <c r="CH39" s="305">
        <v>0</v>
      </c>
      <c r="CI39" s="686">
        <f t="shared" si="27"/>
        <v>2</v>
      </c>
      <c r="CJ39" s="305">
        <v>6</v>
      </c>
      <c r="CK39" s="305">
        <v>0</v>
      </c>
      <c r="CL39" s="686">
        <f t="shared" si="28"/>
        <v>6</v>
      </c>
      <c r="CM39" s="305">
        <v>3</v>
      </c>
      <c r="CN39" s="305">
        <v>6</v>
      </c>
      <c r="CO39" s="686">
        <f t="shared" si="29"/>
        <v>9</v>
      </c>
      <c r="CP39" s="305">
        <v>1</v>
      </c>
      <c r="CQ39" s="305">
        <v>0</v>
      </c>
      <c r="CR39" s="686">
        <f t="shared" si="30"/>
        <v>1</v>
      </c>
      <c r="CS39" s="305">
        <v>0</v>
      </c>
      <c r="CT39" s="305">
        <v>0</v>
      </c>
      <c r="CU39" s="686">
        <f t="shared" si="31"/>
        <v>0</v>
      </c>
      <c r="CV39" s="305">
        <v>0</v>
      </c>
      <c r="CW39" s="305">
        <v>0</v>
      </c>
      <c r="CX39" s="686">
        <f t="shared" si="32"/>
        <v>0</v>
      </c>
      <c r="CY39" s="305">
        <v>0</v>
      </c>
      <c r="CZ39" s="305">
        <v>0</v>
      </c>
      <c r="DA39" s="686">
        <f t="shared" si="33"/>
        <v>0</v>
      </c>
      <c r="DB39" s="305">
        <v>13</v>
      </c>
      <c r="DC39" s="305">
        <v>0</v>
      </c>
      <c r="DD39" s="686">
        <f t="shared" si="34"/>
        <v>13</v>
      </c>
      <c r="DE39" s="305">
        <v>4</v>
      </c>
      <c r="DF39" s="305">
        <v>1</v>
      </c>
      <c r="DG39" s="686">
        <f t="shared" si="35"/>
        <v>5</v>
      </c>
      <c r="DH39" s="305">
        <v>0</v>
      </c>
      <c r="DI39" s="305">
        <v>0</v>
      </c>
      <c r="DJ39" s="686">
        <f t="shared" si="36"/>
        <v>0</v>
      </c>
      <c r="DK39" s="305">
        <v>1</v>
      </c>
      <c r="DL39" s="305">
        <v>2</v>
      </c>
      <c r="DM39" s="686">
        <f t="shared" si="37"/>
        <v>3</v>
      </c>
      <c r="DN39" s="305">
        <v>0</v>
      </c>
      <c r="DO39" s="305">
        <v>0</v>
      </c>
      <c r="DP39" s="686">
        <f t="shared" si="38"/>
        <v>0</v>
      </c>
      <c r="DQ39" s="305">
        <v>0</v>
      </c>
      <c r="DR39" s="305">
        <v>0</v>
      </c>
      <c r="DS39" s="686">
        <f t="shared" si="39"/>
        <v>0</v>
      </c>
      <c r="DT39" s="305">
        <v>0</v>
      </c>
      <c r="DU39" s="305">
        <v>0</v>
      </c>
      <c r="DV39" s="686">
        <f t="shared" si="40"/>
        <v>0</v>
      </c>
      <c r="DW39" s="305">
        <v>6</v>
      </c>
      <c r="DX39" s="305">
        <v>3</v>
      </c>
      <c r="DY39" s="686">
        <f t="shared" si="41"/>
        <v>9</v>
      </c>
      <c r="DZ39" s="305">
        <v>0</v>
      </c>
      <c r="EA39" s="305">
        <v>0</v>
      </c>
      <c r="EB39" s="686">
        <f t="shared" si="42"/>
        <v>0</v>
      </c>
      <c r="EC39" s="305">
        <v>8</v>
      </c>
      <c r="ED39" s="305">
        <v>0</v>
      </c>
      <c r="EE39" s="686">
        <f t="shared" si="43"/>
        <v>8</v>
      </c>
      <c r="EF39" s="305">
        <v>5</v>
      </c>
      <c r="EG39" s="305">
        <v>2</v>
      </c>
      <c r="EH39" s="686">
        <f t="shared" si="44"/>
        <v>7</v>
      </c>
      <c r="EI39" s="305">
        <v>2</v>
      </c>
      <c r="EJ39" s="305">
        <v>0</v>
      </c>
      <c r="EK39" s="686">
        <f t="shared" si="45"/>
        <v>2</v>
      </c>
      <c r="EL39" s="305">
        <v>0</v>
      </c>
      <c r="EM39" s="305">
        <v>0</v>
      </c>
      <c r="EN39" s="686">
        <f t="shared" si="46"/>
        <v>0</v>
      </c>
      <c r="EO39" s="305">
        <v>0</v>
      </c>
      <c r="EP39" s="305">
        <v>0</v>
      </c>
      <c r="EQ39" s="686">
        <f t="shared" si="47"/>
        <v>0</v>
      </c>
      <c r="ER39" s="305">
        <v>0</v>
      </c>
      <c r="ES39" s="305">
        <v>0</v>
      </c>
      <c r="ET39" s="686">
        <f t="shared" si="48"/>
        <v>0</v>
      </c>
      <c r="EU39" s="305">
        <v>0</v>
      </c>
      <c r="EV39" s="305">
        <v>0</v>
      </c>
      <c r="EW39" s="686">
        <f t="shared" si="49"/>
        <v>0</v>
      </c>
      <c r="EX39" s="305">
        <v>0</v>
      </c>
      <c r="EY39" s="305">
        <v>0</v>
      </c>
      <c r="EZ39" s="686">
        <f t="shared" si="50"/>
        <v>0</v>
      </c>
      <c r="FA39" s="305">
        <v>0</v>
      </c>
      <c r="FB39" s="305">
        <v>0</v>
      </c>
      <c r="FC39" s="686">
        <f t="shared" si="51"/>
        <v>0</v>
      </c>
      <c r="FD39" s="305">
        <v>0</v>
      </c>
      <c r="FE39" s="305">
        <v>0</v>
      </c>
      <c r="FF39" s="686">
        <f t="shared" si="52"/>
        <v>0</v>
      </c>
      <c r="FG39" s="305">
        <v>0</v>
      </c>
      <c r="FH39" s="305">
        <v>0</v>
      </c>
      <c r="FI39" s="686">
        <f t="shared" si="53"/>
        <v>0</v>
      </c>
      <c r="FJ39" s="305">
        <v>0</v>
      </c>
      <c r="FK39" s="305">
        <v>0</v>
      </c>
      <c r="FL39" s="686">
        <f t="shared" si="54"/>
        <v>0</v>
      </c>
      <c r="FM39" s="305">
        <v>0</v>
      </c>
      <c r="FN39" s="305">
        <v>0</v>
      </c>
      <c r="FO39" s="686">
        <f t="shared" si="55"/>
        <v>0</v>
      </c>
      <c r="FP39" s="305">
        <v>0</v>
      </c>
      <c r="FQ39" s="305">
        <v>0</v>
      </c>
      <c r="FR39" s="686">
        <f t="shared" si="56"/>
        <v>0</v>
      </c>
      <c r="FS39" s="305">
        <v>0</v>
      </c>
      <c r="FT39" s="305">
        <v>0</v>
      </c>
      <c r="FU39" s="686">
        <f t="shared" si="57"/>
        <v>0</v>
      </c>
      <c r="FV39" s="305">
        <v>0</v>
      </c>
      <c r="FW39" s="305">
        <v>0</v>
      </c>
      <c r="FX39" s="686">
        <f t="shared" si="58"/>
        <v>0</v>
      </c>
      <c r="FY39" s="305">
        <v>0</v>
      </c>
      <c r="FZ39" s="305">
        <v>0</v>
      </c>
      <c r="GA39" s="686">
        <f t="shared" si="59"/>
        <v>0</v>
      </c>
      <c r="GB39" s="305">
        <v>0</v>
      </c>
      <c r="GC39" s="305">
        <v>0</v>
      </c>
      <c r="GD39" s="686">
        <f t="shared" si="60"/>
        <v>0</v>
      </c>
      <c r="GE39" s="305">
        <v>0</v>
      </c>
      <c r="GF39" s="305">
        <v>0</v>
      </c>
      <c r="GG39" s="686">
        <f t="shared" si="61"/>
        <v>0</v>
      </c>
      <c r="GH39" s="305">
        <v>2</v>
      </c>
      <c r="GI39" s="305">
        <v>0</v>
      </c>
      <c r="GJ39" s="686">
        <f t="shared" si="62"/>
        <v>2</v>
      </c>
      <c r="GK39" s="305">
        <v>8</v>
      </c>
      <c r="GL39" s="305">
        <v>7</v>
      </c>
      <c r="GM39" s="686">
        <f t="shared" si="63"/>
        <v>15</v>
      </c>
      <c r="GN39" s="305">
        <v>238</v>
      </c>
      <c r="GO39" s="305">
        <v>552</v>
      </c>
      <c r="GP39" s="686">
        <f t="shared" si="64"/>
        <v>790</v>
      </c>
      <c r="GQ39" s="305">
        <v>1</v>
      </c>
      <c r="GR39" s="305">
        <v>0</v>
      </c>
      <c r="GS39" s="686">
        <f t="shared" si="65"/>
        <v>1</v>
      </c>
      <c r="GT39" s="305">
        <v>4</v>
      </c>
      <c r="GU39" s="305">
        <v>0</v>
      </c>
      <c r="GV39" s="686">
        <f t="shared" si="66"/>
        <v>4</v>
      </c>
      <c r="GW39" s="305">
        <v>1</v>
      </c>
      <c r="GX39" s="305">
        <v>0</v>
      </c>
      <c r="GY39" s="686">
        <f t="shared" si="67"/>
        <v>1</v>
      </c>
      <c r="GZ39" s="305">
        <v>0</v>
      </c>
      <c r="HA39" s="305">
        <v>0</v>
      </c>
      <c r="HB39" s="686">
        <f t="shared" si="68"/>
        <v>0</v>
      </c>
      <c r="HC39" s="305">
        <v>0</v>
      </c>
      <c r="HD39" s="305">
        <v>0</v>
      </c>
      <c r="HE39" s="686">
        <f t="shared" si="69"/>
        <v>0</v>
      </c>
      <c r="HF39" s="305">
        <v>0</v>
      </c>
      <c r="HG39" s="305">
        <v>1</v>
      </c>
      <c r="HH39" s="686">
        <f t="shared" si="70"/>
        <v>1</v>
      </c>
      <c r="HI39" s="305">
        <v>5</v>
      </c>
      <c r="HJ39" s="305">
        <v>12</v>
      </c>
      <c r="HK39" s="686">
        <f t="shared" si="71"/>
        <v>17</v>
      </c>
      <c r="HL39" s="305">
        <v>0</v>
      </c>
      <c r="HM39" s="305">
        <v>109</v>
      </c>
      <c r="HN39" s="686">
        <f t="shared" si="72"/>
        <v>109</v>
      </c>
      <c r="HO39" s="305">
        <v>20</v>
      </c>
      <c r="HP39" s="305">
        <v>103</v>
      </c>
      <c r="HQ39" s="686">
        <f t="shared" si="73"/>
        <v>123</v>
      </c>
      <c r="HR39" s="305">
        <v>0</v>
      </c>
      <c r="HS39" s="305">
        <v>3</v>
      </c>
      <c r="HT39" s="686">
        <f t="shared" si="74"/>
        <v>3</v>
      </c>
      <c r="HU39" s="305">
        <v>0</v>
      </c>
      <c r="HV39" s="305">
        <v>1</v>
      </c>
      <c r="HW39" s="686">
        <f t="shared" si="75"/>
        <v>1</v>
      </c>
      <c r="HX39" s="305">
        <v>0</v>
      </c>
      <c r="HY39" s="305">
        <v>0</v>
      </c>
      <c r="HZ39" s="686">
        <f t="shared" si="76"/>
        <v>0</v>
      </c>
      <c r="IA39" s="305">
        <v>0</v>
      </c>
      <c r="IB39" s="305">
        <v>0</v>
      </c>
      <c r="IC39" s="686">
        <f t="shared" si="77"/>
        <v>0</v>
      </c>
      <c r="ID39" s="305">
        <v>7</v>
      </c>
      <c r="IE39" s="305">
        <v>0</v>
      </c>
      <c r="IF39" s="686">
        <f t="shared" si="78"/>
        <v>7</v>
      </c>
      <c r="IG39" s="305">
        <v>2</v>
      </c>
      <c r="IH39" s="305">
        <v>0</v>
      </c>
      <c r="II39" s="686">
        <f t="shared" si="79"/>
        <v>2</v>
      </c>
      <c r="IJ39" s="305">
        <v>176</v>
      </c>
      <c r="IK39" s="305">
        <v>0</v>
      </c>
      <c r="IL39" s="686">
        <f t="shared" si="80"/>
        <v>176</v>
      </c>
      <c r="IM39" s="305">
        <v>1</v>
      </c>
      <c r="IN39" s="305">
        <v>0</v>
      </c>
      <c r="IO39" s="686">
        <f t="shared" si="81"/>
        <v>1</v>
      </c>
      <c r="IP39" s="305">
        <v>1</v>
      </c>
      <c r="IQ39" s="305">
        <v>0</v>
      </c>
      <c r="IR39" s="686">
        <f t="shared" si="82"/>
        <v>1</v>
      </c>
      <c r="IS39" s="305">
        <v>453</v>
      </c>
      <c r="IT39" s="305">
        <v>83</v>
      </c>
      <c r="IU39" s="686">
        <f t="shared" si="83"/>
        <v>536</v>
      </c>
      <c r="IV39" s="305">
        <v>5</v>
      </c>
      <c r="IW39" s="305">
        <v>1</v>
      </c>
      <c r="IX39" s="686">
        <f t="shared" si="84"/>
        <v>6</v>
      </c>
      <c r="IY39" s="305">
        <v>0</v>
      </c>
      <c r="IZ39" s="305">
        <v>0</v>
      </c>
      <c r="JA39" s="686">
        <f t="shared" si="85"/>
        <v>0</v>
      </c>
      <c r="JB39" s="305">
        <v>0</v>
      </c>
      <c r="JC39" s="305">
        <v>1</v>
      </c>
      <c r="JD39" s="686">
        <f t="shared" si="86"/>
        <v>1</v>
      </c>
      <c r="JE39" s="305">
        <v>6886</v>
      </c>
      <c r="JF39" s="305">
        <v>1233</v>
      </c>
      <c r="JG39" s="686">
        <f t="shared" si="87"/>
        <v>8119</v>
      </c>
      <c r="JH39" s="305">
        <v>1</v>
      </c>
      <c r="JI39" s="305">
        <v>3</v>
      </c>
      <c r="JJ39" s="686">
        <f t="shared" si="88"/>
        <v>4</v>
      </c>
      <c r="JK39" s="305">
        <v>0</v>
      </c>
      <c r="JL39" s="305">
        <v>0</v>
      </c>
      <c r="JM39" s="686">
        <f t="shared" si="89"/>
        <v>0</v>
      </c>
      <c r="JN39" s="305">
        <v>0</v>
      </c>
      <c r="JO39" s="305">
        <v>0</v>
      </c>
      <c r="JP39" s="686">
        <f t="shared" si="90"/>
        <v>0</v>
      </c>
      <c r="JQ39" s="305">
        <v>0</v>
      </c>
      <c r="JR39" s="305">
        <v>0</v>
      </c>
      <c r="JS39" s="686">
        <f t="shared" si="91"/>
        <v>0</v>
      </c>
      <c r="JT39" s="305">
        <v>0</v>
      </c>
      <c r="JU39" s="305">
        <v>0</v>
      </c>
      <c r="JV39" s="686">
        <f t="shared" si="92"/>
        <v>0</v>
      </c>
      <c r="JW39" s="305">
        <v>1</v>
      </c>
      <c r="JX39" s="305">
        <v>0</v>
      </c>
      <c r="JY39" s="686">
        <f t="shared" si="93"/>
        <v>1</v>
      </c>
      <c r="JZ39" s="305">
        <v>0</v>
      </c>
      <c r="KA39" s="305">
        <v>0</v>
      </c>
      <c r="KB39" s="686">
        <f t="shared" si="94"/>
        <v>0</v>
      </c>
      <c r="KC39" s="305">
        <v>0</v>
      </c>
      <c r="KD39" s="305">
        <v>0</v>
      </c>
      <c r="KE39" s="686">
        <f t="shared" si="95"/>
        <v>0</v>
      </c>
      <c r="KF39" s="305">
        <v>0</v>
      </c>
      <c r="KG39" s="305">
        <v>0</v>
      </c>
      <c r="KH39" s="686">
        <f t="shared" si="96"/>
        <v>0</v>
      </c>
      <c r="KI39" s="305">
        <v>0</v>
      </c>
      <c r="KJ39" s="305">
        <v>0</v>
      </c>
      <c r="KK39" s="686">
        <f t="shared" si="97"/>
        <v>0</v>
      </c>
      <c r="KL39" s="686">
        <v>0</v>
      </c>
      <c r="KM39" s="686">
        <v>0</v>
      </c>
      <c r="KN39" s="686">
        <f t="shared" si="98"/>
        <v>0</v>
      </c>
      <c r="KO39" s="686">
        <v>0</v>
      </c>
      <c r="KP39" s="686">
        <v>0</v>
      </c>
      <c r="KQ39" s="686">
        <f t="shared" si="99"/>
        <v>0</v>
      </c>
      <c r="KR39" s="686">
        <v>0</v>
      </c>
      <c r="KS39" s="686">
        <v>0</v>
      </c>
      <c r="KT39" s="686">
        <f t="shared" si="100"/>
        <v>0</v>
      </c>
      <c r="KU39" s="686">
        <v>0</v>
      </c>
      <c r="KV39" s="686">
        <v>0</v>
      </c>
      <c r="KW39" s="686">
        <f t="shared" si="101"/>
        <v>0</v>
      </c>
      <c r="KX39" s="686">
        <v>0</v>
      </c>
      <c r="KY39" s="686">
        <v>0</v>
      </c>
      <c r="KZ39" s="686">
        <f t="shared" si="102"/>
        <v>0</v>
      </c>
      <c r="LA39" s="686">
        <v>0</v>
      </c>
      <c r="LB39" s="686">
        <v>0</v>
      </c>
      <c r="LC39" s="686">
        <f t="shared" si="103"/>
        <v>0</v>
      </c>
      <c r="LD39" s="686">
        <v>0</v>
      </c>
      <c r="LE39" s="686">
        <v>0</v>
      </c>
      <c r="LF39" s="686">
        <f t="shared" si="104"/>
        <v>0</v>
      </c>
      <c r="LG39" s="686">
        <v>0</v>
      </c>
      <c r="LH39" s="686">
        <v>0</v>
      </c>
      <c r="LI39" s="686">
        <f t="shared" si="105"/>
        <v>0</v>
      </c>
      <c r="LJ39" s="305">
        <v>0</v>
      </c>
      <c r="LK39" s="305">
        <v>0</v>
      </c>
      <c r="LL39" s="687">
        <f t="shared" si="106"/>
        <v>0</v>
      </c>
    </row>
    <row r="40" spans="1:324" x14ac:dyDescent="0.35">
      <c r="A40" s="688">
        <v>4</v>
      </c>
      <c r="B40" s="375" t="s">
        <v>288</v>
      </c>
      <c r="C40" s="431" t="s">
        <v>89</v>
      </c>
      <c r="D40" s="312">
        <v>4053</v>
      </c>
      <c r="E40" s="312">
        <v>3722</v>
      </c>
      <c r="F40" s="622">
        <f t="shared" si="0"/>
        <v>7775</v>
      </c>
      <c r="G40" s="312">
        <v>2</v>
      </c>
      <c r="H40" s="312">
        <v>6828</v>
      </c>
      <c r="I40" s="622">
        <f t="shared" si="1"/>
        <v>6830</v>
      </c>
      <c r="J40" s="312">
        <v>4452</v>
      </c>
      <c r="K40" s="312">
        <v>3593</v>
      </c>
      <c r="L40" s="622">
        <f t="shared" si="2"/>
        <v>8045</v>
      </c>
      <c r="M40" s="312">
        <v>28</v>
      </c>
      <c r="N40" s="312">
        <v>11</v>
      </c>
      <c r="O40" s="622">
        <f t="shared" si="3"/>
        <v>39</v>
      </c>
      <c r="P40" s="312">
        <v>95</v>
      </c>
      <c r="Q40" s="312">
        <v>70</v>
      </c>
      <c r="R40" s="622">
        <f t="shared" si="4"/>
        <v>165</v>
      </c>
      <c r="S40" s="312">
        <v>30</v>
      </c>
      <c r="T40" s="312">
        <v>0</v>
      </c>
      <c r="U40" s="622">
        <f t="shared" si="5"/>
        <v>30</v>
      </c>
      <c r="V40" s="312">
        <v>23</v>
      </c>
      <c r="W40" s="312">
        <v>5</v>
      </c>
      <c r="X40" s="622">
        <f t="shared" si="6"/>
        <v>28</v>
      </c>
      <c r="Y40" s="312">
        <v>208</v>
      </c>
      <c r="Z40" s="312">
        <v>49</v>
      </c>
      <c r="AA40" s="622">
        <f t="shared" si="7"/>
        <v>257</v>
      </c>
      <c r="AB40" s="312">
        <v>34</v>
      </c>
      <c r="AC40" s="312">
        <v>5</v>
      </c>
      <c r="AD40" s="622">
        <f t="shared" si="8"/>
        <v>39</v>
      </c>
      <c r="AE40" s="312">
        <v>0</v>
      </c>
      <c r="AF40" s="312">
        <v>0</v>
      </c>
      <c r="AG40" s="622">
        <f t="shared" si="9"/>
        <v>0</v>
      </c>
      <c r="AH40" s="312">
        <v>2</v>
      </c>
      <c r="AI40" s="312">
        <v>0</v>
      </c>
      <c r="AJ40" s="622">
        <f t="shared" si="10"/>
        <v>2</v>
      </c>
      <c r="AK40" s="312">
        <v>226</v>
      </c>
      <c r="AL40" s="312">
        <v>30</v>
      </c>
      <c r="AM40" s="622">
        <f t="shared" si="11"/>
        <v>256</v>
      </c>
      <c r="AN40" s="312">
        <v>6</v>
      </c>
      <c r="AO40" s="312">
        <v>0</v>
      </c>
      <c r="AP40" s="622">
        <f t="shared" si="12"/>
        <v>6</v>
      </c>
      <c r="AQ40" s="312">
        <v>33</v>
      </c>
      <c r="AR40" s="312">
        <v>0</v>
      </c>
      <c r="AS40" s="622">
        <f t="shared" si="13"/>
        <v>33</v>
      </c>
      <c r="AT40" s="312">
        <v>5634</v>
      </c>
      <c r="AU40" s="312">
        <v>2300</v>
      </c>
      <c r="AV40" s="622">
        <f t="shared" si="14"/>
        <v>7934</v>
      </c>
      <c r="AW40" s="312">
        <v>26</v>
      </c>
      <c r="AX40" s="312">
        <v>10</v>
      </c>
      <c r="AY40" s="622">
        <f t="shared" si="15"/>
        <v>36</v>
      </c>
      <c r="AZ40" s="312">
        <v>0</v>
      </c>
      <c r="BA40" s="312">
        <v>1</v>
      </c>
      <c r="BB40" s="622">
        <f t="shared" si="16"/>
        <v>1</v>
      </c>
      <c r="BC40" s="312">
        <v>13</v>
      </c>
      <c r="BD40" s="312">
        <v>10</v>
      </c>
      <c r="BE40" s="622">
        <f t="shared" si="17"/>
        <v>23</v>
      </c>
      <c r="BF40" s="312">
        <v>457</v>
      </c>
      <c r="BG40" s="312">
        <v>31</v>
      </c>
      <c r="BH40" s="622">
        <f t="shared" si="18"/>
        <v>488</v>
      </c>
      <c r="BI40" s="312">
        <v>10</v>
      </c>
      <c r="BJ40" s="312">
        <v>5</v>
      </c>
      <c r="BK40" s="622">
        <f t="shared" si="19"/>
        <v>15</v>
      </c>
      <c r="BL40" s="312">
        <v>1</v>
      </c>
      <c r="BM40" s="312">
        <v>0</v>
      </c>
      <c r="BN40" s="622">
        <f t="shared" si="20"/>
        <v>1</v>
      </c>
      <c r="BO40" s="312">
        <v>0</v>
      </c>
      <c r="BP40" s="312">
        <v>0</v>
      </c>
      <c r="BQ40" s="622">
        <f t="shared" si="21"/>
        <v>0</v>
      </c>
      <c r="BR40" s="312">
        <v>0</v>
      </c>
      <c r="BS40" s="312">
        <v>3</v>
      </c>
      <c r="BT40" s="622">
        <f t="shared" si="22"/>
        <v>3</v>
      </c>
      <c r="BU40" s="312">
        <v>0</v>
      </c>
      <c r="BV40" s="312">
        <v>0</v>
      </c>
      <c r="BW40" s="622">
        <f t="shared" si="23"/>
        <v>0</v>
      </c>
      <c r="BX40" s="312">
        <v>0</v>
      </c>
      <c r="BY40" s="312">
        <v>0</v>
      </c>
      <c r="BZ40" s="622">
        <f t="shared" si="24"/>
        <v>0</v>
      </c>
      <c r="CA40" s="312">
        <v>2</v>
      </c>
      <c r="CB40" s="312">
        <v>0</v>
      </c>
      <c r="CC40" s="622">
        <f t="shared" si="25"/>
        <v>2</v>
      </c>
      <c r="CD40" s="312">
        <v>3</v>
      </c>
      <c r="CE40" s="312">
        <v>0</v>
      </c>
      <c r="CF40" s="622">
        <f t="shared" si="26"/>
        <v>3</v>
      </c>
      <c r="CG40" s="312">
        <v>0</v>
      </c>
      <c r="CH40" s="312">
        <v>0</v>
      </c>
      <c r="CI40" s="622">
        <f t="shared" si="27"/>
        <v>0</v>
      </c>
      <c r="CJ40" s="312">
        <v>2</v>
      </c>
      <c r="CK40" s="312">
        <v>0</v>
      </c>
      <c r="CL40" s="622">
        <f t="shared" si="28"/>
        <v>2</v>
      </c>
      <c r="CM40" s="312">
        <v>0</v>
      </c>
      <c r="CN40" s="312">
        <v>1</v>
      </c>
      <c r="CO40" s="622">
        <f t="shared" si="29"/>
        <v>1</v>
      </c>
      <c r="CP40" s="312">
        <v>0</v>
      </c>
      <c r="CQ40" s="312">
        <v>0</v>
      </c>
      <c r="CR40" s="622">
        <f t="shared" si="30"/>
        <v>0</v>
      </c>
      <c r="CS40" s="312">
        <v>0</v>
      </c>
      <c r="CT40" s="312">
        <v>0</v>
      </c>
      <c r="CU40" s="622">
        <f t="shared" si="31"/>
        <v>0</v>
      </c>
      <c r="CV40" s="312">
        <v>0</v>
      </c>
      <c r="CW40" s="312">
        <v>0</v>
      </c>
      <c r="CX40" s="622">
        <f t="shared" si="32"/>
        <v>0</v>
      </c>
      <c r="CY40" s="312">
        <v>0</v>
      </c>
      <c r="CZ40" s="312">
        <v>0</v>
      </c>
      <c r="DA40" s="622">
        <f t="shared" si="33"/>
        <v>0</v>
      </c>
      <c r="DB40" s="312">
        <v>2</v>
      </c>
      <c r="DC40" s="312">
        <v>0</v>
      </c>
      <c r="DD40" s="622">
        <f t="shared" si="34"/>
        <v>2</v>
      </c>
      <c r="DE40" s="312">
        <v>0</v>
      </c>
      <c r="DF40" s="312">
        <v>0</v>
      </c>
      <c r="DG40" s="622">
        <f t="shared" si="35"/>
        <v>0</v>
      </c>
      <c r="DH40" s="312">
        <v>0</v>
      </c>
      <c r="DI40" s="312">
        <v>0</v>
      </c>
      <c r="DJ40" s="622">
        <f t="shared" si="36"/>
        <v>0</v>
      </c>
      <c r="DK40" s="312">
        <v>0</v>
      </c>
      <c r="DL40" s="312">
        <v>0</v>
      </c>
      <c r="DM40" s="622">
        <f t="shared" si="37"/>
        <v>0</v>
      </c>
      <c r="DN40" s="312">
        <v>0</v>
      </c>
      <c r="DO40" s="312">
        <v>0</v>
      </c>
      <c r="DP40" s="622">
        <f t="shared" si="38"/>
        <v>0</v>
      </c>
      <c r="DQ40" s="312">
        <v>0</v>
      </c>
      <c r="DR40" s="312">
        <v>0</v>
      </c>
      <c r="DS40" s="622">
        <f t="shared" si="39"/>
        <v>0</v>
      </c>
      <c r="DT40" s="312">
        <v>0</v>
      </c>
      <c r="DU40" s="312">
        <v>0</v>
      </c>
      <c r="DV40" s="622">
        <f t="shared" si="40"/>
        <v>0</v>
      </c>
      <c r="DW40" s="312">
        <v>0</v>
      </c>
      <c r="DX40" s="312">
        <v>0</v>
      </c>
      <c r="DY40" s="622">
        <f t="shared" si="41"/>
        <v>0</v>
      </c>
      <c r="DZ40" s="312">
        <v>0</v>
      </c>
      <c r="EA40" s="312">
        <v>0</v>
      </c>
      <c r="EB40" s="622">
        <f t="shared" si="42"/>
        <v>0</v>
      </c>
      <c r="EC40" s="312">
        <v>2</v>
      </c>
      <c r="ED40" s="312">
        <v>0</v>
      </c>
      <c r="EE40" s="622">
        <f t="shared" si="43"/>
        <v>2</v>
      </c>
      <c r="EF40" s="312">
        <v>0</v>
      </c>
      <c r="EG40" s="312">
        <v>0</v>
      </c>
      <c r="EH40" s="622">
        <f t="shared" si="44"/>
        <v>0</v>
      </c>
      <c r="EI40" s="312">
        <v>0</v>
      </c>
      <c r="EJ40" s="312">
        <v>0</v>
      </c>
      <c r="EK40" s="622">
        <f t="shared" si="45"/>
        <v>0</v>
      </c>
      <c r="EL40" s="312">
        <v>0</v>
      </c>
      <c r="EM40" s="312">
        <v>0</v>
      </c>
      <c r="EN40" s="622">
        <f t="shared" si="46"/>
        <v>0</v>
      </c>
      <c r="EO40" s="312">
        <v>0</v>
      </c>
      <c r="EP40" s="312">
        <v>0</v>
      </c>
      <c r="EQ40" s="622">
        <f t="shared" si="47"/>
        <v>0</v>
      </c>
      <c r="ER40" s="312">
        <v>0</v>
      </c>
      <c r="ES40" s="312">
        <v>0</v>
      </c>
      <c r="ET40" s="622">
        <f t="shared" si="48"/>
        <v>0</v>
      </c>
      <c r="EU40" s="312">
        <v>0</v>
      </c>
      <c r="EV40" s="312">
        <v>0</v>
      </c>
      <c r="EW40" s="622">
        <f t="shared" si="49"/>
        <v>0</v>
      </c>
      <c r="EX40" s="312">
        <v>0</v>
      </c>
      <c r="EY40" s="312">
        <v>0</v>
      </c>
      <c r="EZ40" s="622">
        <f t="shared" si="50"/>
        <v>0</v>
      </c>
      <c r="FA40" s="312">
        <v>0</v>
      </c>
      <c r="FB40" s="312">
        <v>0</v>
      </c>
      <c r="FC40" s="622">
        <f t="shared" si="51"/>
        <v>0</v>
      </c>
      <c r="FD40" s="312">
        <v>0</v>
      </c>
      <c r="FE40" s="312">
        <v>0</v>
      </c>
      <c r="FF40" s="622">
        <f t="shared" si="52"/>
        <v>0</v>
      </c>
      <c r="FG40" s="312">
        <v>0</v>
      </c>
      <c r="FH40" s="312">
        <v>0</v>
      </c>
      <c r="FI40" s="622">
        <f t="shared" si="53"/>
        <v>0</v>
      </c>
      <c r="FJ40" s="312">
        <v>0</v>
      </c>
      <c r="FK40" s="312">
        <v>0</v>
      </c>
      <c r="FL40" s="622">
        <f t="shared" si="54"/>
        <v>0</v>
      </c>
      <c r="FM40" s="312">
        <v>0</v>
      </c>
      <c r="FN40" s="312">
        <v>0</v>
      </c>
      <c r="FO40" s="622">
        <f t="shared" si="55"/>
        <v>0</v>
      </c>
      <c r="FP40" s="312">
        <v>0</v>
      </c>
      <c r="FQ40" s="312">
        <v>0</v>
      </c>
      <c r="FR40" s="622">
        <f t="shared" si="56"/>
        <v>0</v>
      </c>
      <c r="FS40" s="312">
        <v>0</v>
      </c>
      <c r="FT40" s="312">
        <v>0</v>
      </c>
      <c r="FU40" s="622">
        <f t="shared" si="57"/>
        <v>0</v>
      </c>
      <c r="FV40" s="312">
        <v>0</v>
      </c>
      <c r="FW40" s="312">
        <v>0</v>
      </c>
      <c r="FX40" s="622">
        <f t="shared" si="58"/>
        <v>0</v>
      </c>
      <c r="FY40" s="312">
        <v>0</v>
      </c>
      <c r="FZ40" s="312">
        <v>0</v>
      </c>
      <c r="GA40" s="622">
        <f t="shared" si="59"/>
        <v>0</v>
      </c>
      <c r="GB40" s="312">
        <v>0</v>
      </c>
      <c r="GC40" s="312">
        <v>0</v>
      </c>
      <c r="GD40" s="622">
        <f t="shared" si="60"/>
        <v>0</v>
      </c>
      <c r="GE40" s="312">
        <v>0</v>
      </c>
      <c r="GF40" s="312">
        <v>0</v>
      </c>
      <c r="GG40" s="622">
        <f t="shared" si="61"/>
        <v>0</v>
      </c>
      <c r="GH40" s="312">
        <v>2</v>
      </c>
      <c r="GI40" s="312">
        <v>0</v>
      </c>
      <c r="GJ40" s="622">
        <f t="shared" si="62"/>
        <v>2</v>
      </c>
      <c r="GK40" s="312">
        <v>4</v>
      </c>
      <c r="GL40" s="312">
        <v>1</v>
      </c>
      <c r="GM40" s="622">
        <f t="shared" si="63"/>
        <v>5</v>
      </c>
      <c r="GN40" s="312">
        <v>80</v>
      </c>
      <c r="GO40" s="312">
        <v>162</v>
      </c>
      <c r="GP40" s="622">
        <f t="shared" si="64"/>
        <v>242</v>
      </c>
      <c r="GQ40" s="312">
        <v>0</v>
      </c>
      <c r="GR40" s="312">
        <v>0</v>
      </c>
      <c r="GS40" s="622">
        <f t="shared" si="65"/>
        <v>0</v>
      </c>
      <c r="GT40" s="312">
        <v>2</v>
      </c>
      <c r="GU40" s="312">
        <v>0</v>
      </c>
      <c r="GV40" s="622">
        <f t="shared" si="66"/>
        <v>2</v>
      </c>
      <c r="GW40" s="312">
        <v>0</v>
      </c>
      <c r="GX40" s="312">
        <v>0</v>
      </c>
      <c r="GY40" s="622">
        <f t="shared" si="67"/>
        <v>0</v>
      </c>
      <c r="GZ40" s="312">
        <v>0</v>
      </c>
      <c r="HA40" s="312">
        <v>0</v>
      </c>
      <c r="HB40" s="622">
        <f t="shared" si="68"/>
        <v>0</v>
      </c>
      <c r="HC40" s="312">
        <v>0</v>
      </c>
      <c r="HD40" s="312">
        <v>0</v>
      </c>
      <c r="HE40" s="622">
        <f t="shared" si="69"/>
        <v>0</v>
      </c>
      <c r="HF40" s="312">
        <v>0</v>
      </c>
      <c r="HG40" s="312">
        <v>1</v>
      </c>
      <c r="HH40" s="622">
        <f t="shared" si="70"/>
        <v>1</v>
      </c>
      <c r="HI40" s="312">
        <v>4</v>
      </c>
      <c r="HJ40" s="312">
        <v>6</v>
      </c>
      <c r="HK40" s="622">
        <f t="shared" si="71"/>
        <v>10</v>
      </c>
      <c r="HL40" s="312">
        <v>0</v>
      </c>
      <c r="HM40" s="312">
        <v>33</v>
      </c>
      <c r="HN40" s="622">
        <f t="shared" si="72"/>
        <v>33</v>
      </c>
      <c r="HO40" s="312">
        <v>8</v>
      </c>
      <c r="HP40" s="312">
        <v>23</v>
      </c>
      <c r="HQ40" s="622">
        <f t="shared" si="73"/>
        <v>31</v>
      </c>
      <c r="HR40" s="312">
        <v>0</v>
      </c>
      <c r="HS40" s="312">
        <v>1</v>
      </c>
      <c r="HT40" s="622">
        <f t="shared" si="74"/>
        <v>1</v>
      </c>
      <c r="HU40" s="312">
        <v>0</v>
      </c>
      <c r="HV40" s="312">
        <v>0</v>
      </c>
      <c r="HW40" s="622">
        <f t="shared" si="75"/>
        <v>0</v>
      </c>
      <c r="HX40" s="312">
        <v>0</v>
      </c>
      <c r="HY40" s="312">
        <v>0</v>
      </c>
      <c r="HZ40" s="622">
        <f t="shared" si="76"/>
        <v>0</v>
      </c>
      <c r="IA40" s="312">
        <v>0</v>
      </c>
      <c r="IB40" s="312">
        <v>0</v>
      </c>
      <c r="IC40" s="622">
        <f t="shared" si="77"/>
        <v>0</v>
      </c>
      <c r="ID40" s="312">
        <v>4</v>
      </c>
      <c r="IE40" s="312">
        <v>0</v>
      </c>
      <c r="IF40" s="622">
        <f t="shared" si="78"/>
        <v>4</v>
      </c>
      <c r="IG40" s="312">
        <v>2</v>
      </c>
      <c r="IH40" s="312">
        <v>0</v>
      </c>
      <c r="II40" s="622">
        <f t="shared" si="79"/>
        <v>2</v>
      </c>
      <c r="IJ40" s="312">
        <v>54</v>
      </c>
      <c r="IK40" s="312">
        <v>0</v>
      </c>
      <c r="IL40" s="622">
        <f t="shared" si="80"/>
        <v>54</v>
      </c>
      <c r="IM40" s="312">
        <v>0</v>
      </c>
      <c r="IN40" s="312">
        <v>0</v>
      </c>
      <c r="IO40" s="622">
        <f t="shared" si="81"/>
        <v>0</v>
      </c>
      <c r="IP40" s="312">
        <v>1</v>
      </c>
      <c r="IQ40" s="312">
        <v>0</v>
      </c>
      <c r="IR40" s="622">
        <f t="shared" si="82"/>
        <v>1</v>
      </c>
      <c r="IS40" s="312">
        <v>242</v>
      </c>
      <c r="IT40" s="312">
        <v>41</v>
      </c>
      <c r="IU40" s="622">
        <f t="shared" si="83"/>
        <v>283</v>
      </c>
      <c r="IV40" s="312">
        <v>0</v>
      </c>
      <c r="IW40" s="312">
        <v>1</v>
      </c>
      <c r="IX40" s="622">
        <f t="shared" si="84"/>
        <v>1</v>
      </c>
      <c r="IY40" s="312">
        <v>0</v>
      </c>
      <c r="IZ40" s="312">
        <v>0</v>
      </c>
      <c r="JA40" s="622">
        <f t="shared" si="85"/>
        <v>0</v>
      </c>
      <c r="JB40" s="312">
        <v>0</v>
      </c>
      <c r="JC40" s="312">
        <v>1</v>
      </c>
      <c r="JD40" s="622">
        <f t="shared" si="86"/>
        <v>1</v>
      </c>
      <c r="JE40" s="312">
        <v>2231</v>
      </c>
      <c r="JF40" s="312">
        <v>410</v>
      </c>
      <c r="JG40" s="622">
        <f t="shared" si="87"/>
        <v>2641</v>
      </c>
      <c r="JH40" s="312">
        <v>0</v>
      </c>
      <c r="JI40" s="312">
        <v>0</v>
      </c>
      <c r="JJ40" s="622">
        <f t="shared" si="88"/>
        <v>0</v>
      </c>
      <c r="JK40" s="312">
        <v>0</v>
      </c>
      <c r="JL40" s="312">
        <v>0</v>
      </c>
      <c r="JM40" s="622">
        <f t="shared" si="89"/>
        <v>0</v>
      </c>
      <c r="JN40" s="312">
        <v>0</v>
      </c>
      <c r="JO40" s="312">
        <v>0</v>
      </c>
      <c r="JP40" s="622">
        <f t="shared" si="90"/>
        <v>0</v>
      </c>
      <c r="JQ40" s="312">
        <v>0</v>
      </c>
      <c r="JR40" s="312">
        <v>0</v>
      </c>
      <c r="JS40" s="622">
        <f t="shared" si="91"/>
        <v>0</v>
      </c>
      <c r="JT40" s="312">
        <v>0</v>
      </c>
      <c r="JU40" s="312">
        <v>0</v>
      </c>
      <c r="JV40" s="622">
        <f t="shared" si="92"/>
        <v>0</v>
      </c>
      <c r="JW40" s="312">
        <v>0</v>
      </c>
      <c r="JX40" s="312">
        <v>0</v>
      </c>
      <c r="JY40" s="622">
        <f t="shared" si="93"/>
        <v>0</v>
      </c>
      <c r="JZ40" s="312">
        <v>0</v>
      </c>
      <c r="KA40" s="312">
        <v>0</v>
      </c>
      <c r="KB40" s="622">
        <f t="shared" si="94"/>
        <v>0</v>
      </c>
      <c r="KC40" s="312">
        <v>0</v>
      </c>
      <c r="KD40" s="312">
        <v>0</v>
      </c>
      <c r="KE40" s="622">
        <f t="shared" si="95"/>
        <v>0</v>
      </c>
      <c r="KF40" s="312">
        <v>0</v>
      </c>
      <c r="KG40" s="312">
        <v>0</v>
      </c>
      <c r="KH40" s="622">
        <f t="shared" si="96"/>
        <v>0</v>
      </c>
      <c r="KI40" s="312">
        <v>0</v>
      </c>
      <c r="KJ40" s="312">
        <v>0</v>
      </c>
      <c r="KK40" s="622">
        <f t="shared" si="97"/>
        <v>0</v>
      </c>
      <c r="KL40" s="622">
        <v>0</v>
      </c>
      <c r="KM40" s="622">
        <v>0</v>
      </c>
      <c r="KN40" s="622">
        <f t="shared" si="98"/>
        <v>0</v>
      </c>
      <c r="KO40" s="622">
        <v>0</v>
      </c>
      <c r="KP40" s="622">
        <v>0</v>
      </c>
      <c r="KQ40" s="622">
        <f t="shared" si="99"/>
        <v>0</v>
      </c>
      <c r="KR40" s="622">
        <v>0</v>
      </c>
      <c r="KS40" s="622">
        <v>0</v>
      </c>
      <c r="KT40" s="622">
        <f t="shared" si="100"/>
        <v>0</v>
      </c>
      <c r="KU40" s="622">
        <v>0</v>
      </c>
      <c r="KV40" s="622">
        <v>0</v>
      </c>
      <c r="KW40" s="622">
        <f t="shared" si="101"/>
        <v>0</v>
      </c>
      <c r="KX40" s="622">
        <v>0</v>
      </c>
      <c r="KY40" s="622">
        <v>0</v>
      </c>
      <c r="KZ40" s="622">
        <f t="shared" si="102"/>
        <v>0</v>
      </c>
      <c r="LA40" s="622">
        <v>0</v>
      </c>
      <c r="LB40" s="622">
        <v>0</v>
      </c>
      <c r="LC40" s="622">
        <f t="shared" si="103"/>
        <v>0</v>
      </c>
      <c r="LD40" s="622">
        <v>0</v>
      </c>
      <c r="LE40" s="622">
        <v>0</v>
      </c>
      <c r="LF40" s="622">
        <f t="shared" si="104"/>
        <v>0</v>
      </c>
      <c r="LG40" s="622">
        <v>0</v>
      </c>
      <c r="LH40" s="622">
        <v>0</v>
      </c>
      <c r="LI40" s="622">
        <f t="shared" si="105"/>
        <v>0</v>
      </c>
      <c r="LJ40" s="312">
        <v>0</v>
      </c>
      <c r="LK40" s="312">
        <v>0</v>
      </c>
      <c r="LL40" s="689">
        <f t="shared" si="106"/>
        <v>0</v>
      </c>
    </row>
    <row r="41" spans="1:324" x14ac:dyDescent="0.35">
      <c r="A41" s="688">
        <v>4</v>
      </c>
      <c r="B41" s="375" t="s">
        <v>289</v>
      </c>
      <c r="C41" s="431" t="s">
        <v>91</v>
      </c>
      <c r="D41" s="312">
        <v>3710</v>
      </c>
      <c r="E41" s="312">
        <v>3394</v>
      </c>
      <c r="F41" s="622">
        <f t="shared" si="0"/>
        <v>7104</v>
      </c>
      <c r="G41" s="312">
        <v>1</v>
      </c>
      <c r="H41" s="312">
        <v>5851</v>
      </c>
      <c r="I41" s="622">
        <f t="shared" si="1"/>
        <v>5852</v>
      </c>
      <c r="J41" s="312">
        <v>3273</v>
      </c>
      <c r="K41" s="312">
        <v>2760</v>
      </c>
      <c r="L41" s="622">
        <f t="shared" si="2"/>
        <v>6033</v>
      </c>
      <c r="M41" s="312">
        <v>31</v>
      </c>
      <c r="N41" s="312">
        <v>9</v>
      </c>
      <c r="O41" s="622">
        <f t="shared" si="3"/>
        <v>40</v>
      </c>
      <c r="P41" s="312">
        <v>67</v>
      </c>
      <c r="Q41" s="312">
        <v>51</v>
      </c>
      <c r="R41" s="622">
        <f t="shared" si="4"/>
        <v>118</v>
      </c>
      <c r="S41" s="312">
        <v>639</v>
      </c>
      <c r="T41" s="312">
        <v>4</v>
      </c>
      <c r="U41" s="622">
        <f t="shared" si="5"/>
        <v>643</v>
      </c>
      <c r="V41" s="312">
        <v>20</v>
      </c>
      <c r="W41" s="312">
        <v>4</v>
      </c>
      <c r="X41" s="622">
        <f t="shared" si="6"/>
        <v>24</v>
      </c>
      <c r="Y41" s="312">
        <v>150</v>
      </c>
      <c r="Z41" s="312">
        <v>49</v>
      </c>
      <c r="AA41" s="622">
        <f t="shared" si="7"/>
        <v>199</v>
      </c>
      <c r="AB41" s="312">
        <v>51</v>
      </c>
      <c r="AC41" s="312">
        <v>7</v>
      </c>
      <c r="AD41" s="622">
        <f t="shared" si="8"/>
        <v>58</v>
      </c>
      <c r="AE41" s="312">
        <v>0</v>
      </c>
      <c r="AF41" s="312">
        <v>0</v>
      </c>
      <c r="AG41" s="622">
        <f t="shared" si="9"/>
        <v>0</v>
      </c>
      <c r="AH41" s="312">
        <v>2</v>
      </c>
      <c r="AI41" s="312">
        <v>0</v>
      </c>
      <c r="AJ41" s="622">
        <f t="shared" si="10"/>
        <v>2</v>
      </c>
      <c r="AK41" s="312">
        <v>204</v>
      </c>
      <c r="AL41" s="312">
        <v>39</v>
      </c>
      <c r="AM41" s="622">
        <f t="shared" si="11"/>
        <v>243</v>
      </c>
      <c r="AN41" s="312">
        <v>16</v>
      </c>
      <c r="AO41" s="312">
        <v>0</v>
      </c>
      <c r="AP41" s="622">
        <f t="shared" si="12"/>
        <v>16</v>
      </c>
      <c r="AQ41" s="312">
        <v>26</v>
      </c>
      <c r="AR41" s="312">
        <v>0</v>
      </c>
      <c r="AS41" s="622">
        <f t="shared" si="13"/>
        <v>26</v>
      </c>
      <c r="AT41" s="312">
        <v>5016</v>
      </c>
      <c r="AU41" s="312">
        <v>1814</v>
      </c>
      <c r="AV41" s="622">
        <f t="shared" si="14"/>
        <v>6830</v>
      </c>
      <c r="AW41" s="312">
        <v>12</v>
      </c>
      <c r="AX41" s="312">
        <v>1</v>
      </c>
      <c r="AY41" s="622">
        <f t="shared" si="15"/>
        <v>13</v>
      </c>
      <c r="AZ41" s="312">
        <v>2</v>
      </c>
      <c r="BA41" s="312">
        <v>1</v>
      </c>
      <c r="BB41" s="622">
        <f t="shared" si="16"/>
        <v>3</v>
      </c>
      <c r="BC41" s="312">
        <v>21</v>
      </c>
      <c r="BD41" s="312">
        <v>14</v>
      </c>
      <c r="BE41" s="622">
        <f t="shared" si="17"/>
        <v>35</v>
      </c>
      <c r="BF41" s="312">
        <v>367</v>
      </c>
      <c r="BG41" s="312">
        <v>28</v>
      </c>
      <c r="BH41" s="622">
        <f t="shared" si="18"/>
        <v>395</v>
      </c>
      <c r="BI41" s="312">
        <v>15</v>
      </c>
      <c r="BJ41" s="312">
        <v>4</v>
      </c>
      <c r="BK41" s="622">
        <f t="shared" si="19"/>
        <v>19</v>
      </c>
      <c r="BL41" s="312">
        <v>2</v>
      </c>
      <c r="BM41" s="312">
        <v>0</v>
      </c>
      <c r="BN41" s="622">
        <f t="shared" si="20"/>
        <v>2</v>
      </c>
      <c r="BO41" s="312">
        <v>0</v>
      </c>
      <c r="BP41" s="312">
        <v>0</v>
      </c>
      <c r="BQ41" s="622">
        <f t="shared" si="21"/>
        <v>0</v>
      </c>
      <c r="BR41" s="312">
        <v>0</v>
      </c>
      <c r="BS41" s="312">
        <v>2</v>
      </c>
      <c r="BT41" s="622">
        <f t="shared" si="22"/>
        <v>2</v>
      </c>
      <c r="BU41" s="312">
        <v>0</v>
      </c>
      <c r="BV41" s="312">
        <v>0</v>
      </c>
      <c r="BW41" s="622">
        <f t="shared" si="23"/>
        <v>0</v>
      </c>
      <c r="BX41" s="312">
        <v>0</v>
      </c>
      <c r="BY41" s="312">
        <v>0</v>
      </c>
      <c r="BZ41" s="622">
        <f t="shared" si="24"/>
        <v>0</v>
      </c>
      <c r="CA41" s="312">
        <v>1</v>
      </c>
      <c r="CB41" s="312">
        <v>0</v>
      </c>
      <c r="CC41" s="622">
        <f t="shared" si="25"/>
        <v>1</v>
      </c>
      <c r="CD41" s="312">
        <v>0</v>
      </c>
      <c r="CE41" s="312">
        <v>0</v>
      </c>
      <c r="CF41" s="622">
        <f t="shared" si="26"/>
        <v>0</v>
      </c>
      <c r="CG41" s="312">
        <v>0</v>
      </c>
      <c r="CH41" s="312">
        <v>0</v>
      </c>
      <c r="CI41" s="622">
        <f t="shared" si="27"/>
        <v>0</v>
      </c>
      <c r="CJ41" s="312">
        <v>1</v>
      </c>
      <c r="CK41" s="312">
        <v>0</v>
      </c>
      <c r="CL41" s="622">
        <f t="shared" si="28"/>
        <v>1</v>
      </c>
      <c r="CM41" s="312">
        <v>1</v>
      </c>
      <c r="CN41" s="312">
        <v>1</v>
      </c>
      <c r="CO41" s="622">
        <f t="shared" si="29"/>
        <v>2</v>
      </c>
      <c r="CP41" s="312">
        <v>0</v>
      </c>
      <c r="CQ41" s="312">
        <v>0</v>
      </c>
      <c r="CR41" s="622">
        <f t="shared" si="30"/>
        <v>0</v>
      </c>
      <c r="CS41" s="312">
        <v>0</v>
      </c>
      <c r="CT41" s="312">
        <v>0</v>
      </c>
      <c r="CU41" s="622">
        <f t="shared" si="31"/>
        <v>0</v>
      </c>
      <c r="CV41" s="312">
        <v>0</v>
      </c>
      <c r="CW41" s="312">
        <v>0</v>
      </c>
      <c r="CX41" s="622">
        <f t="shared" si="32"/>
        <v>0</v>
      </c>
      <c r="CY41" s="312">
        <v>0</v>
      </c>
      <c r="CZ41" s="312">
        <v>0</v>
      </c>
      <c r="DA41" s="622">
        <f t="shared" si="33"/>
        <v>0</v>
      </c>
      <c r="DB41" s="312">
        <v>5</v>
      </c>
      <c r="DC41" s="312">
        <v>0</v>
      </c>
      <c r="DD41" s="622">
        <f t="shared" si="34"/>
        <v>5</v>
      </c>
      <c r="DE41" s="312">
        <v>2</v>
      </c>
      <c r="DF41" s="312">
        <v>0</v>
      </c>
      <c r="DG41" s="622">
        <f t="shared" si="35"/>
        <v>2</v>
      </c>
      <c r="DH41" s="312">
        <v>0</v>
      </c>
      <c r="DI41" s="312">
        <v>0</v>
      </c>
      <c r="DJ41" s="622">
        <f t="shared" si="36"/>
        <v>0</v>
      </c>
      <c r="DK41" s="312">
        <v>0</v>
      </c>
      <c r="DL41" s="312">
        <v>0</v>
      </c>
      <c r="DM41" s="622">
        <f t="shared" si="37"/>
        <v>0</v>
      </c>
      <c r="DN41" s="312">
        <v>0</v>
      </c>
      <c r="DO41" s="312">
        <v>0</v>
      </c>
      <c r="DP41" s="622">
        <f t="shared" si="38"/>
        <v>0</v>
      </c>
      <c r="DQ41" s="312">
        <v>0</v>
      </c>
      <c r="DR41" s="312">
        <v>0</v>
      </c>
      <c r="DS41" s="622">
        <f t="shared" si="39"/>
        <v>0</v>
      </c>
      <c r="DT41" s="312">
        <v>0</v>
      </c>
      <c r="DU41" s="312">
        <v>0</v>
      </c>
      <c r="DV41" s="622">
        <f t="shared" si="40"/>
        <v>0</v>
      </c>
      <c r="DW41" s="312">
        <v>0</v>
      </c>
      <c r="DX41" s="312">
        <v>0</v>
      </c>
      <c r="DY41" s="622">
        <f t="shared" si="41"/>
        <v>0</v>
      </c>
      <c r="DZ41" s="312">
        <v>0</v>
      </c>
      <c r="EA41" s="312">
        <v>0</v>
      </c>
      <c r="EB41" s="622">
        <f t="shared" si="42"/>
        <v>0</v>
      </c>
      <c r="EC41" s="312">
        <v>0</v>
      </c>
      <c r="ED41" s="312">
        <v>0</v>
      </c>
      <c r="EE41" s="622">
        <f t="shared" si="43"/>
        <v>0</v>
      </c>
      <c r="EF41" s="312">
        <v>1</v>
      </c>
      <c r="EG41" s="312">
        <v>2</v>
      </c>
      <c r="EH41" s="622">
        <f t="shared" si="44"/>
        <v>3</v>
      </c>
      <c r="EI41" s="312">
        <v>0</v>
      </c>
      <c r="EJ41" s="312">
        <v>0</v>
      </c>
      <c r="EK41" s="622">
        <f t="shared" si="45"/>
        <v>0</v>
      </c>
      <c r="EL41" s="312">
        <v>0</v>
      </c>
      <c r="EM41" s="312">
        <v>0</v>
      </c>
      <c r="EN41" s="622">
        <f t="shared" si="46"/>
        <v>0</v>
      </c>
      <c r="EO41" s="312">
        <v>0</v>
      </c>
      <c r="EP41" s="312">
        <v>0</v>
      </c>
      <c r="EQ41" s="622">
        <f t="shared" si="47"/>
        <v>0</v>
      </c>
      <c r="ER41" s="312">
        <v>0</v>
      </c>
      <c r="ES41" s="312">
        <v>0</v>
      </c>
      <c r="ET41" s="622">
        <f t="shared" si="48"/>
        <v>0</v>
      </c>
      <c r="EU41" s="312">
        <v>0</v>
      </c>
      <c r="EV41" s="312">
        <v>0</v>
      </c>
      <c r="EW41" s="622">
        <f t="shared" si="49"/>
        <v>0</v>
      </c>
      <c r="EX41" s="312">
        <v>0</v>
      </c>
      <c r="EY41" s="312">
        <v>0</v>
      </c>
      <c r="EZ41" s="622">
        <f t="shared" si="50"/>
        <v>0</v>
      </c>
      <c r="FA41" s="312">
        <v>0</v>
      </c>
      <c r="FB41" s="312">
        <v>0</v>
      </c>
      <c r="FC41" s="622">
        <f t="shared" si="51"/>
        <v>0</v>
      </c>
      <c r="FD41" s="312">
        <v>0</v>
      </c>
      <c r="FE41" s="312">
        <v>0</v>
      </c>
      <c r="FF41" s="622">
        <f t="shared" si="52"/>
        <v>0</v>
      </c>
      <c r="FG41" s="312">
        <v>0</v>
      </c>
      <c r="FH41" s="312">
        <v>0</v>
      </c>
      <c r="FI41" s="622">
        <f t="shared" si="53"/>
        <v>0</v>
      </c>
      <c r="FJ41" s="312">
        <v>0</v>
      </c>
      <c r="FK41" s="312">
        <v>0</v>
      </c>
      <c r="FL41" s="622">
        <f t="shared" si="54"/>
        <v>0</v>
      </c>
      <c r="FM41" s="312">
        <v>0</v>
      </c>
      <c r="FN41" s="312">
        <v>0</v>
      </c>
      <c r="FO41" s="622">
        <f t="shared" si="55"/>
        <v>0</v>
      </c>
      <c r="FP41" s="312">
        <v>0</v>
      </c>
      <c r="FQ41" s="312">
        <v>0</v>
      </c>
      <c r="FR41" s="622">
        <f t="shared" si="56"/>
        <v>0</v>
      </c>
      <c r="FS41" s="312">
        <v>0</v>
      </c>
      <c r="FT41" s="312">
        <v>0</v>
      </c>
      <c r="FU41" s="622">
        <f t="shared" si="57"/>
        <v>0</v>
      </c>
      <c r="FV41" s="312">
        <v>0</v>
      </c>
      <c r="FW41" s="312">
        <v>0</v>
      </c>
      <c r="FX41" s="622">
        <f t="shared" si="58"/>
        <v>0</v>
      </c>
      <c r="FY41" s="312">
        <v>0</v>
      </c>
      <c r="FZ41" s="312">
        <v>0</v>
      </c>
      <c r="GA41" s="622">
        <f t="shared" si="59"/>
        <v>0</v>
      </c>
      <c r="GB41" s="312">
        <v>0</v>
      </c>
      <c r="GC41" s="312">
        <v>0</v>
      </c>
      <c r="GD41" s="622">
        <f t="shared" si="60"/>
        <v>0</v>
      </c>
      <c r="GE41" s="312">
        <v>0</v>
      </c>
      <c r="GF41" s="312">
        <v>0</v>
      </c>
      <c r="GG41" s="622">
        <f t="shared" si="61"/>
        <v>0</v>
      </c>
      <c r="GH41" s="312">
        <v>0</v>
      </c>
      <c r="GI41" s="312">
        <v>0</v>
      </c>
      <c r="GJ41" s="622">
        <f t="shared" si="62"/>
        <v>0</v>
      </c>
      <c r="GK41" s="312">
        <v>2</v>
      </c>
      <c r="GL41" s="312">
        <v>3</v>
      </c>
      <c r="GM41" s="622">
        <f t="shared" si="63"/>
        <v>5</v>
      </c>
      <c r="GN41" s="312">
        <v>53</v>
      </c>
      <c r="GO41" s="312">
        <v>143</v>
      </c>
      <c r="GP41" s="622">
        <f t="shared" si="64"/>
        <v>196</v>
      </c>
      <c r="GQ41" s="312">
        <v>1</v>
      </c>
      <c r="GR41" s="312">
        <v>0</v>
      </c>
      <c r="GS41" s="622">
        <f t="shared" si="65"/>
        <v>1</v>
      </c>
      <c r="GT41" s="312">
        <v>1</v>
      </c>
      <c r="GU41" s="312">
        <v>0</v>
      </c>
      <c r="GV41" s="622">
        <f t="shared" si="66"/>
        <v>1</v>
      </c>
      <c r="GW41" s="312">
        <v>0</v>
      </c>
      <c r="GX41" s="312">
        <v>0</v>
      </c>
      <c r="GY41" s="622">
        <f t="shared" si="67"/>
        <v>0</v>
      </c>
      <c r="GZ41" s="312">
        <v>0</v>
      </c>
      <c r="HA41" s="312">
        <v>0</v>
      </c>
      <c r="HB41" s="622">
        <f t="shared" si="68"/>
        <v>0</v>
      </c>
      <c r="HC41" s="312">
        <v>0</v>
      </c>
      <c r="HD41" s="312">
        <v>0</v>
      </c>
      <c r="HE41" s="622">
        <f t="shared" si="69"/>
        <v>0</v>
      </c>
      <c r="HF41" s="312">
        <v>0</v>
      </c>
      <c r="HG41" s="312">
        <v>0</v>
      </c>
      <c r="HH41" s="622">
        <f t="shared" si="70"/>
        <v>0</v>
      </c>
      <c r="HI41" s="312">
        <v>1</v>
      </c>
      <c r="HJ41" s="312">
        <v>4</v>
      </c>
      <c r="HK41" s="622">
        <f t="shared" si="71"/>
        <v>5</v>
      </c>
      <c r="HL41" s="312">
        <v>0</v>
      </c>
      <c r="HM41" s="312">
        <v>35</v>
      </c>
      <c r="HN41" s="622">
        <f t="shared" si="72"/>
        <v>35</v>
      </c>
      <c r="HO41" s="312">
        <v>2</v>
      </c>
      <c r="HP41" s="312">
        <v>35</v>
      </c>
      <c r="HQ41" s="622">
        <f t="shared" si="73"/>
        <v>37</v>
      </c>
      <c r="HR41" s="312">
        <v>0</v>
      </c>
      <c r="HS41" s="312">
        <v>0</v>
      </c>
      <c r="HT41" s="622">
        <f t="shared" si="74"/>
        <v>0</v>
      </c>
      <c r="HU41" s="312">
        <v>0</v>
      </c>
      <c r="HV41" s="312">
        <v>0</v>
      </c>
      <c r="HW41" s="622">
        <f t="shared" si="75"/>
        <v>0</v>
      </c>
      <c r="HX41" s="312">
        <v>0</v>
      </c>
      <c r="HY41" s="312">
        <v>0</v>
      </c>
      <c r="HZ41" s="622">
        <f t="shared" si="76"/>
        <v>0</v>
      </c>
      <c r="IA41" s="312">
        <v>0</v>
      </c>
      <c r="IB41" s="312">
        <v>0</v>
      </c>
      <c r="IC41" s="622">
        <f t="shared" si="77"/>
        <v>0</v>
      </c>
      <c r="ID41" s="312">
        <v>1</v>
      </c>
      <c r="IE41" s="312">
        <v>0</v>
      </c>
      <c r="IF41" s="622">
        <f t="shared" si="78"/>
        <v>1</v>
      </c>
      <c r="IG41" s="312">
        <v>0</v>
      </c>
      <c r="IH41" s="312">
        <v>0</v>
      </c>
      <c r="II41" s="622">
        <f t="shared" si="79"/>
        <v>0</v>
      </c>
      <c r="IJ41" s="312">
        <v>35</v>
      </c>
      <c r="IK41" s="312">
        <v>0</v>
      </c>
      <c r="IL41" s="622">
        <f t="shared" si="80"/>
        <v>35</v>
      </c>
      <c r="IM41" s="312">
        <v>0</v>
      </c>
      <c r="IN41" s="312">
        <v>0</v>
      </c>
      <c r="IO41" s="622">
        <f t="shared" si="81"/>
        <v>0</v>
      </c>
      <c r="IP41" s="312">
        <v>0</v>
      </c>
      <c r="IQ41" s="312">
        <v>0</v>
      </c>
      <c r="IR41" s="622">
        <f t="shared" si="82"/>
        <v>0</v>
      </c>
      <c r="IS41" s="312">
        <v>67</v>
      </c>
      <c r="IT41" s="312">
        <v>14</v>
      </c>
      <c r="IU41" s="622">
        <f t="shared" si="83"/>
        <v>81</v>
      </c>
      <c r="IV41" s="312">
        <v>3</v>
      </c>
      <c r="IW41" s="312">
        <v>0</v>
      </c>
      <c r="IX41" s="622">
        <f t="shared" si="84"/>
        <v>3</v>
      </c>
      <c r="IY41" s="312">
        <v>0</v>
      </c>
      <c r="IZ41" s="312">
        <v>0</v>
      </c>
      <c r="JA41" s="622">
        <f t="shared" si="85"/>
        <v>0</v>
      </c>
      <c r="JB41" s="312">
        <v>0</v>
      </c>
      <c r="JC41" s="312">
        <v>0</v>
      </c>
      <c r="JD41" s="622">
        <f t="shared" si="86"/>
        <v>0</v>
      </c>
      <c r="JE41" s="312">
        <v>1462</v>
      </c>
      <c r="JF41" s="312">
        <v>307</v>
      </c>
      <c r="JG41" s="622">
        <f t="shared" si="87"/>
        <v>1769</v>
      </c>
      <c r="JH41" s="312">
        <v>0</v>
      </c>
      <c r="JI41" s="312">
        <v>1</v>
      </c>
      <c r="JJ41" s="622">
        <f t="shared" si="88"/>
        <v>1</v>
      </c>
      <c r="JK41" s="312">
        <v>0</v>
      </c>
      <c r="JL41" s="312">
        <v>0</v>
      </c>
      <c r="JM41" s="622">
        <f t="shared" si="89"/>
        <v>0</v>
      </c>
      <c r="JN41" s="312">
        <v>0</v>
      </c>
      <c r="JO41" s="312">
        <v>0</v>
      </c>
      <c r="JP41" s="622">
        <f t="shared" si="90"/>
        <v>0</v>
      </c>
      <c r="JQ41" s="312">
        <v>0</v>
      </c>
      <c r="JR41" s="312">
        <v>0</v>
      </c>
      <c r="JS41" s="622">
        <f t="shared" si="91"/>
        <v>0</v>
      </c>
      <c r="JT41" s="312">
        <v>0</v>
      </c>
      <c r="JU41" s="312">
        <v>0</v>
      </c>
      <c r="JV41" s="622">
        <f t="shared" si="92"/>
        <v>0</v>
      </c>
      <c r="JW41" s="312">
        <v>1</v>
      </c>
      <c r="JX41" s="312">
        <v>0</v>
      </c>
      <c r="JY41" s="622">
        <f t="shared" si="93"/>
        <v>1</v>
      </c>
      <c r="JZ41" s="312">
        <v>0</v>
      </c>
      <c r="KA41" s="312">
        <v>0</v>
      </c>
      <c r="KB41" s="622">
        <f t="shared" si="94"/>
        <v>0</v>
      </c>
      <c r="KC41" s="312">
        <v>0</v>
      </c>
      <c r="KD41" s="312">
        <v>0</v>
      </c>
      <c r="KE41" s="622">
        <f t="shared" si="95"/>
        <v>0</v>
      </c>
      <c r="KF41" s="312">
        <v>0</v>
      </c>
      <c r="KG41" s="312">
        <v>0</v>
      </c>
      <c r="KH41" s="622">
        <f t="shared" si="96"/>
        <v>0</v>
      </c>
      <c r="KI41" s="312">
        <v>0</v>
      </c>
      <c r="KJ41" s="312">
        <v>0</v>
      </c>
      <c r="KK41" s="622">
        <f t="shared" si="97"/>
        <v>0</v>
      </c>
      <c r="KL41" s="622">
        <v>0</v>
      </c>
      <c r="KM41" s="622">
        <v>0</v>
      </c>
      <c r="KN41" s="622">
        <f t="shared" si="98"/>
        <v>0</v>
      </c>
      <c r="KO41" s="622">
        <v>0</v>
      </c>
      <c r="KP41" s="622">
        <v>0</v>
      </c>
      <c r="KQ41" s="622">
        <f t="shared" si="99"/>
        <v>0</v>
      </c>
      <c r="KR41" s="622">
        <v>0</v>
      </c>
      <c r="KS41" s="622">
        <v>0</v>
      </c>
      <c r="KT41" s="622">
        <f t="shared" si="100"/>
        <v>0</v>
      </c>
      <c r="KU41" s="622">
        <v>0</v>
      </c>
      <c r="KV41" s="622">
        <v>0</v>
      </c>
      <c r="KW41" s="622">
        <f t="shared" si="101"/>
        <v>0</v>
      </c>
      <c r="KX41" s="622">
        <v>0</v>
      </c>
      <c r="KY41" s="622">
        <v>0</v>
      </c>
      <c r="KZ41" s="622">
        <f t="shared" si="102"/>
        <v>0</v>
      </c>
      <c r="LA41" s="622">
        <v>0</v>
      </c>
      <c r="LB41" s="622">
        <v>0</v>
      </c>
      <c r="LC41" s="622">
        <f t="shared" si="103"/>
        <v>0</v>
      </c>
      <c r="LD41" s="622">
        <v>0</v>
      </c>
      <c r="LE41" s="622">
        <v>0</v>
      </c>
      <c r="LF41" s="622">
        <f t="shared" si="104"/>
        <v>0</v>
      </c>
      <c r="LG41" s="622">
        <v>0</v>
      </c>
      <c r="LH41" s="622">
        <v>0</v>
      </c>
      <c r="LI41" s="622">
        <f t="shared" si="105"/>
        <v>0</v>
      </c>
      <c r="LJ41" s="312">
        <v>0</v>
      </c>
      <c r="LK41" s="312">
        <v>0</v>
      </c>
      <c r="LL41" s="689">
        <f t="shared" si="106"/>
        <v>0</v>
      </c>
    </row>
    <row r="42" spans="1:324" x14ac:dyDescent="0.35">
      <c r="A42" s="688">
        <v>4</v>
      </c>
      <c r="B42" s="375" t="s">
        <v>290</v>
      </c>
      <c r="C42" s="431" t="s">
        <v>93</v>
      </c>
      <c r="D42" s="312">
        <v>3289</v>
      </c>
      <c r="E42" s="312">
        <v>3043</v>
      </c>
      <c r="F42" s="622">
        <f t="shared" si="0"/>
        <v>6332</v>
      </c>
      <c r="G42" s="312">
        <v>2</v>
      </c>
      <c r="H42" s="312">
        <v>5455</v>
      </c>
      <c r="I42" s="622">
        <f t="shared" si="1"/>
        <v>5457</v>
      </c>
      <c r="J42" s="312">
        <v>3150</v>
      </c>
      <c r="K42" s="312">
        <v>2665</v>
      </c>
      <c r="L42" s="622">
        <f t="shared" si="2"/>
        <v>5815</v>
      </c>
      <c r="M42" s="312">
        <v>28</v>
      </c>
      <c r="N42" s="312">
        <v>7</v>
      </c>
      <c r="O42" s="622">
        <f t="shared" si="3"/>
        <v>35</v>
      </c>
      <c r="P42" s="312">
        <v>53</v>
      </c>
      <c r="Q42" s="312">
        <v>37</v>
      </c>
      <c r="R42" s="622">
        <f t="shared" si="4"/>
        <v>90</v>
      </c>
      <c r="S42" s="312">
        <v>115</v>
      </c>
      <c r="T42" s="312">
        <v>0</v>
      </c>
      <c r="U42" s="622">
        <f t="shared" si="5"/>
        <v>115</v>
      </c>
      <c r="V42" s="312">
        <v>12</v>
      </c>
      <c r="W42" s="312">
        <v>1</v>
      </c>
      <c r="X42" s="622">
        <f t="shared" si="6"/>
        <v>13</v>
      </c>
      <c r="Y42" s="312">
        <v>88</v>
      </c>
      <c r="Z42" s="312">
        <v>31</v>
      </c>
      <c r="AA42" s="622">
        <f t="shared" si="7"/>
        <v>119</v>
      </c>
      <c r="AB42" s="312">
        <v>67</v>
      </c>
      <c r="AC42" s="312">
        <v>15</v>
      </c>
      <c r="AD42" s="622">
        <f t="shared" si="8"/>
        <v>82</v>
      </c>
      <c r="AE42" s="312">
        <v>0</v>
      </c>
      <c r="AF42" s="312">
        <v>0</v>
      </c>
      <c r="AG42" s="622">
        <f t="shared" si="9"/>
        <v>0</v>
      </c>
      <c r="AH42" s="312">
        <v>2</v>
      </c>
      <c r="AI42" s="312">
        <v>0</v>
      </c>
      <c r="AJ42" s="622">
        <f t="shared" si="10"/>
        <v>2</v>
      </c>
      <c r="AK42" s="312">
        <v>135</v>
      </c>
      <c r="AL42" s="312">
        <v>25</v>
      </c>
      <c r="AM42" s="622">
        <f t="shared" si="11"/>
        <v>160</v>
      </c>
      <c r="AN42" s="312">
        <v>6</v>
      </c>
      <c r="AO42" s="312">
        <v>1</v>
      </c>
      <c r="AP42" s="622">
        <f t="shared" si="12"/>
        <v>7</v>
      </c>
      <c r="AQ42" s="312">
        <v>34</v>
      </c>
      <c r="AR42" s="312">
        <v>1</v>
      </c>
      <c r="AS42" s="622">
        <f t="shared" si="13"/>
        <v>35</v>
      </c>
      <c r="AT42" s="312">
        <v>4684</v>
      </c>
      <c r="AU42" s="312">
        <v>1622</v>
      </c>
      <c r="AV42" s="622">
        <f t="shared" si="14"/>
        <v>6306</v>
      </c>
      <c r="AW42" s="312">
        <v>12</v>
      </c>
      <c r="AX42" s="312">
        <v>3</v>
      </c>
      <c r="AY42" s="622">
        <f t="shared" si="15"/>
        <v>15</v>
      </c>
      <c r="AZ42" s="312">
        <v>0</v>
      </c>
      <c r="BA42" s="312">
        <v>1</v>
      </c>
      <c r="BB42" s="622">
        <f t="shared" si="16"/>
        <v>1</v>
      </c>
      <c r="BC42" s="312">
        <v>13</v>
      </c>
      <c r="BD42" s="312">
        <v>14</v>
      </c>
      <c r="BE42" s="622">
        <f t="shared" si="17"/>
        <v>27</v>
      </c>
      <c r="BF42" s="312">
        <v>346</v>
      </c>
      <c r="BG42" s="312">
        <v>29</v>
      </c>
      <c r="BH42" s="622">
        <f t="shared" si="18"/>
        <v>375</v>
      </c>
      <c r="BI42" s="312">
        <v>16</v>
      </c>
      <c r="BJ42" s="312">
        <v>2</v>
      </c>
      <c r="BK42" s="622">
        <f t="shared" si="19"/>
        <v>18</v>
      </c>
      <c r="BL42" s="312">
        <v>0</v>
      </c>
      <c r="BM42" s="312">
        <v>0</v>
      </c>
      <c r="BN42" s="622">
        <f t="shared" si="20"/>
        <v>0</v>
      </c>
      <c r="BO42" s="312">
        <v>0</v>
      </c>
      <c r="BP42" s="312">
        <v>0</v>
      </c>
      <c r="BQ42" s="622">
        <f t="shared" si="21"/>
        <v>0</v>
      </c>
      <c r="BR42" s="312">
        <v>0</v>
      </c>
      <c r="BS42" s="312">
        <v>0</v>
      </c>
      <c r="BT42" s="622">
        <f t="shared" si="22"/>
        <v>0</v>
      </c>
      <c r="BU42" s="312">
        <v>0</v>
      </c>
      <c r="BV42" s="312">
        <v>0</v>
      </c>
      <c r="BW42" s="622">
        <f t="shared" si="23"/>
        <v>0</v>
      </c>
      <c r="BX42" s="312">
        <v>0</v>
      </c>
      <c r="BY42" s="312">
        <v>0</v>
      </c>
      <c r="BZ42" s="622">
        <f t="shared" si="24"/>
        <v>0</v>
      </c>
      <c r="CA42" s="312">
        <v>0</v>
      </c>
      <c r="CB42" s="312">
        <v>0</v>
      </c>
      <c r="CC42" s="622">
        <f t="shared" si="25"/>
        <v>0</v>
      </c>
      <c r="CD42" s="312">
        <v>0</v>
      </c>
      <c r="CE42" s="312">
        <v>0</v>
      </c>
      <c r="CF42" s="622">
        <f t="shared" si="26"/>
        <v>0</v>
      </c>
      <c r="CG42" s="312">
        <v>0</v>
      </c>
      <c r="CH42" s="312">
        <v>0</v>
      </c>
      <c r="CI42" s="622">
        <f t="shared" si="27"/>
        <v>0</v>
      </c>
      <c r="CJ42" s="312">
        <v>1</v>
      </c>
      <c r="CK42" s="312">
        <v>0</v>
      </c>
      <c r="CL42" s="622">
        <f t="shared" si="28"/>
        <v>1</v>
      </c>
      <c r="CM42" s="312">
        <v>1</v>
      </c>
      <c r="CN42" s="312">
        <v>1</v>
      </c>
      <c r="CO42" s="622">
        <f t="shared" si="29"/>
        <v>2</v>
      </c>
      <c r="CP42" s="312">
        <v>0</v>
      </c>
      <c r="CQ42" s="312">
        <v>0</v>
      </c>
      <c r="CR42" s="622">
        <f t="shared" si="30"/>
        <v>0</v>
      </c>
      <c r="CS42" s="312">
        <v>0</v>
      </c>
      <c r="CT42" s="312">
        <v>0</v>
      </c>
      <c r="CU42" s="622">
        <f t="shared" si="31"/>
        <v>0</v>
      </c>
      <c r="CV42" s="312">
        <v>0</v>
      </c>
      <c r="CW42" s="312">
        <v>0</v>
      </c>
      <c r="CX42" s="622">
        <f t="shared" si="32"/>
        <v>0</v>
      </c>
      <c r="CY42" s="312">
        <v>0</v>
      </c>
      <c r="CZ42" s="312">
        <v>0</v>
      </c>
      <c r="DA42" s="622">
        <f t="shared" si="33"/>
        <v>0</v>
      </c>
      <c r="DB42" s="312">
        <v>3</v>
      </c>
      <c r="DC42" s="312">
        <v>0</v>
      </c>
      <c r="DD42" s="622">
        <f t="shared" si="34"/>
        <v>3</v>
      </c>
      <c r="DE42" s="312">
        <v>0</v>
      </c>
      <c r="DF42" s="312">
        <v>1</v>
      </c>
      <c r="DG42" s="622">
        <f t="shared" si="35"/>
        <v>1</v>
      </c>
      <c r="DH42" s="312">
        <v>0</v>
      </c>
      <c r="DI42" s="312">
        <v>0</v>
      </c>
      <c r="DJ42" s="622">
        <f t="shared" si="36"/>
        <v>0</v>
      </c>
      <c r="DK42" s="312">
        <v>0</v>
      </c>
      <c r="DL42" s="312">
        <v>0</v>
      </c>
      <c r="DM42" s="622">
        <f t="shared" si="37"/>
        <v>0</v>
      </c>
      <c r="DN42" s="312">
        <v>0</v>
      </c>
      <c r="DO42" s="312">
        <v>0</v>
      </c>
      <c r="DP42" s="622">
        <f t="shared" si="38"/>
        <v>0</v>
      </c>
      <c r="DQ42" s="312">
        <v>0</v>
      </c>
      <c r="DR42" s="312">
        <v>0</v>
      </c>
      <c r="DS42" s="622">
        <f t="shared" si="39"/>
        <v>0</v>
      </c>
      <c r="DT42" s="312">
        <v>0</v>
      </c>
      <c r="DU42" s="312">
        <v>0</v>
      </c>
      <c r="DV42" s="622">
        <f t="shared" si="40"/>
        <v>0</v>
      </c>
      <c r="DW42" s="312">
        <v>3</v>
      </c>
      <c r="DX42" s="312">
        <v>1</v>
      </c>
      <c r="DY42" s="622">
        <f t="shared" si="41"/>
        <v>4</v>
      </c>
      <c r="DZ42" s="312">
        <v>0</v>
      </c>
      <c r="EA42" s="312">
        <v>0</v>
      </c>
      <c r="EB42" s="622">
        <f t="shared" si="42"/>
        <v>0</v>
      </c>
      <c r="EC42" s="312">
        <v>3</v>
      </c>
      <c r="ED42" s="312">
        <v>0</v>
      </c>
      <c r="EE42" s="622">
        <f t="shared" si="43"/>
        <v>3</v>
      </c>
      <c r="EF42" s="312">
        <v>1</v>
      </c>
      <c r="EG42" s="312">
        <v>0</v>
      </c>
      <c r="EH42" s="622">
        <f t="shared" si="44"/>
        <v>1</v>
      </c>
      <c r="EI42" s="312">
        <v>2</v>
      </c>
      <c r="EJ42" s="312">
        <v>0</v>
      </c>
      <c r="EK42" s="622">
        <f t="shared" si="45"/>
        <v>2</v>
      </c>
      <c r="EL42" s="312">
        <v>0</v>
      </c>
      <c r="EM42" s="312">
        <v>0</v>
      </c>
      <c r="EN42" s="622">
        <f t="shared" si="46"/>
        <v>0</v>
      </c>
      <c r="EO42" s="312">
        <v>0</v>
      </c>
      <c r="EP42" s="312">
        <v>0</v>
      </c>
      <c r="EQ42" s="622">
        <f t="shared" si="47"/>
        <v>0</v>
      </c>
      <c r="ER42" s="312">
        <v>0</v>
      </c>
      <c r="ES42" s="312">
        <v>0</v>
      </c>
      <c r="ET42" s="622">
        <f t="shared" si="48"/>
        <v>0</v>
      </c>
      <c r="EU42" s="312">
        <v>0</v>
      </c>
      <c r="EV42" s="312">
        <v>0</v>
      </c>
      <c r="EW42" s="622">
        <f t="shared" si="49"/>
        <v>0</v>
      </c>
      <c r="EX42" s="312">
        <v>0</v>
      </c>
      <c r="EY42" s="312">
        <v>0</v>
      </c>
      <c r="EZ42" s="622">
        <f t="shared" si="50"/>
        <v>0</v>
      </c>
      <c r="FA42" s="312">
        <v>0</v>
      </c>
      <c r="FB42" s="312">
        <v>0</v>
      </c>
      <c r="FC42" s="622">
        <f t="shared" si="51"/>
        <v>0</v>
      </c>
      <c r="FD42" s="312">
        <v>0</v>
      </c>
      <c r="FE42" s="312">
        <v>0</v>
      </c>
      <c r="FF42" s="622">
        <f t="shared" si="52"/>
        <v>0</v>
      </c>
      <c r="FG42" s="312">
        <v>0</v>
      </c>
      <c r="FH42" s="312">
        <v>0</v>
      </c>
      <c r="FI42" s="622">
        <f t="shared" si="53"/>
        <v>0</v>
      </c>
      <c r="FJ42" s="312">
        <v>0</v>
      </c>
      <c r="FK42" s="312">
        <v>0</v>
      </c>
      <c r="FL42" s="622">
        <f t="shared" si="54"/>
        <v>0</v>
      </c>
      <c r="FM42" s="312">
        <v>0</v>
      </c>
      <c r="FN42" s="312">
        <v>0</v>
      </c>
      <c r="FO42" s="622">
        <f t="shared" si="55"/>
        <v>0</v>
      </c>
      <c r="FP42" s="312">
        <v>0</v>
      </c>
      <c r="FQ42" s="312">
        <v>0</v>
      </c>
      <c r="FR42" s="622">
        <f t="shared" si="56"/>
        <v>0</v>
      </c>
      <c r="FS42" s="312">
        <v>0</v>
      </c>
      <c r="FT42" s="312">
        <v>0</v>
      </c>
      <c r="FU42" s="622">
        <f t="shared" si="57"/>
        <v>0</v>
      </c>
      <c r="FV42" s="312">
        <v>0</v>
      </c>
      <c r="FW42" s="312">
        <v>0</v>
      </c>
      <c r="FX42" s="622">
        <f t="shared" si="58"/>
        <v>0</v>
      </c>
      <c r="FY42" s="312">
        <v>0</v>
      </c>
      <c r="FZ42" s="312">
        <v>0</v>
      </c>
      <c r="GA42" s="622">
        <f t="shared" si="59"/>
        <v>0</v>
      </c>
      <c r="GB42" s="312">
        <v>0</v>
      </c>
      <c r="GC42" s="312">
        <v>0</v>
      </c>
      <c r="GD42" s="622">
        <f t="shared" si="60"/>
        <v>0</v>
      </c>
      <c r="GE42" s="312">
        <v>0</v>
      </c>
      <c r="GF42" s="312">
        <v>0</v>
      </c>
      <c r="GG42" s="622">
        <f t="shared" si="61"/>
        <v>0</v>
      </c>
      <c r="GH42" s="312">
        <v>0</v>
      </c>
      <c r="GI42" s="312">
        <v>0</v>
      </c>
      <c r="GJ42" s="622">
        <f t="shared" si="62"/>
        <v>0</v>
      </c>
      <c r="GK42" s="312">
        <v>0</v>
      </c>
      <c r="GL42" s="312">
        <v>0</v>
      </c>
      <c r="GM42" s="622">
        <f t="shared" si="63"/>
        <v>0</v>
      </c>
      <c r="GN42" s="312">
        <v>54</v>
      </c>
      <c r="GO42" s="312">
        <v>120</v>
      </c>
      <c r="GP42" s="622">
        <f t="shared" si="64"/>
        <v>174</v>
      </c>
      <c r="GQ42" s="312">
        <v>0</v>
      </c>
      <c r="GR42" s="312">
        <v>0</v>
      </c>
      <c r="GS42" s="622">
        <f t="shared" si="65"/>
        <v>0</v>
      </c>
      <c r="GT42" s="312">
        <v>1</v>
      </c>
      <c r="GU42" s="312">
        <v>0</v>
      </c>
      <c r="GV42" s="622">
        <f t="shared" si="66"/>
        <v>1</v>
      </c>
      <c r="GW42" s="312">
        <v>0</v>
      </c>
      <c r="GX42" s="312">
        <v>0</v>
      </c>
      <c r="GY42" s="622">
        <f t="shared" si="67"/>
        <v>0</v>
      </c>
      <c r="GZ42" s="312">
        <v>0</v>
      </c>
      <c r="HA42" s="312">
        <v>0</v>
      </c>
      <c r="HB42" s="622">
        <f t="shared" si="68"/>
        <v>0</v>
      </c>
      <c r="HC42" s="312">
        <v>0</v>
      </c>
      <c r="HD42" s="312">
        <v>0</v>
      </c>
      <c r="HE42" s="622">
        <f t="shared" si="69"/>
        <v>0</v>
      </c>
      <c r="HF42" s="312">
        <v>0</v>
      </c>
      <c r="HG42" s="312">
        <v>0</v>
      </c>
      <c r="HH42" s="622">
        <f t="shared" si="70"/>
        <v>0</v>
      </c>
      <c r="HI42" s="312">
        <v>0</v>
      </c>
      <c r="HJ42" s="312">
        <v>2</v>
      </c>
      <c r="HK42" s="622">
        <f t="shared" si="71"/>
        <v>2</v>
      </c>
      <c r="HL42" s="312">
        <v>0</v>
      </c>
      <c r="HM42" s="312">
        <v>16</v>
      </c>
      <c r="HN42" s="622">
        <f t="shared" si="72"/>
        <v>16</v>
      </c>
      <c r="HO42" s="312">
        <v>6</v>
      </c>
      <c r="HP42" s="312">
        <v>15</v>
      </c>
      <c r="HQ42" s="622">
        <f t="shared" si="73"/>
        <v>21</v>
      </c>
      <c r="HR42" s="312">
        <v>0</v>
      </c>
      <c r="HS42" s="312">
        <v>1</v>
      </c>
      <c r="HT42" s="622">
        <f t="shared" si="74"/>
        <v>1</v>
      </c>
      <c r="HU42" s="312">
        <v>0</v>
      </c>
      <c r="HV42" s="312">
        <v>1</v>
      </c>
      <c r="HW42" s="622">
        <f t="shared" si="75"/>
        <v>1</v>
      </c>
      <c r="HX42" s="312">
        <v>0</v>
      </c>
      <c r="HY42" s="312">
        <v>0</v>
      </c>
      <c r="HZ42" s="622">
        <f t="shared" si="76"/>
        <v>0</v>
      </c>
      <c r="IA42" s="312">
        <v>0</v>
      </c>
      <c r="IB42" s="312">
        <v>0</v>
      </c>
      <c r="IC42" s="622">
        <f t="shared" si="77"/>
        <v>0</v>
      </c>
      <c r="ID42" s="312">
        <v>1</v>
      </c>
      <c r="IE42" s="312">
        <v>0</v>
      </c>
      <c r="IF42" s="622">
        <f t="shared" si="78"/>
        <v>1</v>
      </c>
      <c r="IG42" s="312">
        <v>0</v>
      </c>
      <c r="IH42" s="312">
        <v>0</v>
      </c>
      <c r="II42" s="622">
        <f t="shared" si="79"/>
        <v>0</v>
      </c>
      <c r="IJ42" s="312">
        <v>38</v>
      </c>
      <c r="IK42" s="312">
        <v>0</v>
      </c>
      <c r="IL42" s="622">
        <f t="shared" si="80"/>
        <v>38</v>
      </c>
      <c r="IM42" s="312">
        <v>0</v>
      </c>
      <c r="IN42" s="312">
        <v>0</v>
      </c>
      <c r="IO42" s="622">
        <f t="shared" si="81"/>
        <v>0</v>
      </c>
      <c r="IP42" s="312">
        <v>0</v>
      </c>
      <c r="IQ42" s="312">
        <v>0</v>
      </c>
      <c r="IR42" s="622">
        <f t="shared" si="82"/>
        <v>0</v>
      </c>
      <c r="IS42" s="312">
        <v>47</v>
      </c>
      <c r="IT42" s="312">
        <v>10</v>
      </c>
      <c r="IU42" s="622">
        <f t="shared" si="83"/>
        <v>57</v>
      </c>
      <c r="IV42" s="312">
        <v>0</v>
      </c>
      <c r="IW42" s="312">
        <v>0</v>
      </c>
      <c r="IX42" s="622">
        <f t="shared" si="84"/>
        <v>0</v>
      </c>
      <c r="IY42" s="312">
        <v>0</v>
      </c>
      <c r="IZ42" s="312">
        <v>0</v>
      </c>
      <c r="JA42" s="622">
        <f t="shared" si="85"/>
        <v>0</v>
      </c>
      <c r="JB42" s="312">
        <v>0</v>
      </c>
      <c r="JC42" s="312">
        <v>0</v>
      </c>
      <c r="JD42" s="622">
        <f t="shared" si="86"/>
        <v>0</v>
      </c>
      <c r="JE42" s="312">
        <v>1637</v>
      </c>
      <c r="JF42" s="312">
        <v>292</v>
      </c>
      <c r="JG42" s="622">
        <f t="shared" si="87"/>
        <v>1929</v>
      </c>
      <c r="JH42" s="312">
        <v>0</v>
      </c>
      <c r="JI42" s="312">
        <v>1</v>
      </c>
      <c r="JJ42" s="622">
        <f t="shared" si="88"/>
        <v>1</v>
      </c>
      <c r="JK42" s="312">
        <v>0</v>
      </c>
      <c r="JL42" s="312">
        <v>0</v>
      </c>
      <c r="JM42" s="622">
        <f t="shared" si="89"/>
        <v>0</v>
      </c>
      <c r="JN42" s="312">
        <v>0</v>
      </c>
      <c r="JO42" s="312">
        <v>0</v>
      </c>
      <c r="JP42" s="622">
        <f t="shared" si="90"/>
        <v>0</v>
      </c>
      <c r="JQ42" s="312">
        <v>0</v>
      </c>
      <c r="JR42" s="312">
        <v>0</v>
      </c>
      <c r="JS42" s="622">
        <f t="shared" si="91"/>
        <v>0</v>
      </c>
      <c r="JT42" s="312">
        <v>0</v>
      </c>
      <c r="JU42" s="312">
        <v>0</v>
      </c>
      <c r="JV42" s="622">
        <f t="shared" si="92"/>
        <v>0</v>
      </c>
      <c r="JW42" s="312">
        <v>0</v>
      </c>
      <c r="JX42" s="312">
        <v>0</v>
      </c>
      <c r="JY42" s="622">
        <f t="shared" si="93"/>
        <v>0</v>
      </c>
      <c r="JZ42" s="312">
        <v>0</v>
      </c>
      <c r="KA42" s="312">
        <v>0</v>
      </c>
      <c r="KB42" s="622">
        <f t="shared" si="94"/>
        <v>0</v>
      </c>
      <c r="KC42" s="312">
        <v>0</v>
      </c>
      <c r="KD42" s="312">
        <v>0</v>
      </c>
      <c r="KE42" s="622">
        <f t="shared" si="95"/>
        <v>0</v>
      </c>
      <c r="KF42" s="312">
        <v>0</v>
      </c>
      <c r="KG42" s="312">
        <v>0</v>
      </c>
      <c r="KH42" s="622">
        <f t="shared" si="96"/>
        <v>0</v>
      </c>
      <c r="KI42" s="312">
        <v>0</v>
      </c>
      <c r="KJ42" s="312">
        <v>0</v>
      </c>
      <c r="KK42" s="622">
        <f t="shared" si="97"/>
        <v>0</v>
      </c>
      <c r="KL42" s="622">
        <v>0</v>
      </c>
      <c r="KM42" s="622">
        <v>0</v>
      </c>
      <c r="KN42" s="622">
        <f t="shared" si="98"/>
        <v>0</v>
      </c>
      <c r="KO42" s="622">
        <v>0</v>
      </c>
      <c r="KP42" s="622">
        <v>0</v>
      </c>
      <c r="KQ42" s="622">
        <f t="shared" si="99"/>
        <v>0</v>
      </c>
      <c r="KR42" s="622">
        <v>0</v>
      </c>
      <c r="KS42" s="622">
        <v>0</v>
      </c>
      <c r="KT42" s="622">
        <f t="shared" si="100"/>
        <v>0</v>
      </c>
      <c r="KU42" s="622">
        <v>0</v>
      </c>
      <c r="KV42" s="622">
        <v>0</v>
      </c>
      <c r="KW42" s="622">
        <f t="shared" si="101"/>
        <v>0</v>
      </c>
      <c r="KX42" s="622">
        <v>0</v>
      </c>
      <c r="KY42" s="622">
        <v>0</v>
      </c>
      <c r="KZ42" s="622">
        <f t="shared" si="102"/>
        <v>0</v>
      </c>
      <c r="LA42" s="622">
        <v>0</v>
      </c>
      <c r="LB42" s="622">
        <v>0</v>
      </c>
      <c r="LC42" s="622">
        <f t="shared" si="103"/>
        <v>0</v>
      </c>
      <c r="LD42" s="622">
        <v>0</v>
      </c>
      <c r="LE42" s="622">
        <v>0</v>
      </c>
      <c r="LF42" s="622">
        <f t="shared" si="104"/>
        <v>0</v>
      </c>
      <c r="LG42" s="622">
        <v>0</v>
      </c>
      <c r="LH42" s="622">
        <v>0</v>
      </c>
      <c r="LI42" s="622">
        <f t="shared" si="105"/>
        <v>0</v>
      </c>
      <c r="LJ42" s="312">
        <v>0</v>
      </c>
      <c r="LK42" s="312">
        <v>0</v>
      </c>
      <c r="LL42" s="689">
        <f t="shared" si="106"/>
        <v>0</v>
      </c>
    </row>
    <row r="43" spans="1:324" ht="15" thickBot="1" x14ac:dyDescent="0.4">
      <c r="A43" s="690">
        <v>4</v>
      </c>
      <c r="B43" s="379" t="s">
        <v>291</v>
      </c>
      <c r="C43" s="434" t="s">
        <v>95</v>
      </c>
      <c r="D43" s="318">
        <v>3861</v>
      </c>
      <c r="E43" s="318">
        <v>3519</v>
      </c>
      <c r="F43" s="691">
        <f t="shared" si="0"/>
        <v>7380</v>
      </c>
      <c r="G43" s="318">
        <v>1</v>
      </c>
      <c r="H43" s="318">
        <v>5800</v>
      </c>
      <c r="I43" s="691">
        <f t="shared" si="1"/>
        <v>5801</v>
      </c>
      <c r="J43" s="318">
        <v>2956</v>
      </c>
      <c r="K43" s="318">
        <v>2642</v>
      </c>
      <c r="L43" s="691">
        <f t="shared" si="2"/>
        <v>5598</v>
      </c>
      <c r="M43" s="318">
        <v>44</v>
      </c>
      <c r="N43" s="318">
        <v>13</v>
      </c>
      <c r="O43" s="691">
        <f t="shared" si="3"/>
        <v>57</v>
      </c>
      <c r="P43" s="318">
        <v>126</v>
      </c>
      <c r="Q43" s="318">
        <v>63</v>
      </c>
      <c r="R43" s="691">
        <f t="shared" si="4"/>
        <v>189</v>
      </c>
      <c r="S43" s="318">
        <v>44</v>
      </c>
      <c r="T43" s="318">
        <v>0</v>
      </c>
      <c r="U43" s="691">
        <f t="shared" si="5"/>
        <v>44</v>
      </c>
      <c r="V43" s="318">
        <v>25</v>
      </c>
      <c r="W43" s="318">
        <v>1</v>
      </c>
      <c r="X43" s="691">
        <f t="shared" si="6"/>
        <v>26</v>
      </c>
      <c r="Y43" s="318">
        <v>64</v>
      </c>
      <c r="Z43" s="318">
        <v>6</v>
      </c>
      <c r="AA43" s="691">
        <f t="shared" si="7"/>
        <v>70</v>
      </c>
      <c r="AB43" s="318">
        <v>125</v>
      </c>
      <c r="AC43" s="318">
        <v>8</v>
      </c>
      <c r="AD43" s="691">
        <f t="shared" si="8"/>
        <v>133</v>
      </c>
      <c r="AE43" s="318">
        <v>4</v>
      </c>
      <c r="AF43" s="318">
        <v>0</v>
      </c>
      <c r="AG43" s="691">
        <f t="shared" si="9"/>
        <v>4</v>
      </c>
      <c r="AH43" s="318">
        <v>0</v>
      </c>
      <c r="AI43" s="318">
        <v>0</v>
      </c>
      <c r="AJ43" s="691">
        <f t="shared" si="10"/>
        <v>0</v>
      </c>
      <c r="AK43" s="318">
        <v>11</v>
      </c>
      <c r="AL43" s="318">
        <v>2</v>
      </c>
      <c r="AM43" s="691">
        <f t="shared" si="11"/>
        <v>13</v>
      </c>
      <c r="AN43" s="318">
        <v>4</v>
      </c>
      <c r="AO43" s="318">
        <v>0</v>
      </c>
      <c r="AP43" s="691">
        <f t="shared" si="12"/>
        <v>4</v>
      </c>
      <c r="AQ43" s="318">
        <v>8</v>
      </c>
      <c r="AR43" s="318">
        <v>1</v>
      </c>
      <c r="AS43" s="691">
        <f t="shared" si="13"/>
        <v>9</v>
      </c>
      <c r="AT43" s="318">
        <v>4258</v>
      </c>
      <c r="AU43" s="318">
        <v>1594</v>
      </c>
      <c r="AV43" s="691">
        <f t="shared" si="14"/>
        <v>5852</v>
      </c>
      <c r="AW43" s="318">
        <v>45</v>
      </c>
      <c r="AX43" s="318">
        <v>9</v>
      </c>
      <c r="AY43" s="691">
        <f t="shared" si="15"/>
        <v>54</v>
      </c>
      <c r="AZ43" s="318">
        <v>4</v>
      </c>
      <c r="BA43" s="318">
        <v>0</v>
      </c>
      <c r="BB43" s="691">
        <f t="shared" si="16"/>
        <v>4</v>
      </c>
      <c r="BC43" s="318">
        <v>62</v>
      </c>
      <c r="BD43" s="318">
        <v>24</v>
      </c>
      <c r="BE43" s="691">
        <f t="shared" si="17"/>
        <v>86</v>
      </c>
      <c r="BF43" s="318">
        <v>752</v>
      </c>
      <c r="BG43" s="318">
        <v>24</v>
      </c>
      <c r="BH43" s="691">
        <f t="shared" si="18"/>
        <v>776</v>
      </c>
      <c r="BI43" s="318">
        <v>131</v>
      </c>
      <c r="BJ43" s="318">
        <v>3</v>
      </c>
      <c r="BK43" s="691">
        <f t="shared" si="19"/>
        <v>134</v>
      </c>
      <c r="BL43" s="318">
        <v>0</v>
      </c>
      <c r="BM43" s="318">
        <v>0</v>
      </c>
      <c r="BN43" s="691">
        <f t="shared" si="20"/>
        <v>0</v>
      </c>
      <c r="BO43" s="318">
        <v>4</v>
      </c>
      <c r="BP43" s="318">
        <v>0</v>
      </c>
      <c r="BQ43" s="691">
        <f t="shared" si="21"/>
        <v>4</v>
      </c>
      <c r="BR43" s="318">
        <v>0</v>
      </c>
      <c r="BS43" s="318">
        <v>3</v>
      </c>
      <c r="BT43" s="691">
        <f t="shared" si="22"/>
        <v>3</v>
      </c>
      <c r="BU43" s="318">
        <v>0</v>
      </c>
      <c r="BV43" s="318">
        <v>0</v>
      </c>
      <c r="BW43" s="691">
        <f t="shared" si="23"/>
        <v>0</v>
      </c>
      <c r="BX43" s="318">
        <v>0</v>
      </c>
      <c r="BY43" s="318">
        <v>0</v>
      </c>
      <c r="BZ43" s="691">
        <f t="shared" si="24"/>
        <v>0</v>
      </c>
      <c r="CA43" s="318">
        <v>4</v>
      </c>
      <c r="CB43" s="318">
        <v>0</v>
      </c>
      <c r="CC43" s="691">
        <f t="shared" si="25"/>
        <v>4</v>
      </c>
      <c r="CD43" s="318">
        <v>5</v>
      </c>
      <c r="CE43" s="318">
        <v>0</v>
      </c>
      <c r="CF43" s="691">
        <f t="shared" si="26"/>
        <v>5</v>
      </c>
      <c r="CG43" s="318">
        <v>2</v>
      </c>
      <c r="CH43" s="318">
        <v>0</v>
      </c>
      <c r="CI43" s="691">
        <f t="shared" si="27"/>
        <v>2</v>
      </c>
      <c r="CJ43" s="318">
        <v>2</v>
      </c>
      <c r="CK43" s="318">
        <v>0</v>
      </c>
      <c r="CL43" s="691">
        <f t="shared" si="28"/>
        <v>2</v>
      </c>
      <c r="CM43" s="318">
        <v>1</v>
      </c>
      <c r="CN43" s="318">
        <v>3</v>
      </c>
      <c r="CO43" s="691">
        <f t="shared" si="29"/>
        <v>4</v>
      </c>
      <c r="CP43" s="318">
        <v>1</v>
      </c>
      <c r="CQ43" s="318">
        <v>0</v>
      </c>
      <c r="CR43" s="691">
        <f t="shared" si="30"/>
        <v>1</v>
      </c>
      <c r="CS43" s="318">
        <v>0</v>
      </c>
      <c r="CT43" s="318">
        <v>0</v>
      </c>
      <c r="CU43" s="691">
        <f t="shared" si="31"/>
        <v>0</v>
      </c>
      <c r="CV43" s="318">
        <v>0</v>
      </c>
      <c r="CW43" s="318">
        <v>0</v>
      </c>
      <c r="CX43" s="691">
        <f t="shared" si="32"/>
        <v>0</v>
      </c>
      <c r="CY43" s="318">
        <v>0</v>
      </c>
      <c r="CZ43" s="318">
        <v>0</v>
      </c>
      <c r="DA43" s="691">
        <f t="shared" si="33"/>
        <v>0</v>
      </c>
      <c r="DB43" s="318">
        <v>3</v>
      </c>
      <c r="DC43" s="318">
        <v>0</v>
      </c>
      <c r="DD43" s="691">
        <f t="shared" si="34"/>
        <v>3</v>
      </c>
      <c r="DE43" s="318">
        <v>2</v>
      </c>
      <c r="DF43" s="318">
        <v>0</v>
      </c>
      <c r="DG43" s="691">
        <f t="shared" si="35"/>
        <v>2</v>
      </c>
      <c r="DH43" s="318">
        <v>0</v>
      </c>
      <c r="DI43" s="318">
        <v>0</v>
      </c>
      <c r="DJ43" s="691">
        <f t="shared" si="36"/>
        <v>0</v>
      </c>
      <c r="DK43" s="318">
        <v>1</v>
      </c>
      <c r="DL43" s="318">
        <v>2</v>
      </c>
      <c r="DM43" s="691">
        <f t="shared" si="37"/>
        <v>3</v>
      </c>
      <c r="DN43" s="318">
        <v>0</v>
      </c>
      <c r="DO43" s="318">
        <v>0</v>
      </c>
      <c r="DP43" s="691">
        <f t="shared" si="38"/>
        <v>0</v>
      </c>
      <c r="DQ43" s="318">
        <v>0</v>
      </c>
      <c r="DR43" s="318">
        <v>0</v>
      </c>
      <c r="DS43" s="691">
        <f t="shared" si="39"/>
        <v>0</v>
      </c>
      <c r="DT43" s="318">
        <v>0</v>
      </c>
      <c r="DU43" s="318">
        <v>0</v>
      </c>
      <c r="DV43" s="691">
        <f t="shared" si="40"/>
        <v>0</v>
      </c>
      <c r="DW43" s="318">
        <v>3</v>
      </c>
      <c r="DX43" s="318">
        <v>2</v>
      </c>
      <c r="DY43" s="691">
        <f t="shared" si="41"/>
        <v>5</v>
      </c>
      <c r="DZ43" s="318">
        <v>0</v>
      </c>
      <c r="EA43" s="318">
        <v>0</v>
      </c>
      <c r="EB43" s="691">
        <f t="shared" si="42"/>
        <v>0</v>
      </c>
      <c r="EC43" s="318">
        <v>3</v>
      </c>
      <c r="ED43" s="318">
        <v>0</v>
      </c>
      <c r="EE43" s="691">
        <f t="shared" si="43"/>
        <v>3</v>
      </c>
      <c r="EF43" s="318">
        <v>3</v>
      </c>
      <c r="EG43" s="318">
        <v>0</v>
      </c>
      <c r="EH43" s="691">
        <f t="shared" si="44"/>
        <v>3</v>
      </c>
      <c r="EI43" s="318">
        <v>0</v>
      </c>
      <c r="EJ43" s="318">
        <v>0</v>
      </c>
      <c r="EK43" s="691">
        <f t="shared" si="45"/>
        <v>0</v>
      </c>
      <c r="EL43" s="318">
        <v>0</v>
      </c>
      <c r="EM43" s="318">
        <v>0</v>
      </c>
      <c r="EN43" s="691">
        <f t="shared" si="46"/>
        <v>0</v>
      </c>
      <c r="EO43" s="318">
        <v>0</v>
      </c>
      <c r="EP43" s="318">
        <v>0</v>
      </c>
      <c r="EQ43" s="691">
        <f t="shared" si="47"/>
        <v>0</v>
      </c>
      <c r="ER43" s="318">
        <v>0</v>
      </c>
      <c r="ES43" s="318">
        <v>0</v>
      </c>
      <c r="ET43" s="691">
        <f t="shared" si="48"/>
        <v>0</v>
      </c>
      <c r="EU43" s="318">
        <v>0</v>
      </c>
      <c r="EV43" s="318">
        <v>0</v>
      </c>
      <c r="EW43" s="691">
        <f t="shared" si="49"/>
        <v>0</v>
      </c>
      <c r="EX43" s="318">
        <v>0</v>
      </c>
      <c r="EY43" s="318">
        <v>0</v>
      </c>
      <c r="EZ43" s="691">
        <f t="shared" si="50"/>
        <v>0</v>
      </c>
      <c r="FA43" s="318">
        <v>0</v>
      </c>
      <c r="FB43" s="318">
        <v>0</v>
      </c>
      <c r="FC43" s="691">
        <f t="shared" si="51"/>
        <v>0</v>
      </c>
      <c r="FD43" s="318">
        <v>0</v>
      </c>
      <c r="FE43" s="318">
        <v>0</v>
      </c>
      <c r="FF43" s="691">
        <f t="shared" si="52"/>
        <v>0</v>
      </c>
      <c r="FG43" s="318">
        <v>0</v>
      </c>
      <c r="FH43" s="318">
        <v>0</v>
      </c>
      <c r="FI43" s="691">
        <f t="shared" si="53"/>
        <v>0</v>
      </c>
      <c r="FJ43" s="318">
        <v>0</v>
      </c>
      <c r="FK43" s="318">
        <v>0</v>
      </c>
      <c r="FL43" s="691">
        <f t="shared" si="54"/>
        <v>0</v>
      </c>
      <c r="FM43" s="318">
        <v>0</v>
      </c>
      <c r="FN43" s="318">
        <v>0</v>
      </c>
      <c r="FO43" s="691">
        <f t="shared" si="55"/>
        <v>0</v>
      </c>
      <c r="FP43" s="318">
        <v>0</v>
      </c>
      <c r="FQ43" s="318">
        <v>0</v>
      </c>
      <c r="FR43" s="691">
        <f t="shared" si="56"/>
        <v>0</v>
      </c>
      <c r="FS43" s="318">
        <v>0</v>
      </c>
      <c r="FT43" s="318">
        <v>0</v>
      </c>
      <c r="FU43" s="691">
        <f t="shared" si="57"/>
        <v>0</v>
      </c>
      <c r="FV43" s="318">
        <v>0</v>
      </c>
      <c r="FW43" s="318">
        <v>0</v>
      </c>
      <c r="FX43" s="691">
        <f t="shared" si="58"/>
        <v>0</v>
      </c>
      <c r="FY43" s="318">
        <v>0</v>
      </c>
      <c r="FZ43" s="318">
        <v>0</v>
      </c>
      <c r="GA43" s="691">
        <f t="shared" si="59"/>
        <v>0</v>
      </c>
      <c r="GB43" s="318">
        <v>0</v>
      </c>
      <c r="GC43" s="318">
        <v>0</v>
      </c>
      <c r="GD43" s="691">
        <f t="shared" si="60"/>
        <v>0</v>
      </c>
      <c r="GE43" s="318">
        <v>0</v>
      </c>
      <c r="GF43" s="318">
        <v>0</v>
      </c>
      <c r="GG43" s="691">
        <f t="shared" si="61"/>
        <v>0</v>
      </c>
      <c r="GH43" s="318">
        <v>0</v>
      </c>
      <c r="GI43" s="318">
        <v>0</v>
      </c>
      <c r="GJ43" s="691">
        <f t="shared" si="62"/>
        <v>0</v>
      </c>
      <c r="GK43" s="318">
        <v>2</v>
      </c>
      <c r="GL43" s="318">
        <v>3</v>
      </c>
      <c r="GM43" s="691">
        <f t="shared" si="63"/>
        <v>5</v>
      </c>
      <c r="GN43" s="318">
        <v>51</v>
      </c>
      <c r="GO43" s="318">
        <v>127</v>
      </c>
      <c r="GP43" s="691">
        <f t="shared" si="64"/>
        <v>178</v>
      </c>
      <c r="GQ43" s="318">
        <v>0</v>
      </c>
      <c r="GR43" s="318">
        <v>0</v>
      </c>
      <c r="GS43" s="691">
        <f t="shared" si="65"/>
        <v>0</v>
      </c>
      <c r="GT43" s="318">
        <v>0</v>
      </c>
      <c r="GU43" s="318">
        <v>0</v>
      </c>
      <c r="GV43" s="691">
        <f t="shared" si="66"/>
        <v>0</v>
      </c>
      <c r="GW43" s="318">
        <v>1</v>
      </c>
      <c r="GX43" s="318">
        <v>0</v>
      </c>
      <c r="GY43" s="691">
        <f t="shared" si="67"/>
        <v>1</v>
      </c>
      <c r="GZ43" s="318">
        <v>0</v>
      </c>
      <c r="HA43" s="318">
        <v>0</v>
      </c>
      <c r="HB43" s="691">
        <f t="shared" si="68"/>
        <v>0</v>
      </c>
      <c r="HC43" s="318">
        <v>0</v>
      </c>
      <c r="HD43" s="318">
        <v>0</v>
      </c>
      <c r="HE43" s="691">
        <f t="shared" si="69"/>
        <v>0</v>
      </c>
      <c r="HF43" s="318">
        <v>0</v>
      </c>
      <c r="HG43" s="318">
        <v>0</v>
      </c>
      <c r="HH43" s="691">
        <f t="shared" si="70"/>
        <v>0</v>
      </c>
      <c r="HI43" s="318">
        <v>0</v>
      </c>
      <c r="HJ43" s="318">
        <v>0</v>
      </c>
      <c r="HK43" s="691">
        <f t="shared" si="71"/>
        <v>0</v>
      </c>
      <c r="HL43" s="318">
        <v>0</v>
      </c>
      <c r="HM43" s="318">
        <v>25</v>
      </c>
      <c r="HN43" s="691">
        <f t="shared" si="72"/>
        <v>25</v>
      </c>
      <c r="HO43" s="318">
        <v>4</v>
      </c>
      <c r="HP43" s="318">
        <v>30</v>
      </c>
      <c r="HQ43" s="691">
        <f t="shared" si="73"/>
        <v>34</v>
      </c>
      <c r="HR43" s="318">
        <v>0</v>
      </c>
      <c r="HS43" s="318">
        <v>1</v>
      </c>
      <c r="HT43" s="691">
        <f t="shared" si="74"/>
        <v>1</v>
      </c>
      <c r="HU43" s="318">
        <v>0</v>
      </c>
      <c r="HV43" s="318">
        <v>0</v>
      </c>
      <c r="HW43" s="691">
        <f t="shared" si="75"/>
        <v>0</v>
      </c>
      <c r="HX43" s="318">
        <v>0</v>
      </c>
      <c r="HY43" s="318">
        <v>0</v>
      </c>
      <c r="HZ43" s="691">
        <f t="shared" si="76"/>
        <v>0</v>
      </c>
      <c r="IA43" s="318">
        <v>0</v>
      </c>
      <c r="IB43" s="318">
        <v>0</v>
      </c>
      <c r="IC43" s="691">
        <f t="shared" si="77"/>
        <v>0</v>
      </c>
      <c r="ID43" s="318">
        <v>1</v>
      </c>
      <c r="IE43" s="318">
        <v>0</v>
      </c>
      <c r="IF43" s="691">
        <f t="shared" si="78"/>
        <v>1</v>
      </c>
      <c r="IG43" s="318">
        <v>0</v>
      </c>
      <c r="IH43" s="318">
        <v>0</v>
      </c>
      <c r="II43" s="691">
        <f t="shared" si="79"/>
        <v>0</v>
      </c>
      <c r="IJ43" s="318">
        <v>49</v>
      </c>
      <c r="IK43" s="318">
        <v>0</v>
      </c>
      <c r="IL43" s="691">
        <f t="shared" si="80"/>
        <v>49</v>
      </c>
      <c r="IM43" s="318">
        <v>1</v>
      </c>
      <c r="IN43" s="318">
        <v>0</v>
      </c>
      <c r="IO43" s="691">
        <f t="shared" si="81"/>
        <v>1</v>
      </c>
      <c r="IP43" s="318">
        <v>0</v>
      </c>
      <c r="IQ43" s="318">
        <v>0</v>
      </c>
      <c r="IR43" s="691">
        <f t="shared" si="82"/>
        <v>0</v>
      </c>
      <c r="IS43" s="318">
        <v>97</v>
      </c>
      <c r="IT43" s="318">
        <v>18</v>
      </c>
      <c r="IU43" s="691">
        <f t="shared" si="83"/>
        <v>115</v>
      </c>
      <c r="IV43" s="318">
        <v>2</v>
      </c>
      <c r="IW43" s="318">
        <v>0</v>
      </c>
      <c r="IX43" s="691">
        <f t="shared" si="84"/>
        <v>2</v>
      </c>
      <c r="IY43" s="318">
        <v>0</v>
      </c>
      <c r="IZ43" s="318">
        <v>0</v>
      </c>
      <c r="JA43" s="691">
        <f t="shared" si="85"/>
        <v>0</v>
      </c>
      <c r="JB43" s="318">
        <v>0</v>
      </c>
      <c r="JC43" s="318">
        <v>0</v>
      </c>
      <c r="JD43" s="691">
        <f t="shared" si="86"/>
        <v>0</v>
      </c>
      <c r="JE43" s="318">
        <v>1556</v>
      </c>
      <c r="JF43" s="318">
        <v>224</v>
      </c>
      <c r="JG43" s="691">
        <f t="shared" si="87"/>
        <v>1780</v>
      </c>
      <c r="JH43" s="318">
        <v>1</v>
      </c>
      <c r="JI43" s="318">
        <v>1</v>
      </c>
      <c r="JJ43" s="691">
        <f t="shared" si="88"/>
        <v>2</v>
      </c>
      <c r="JK43" s="318">
        <v>0</v>
      </c>
      <c r="JL43" s="318">
        <v>0</v>
      </c>
      <c r="JM43" s="691">
        <f t="shared" si="89"/>
        <v>0</v>
      </c>
      <c r="JN43" s="318">
        <v>0</v>
      </c>
      <c r="JO43" s="318">
        <v>0</v>
      </c>
      <c r="JP43" s="691">
        <f t="shared" si="90"/>
        <v>0</v>
      </c>
      <c r="JQ43" s="318">
        <v>0</v>
      </c>
      <c r="JR43" s="318">
        <v>0</v>
      </c>
      <c r="JS43" s="691">
        <f t="shared" si="91"/>
        <v>0</v>
      </c>
      <c r="JT43" s="318">
        <v>0</v>
      </c>
      <c r="JU43" s="318">
        <v>0</v>
      </c>
      <c r="JV43" s="691">
        <f t="shared" si="92"/>
        <v>0</v>
      </c>
      <c r="JW43" s="318">
        <v>0</v>
      </c>
      <c r="JX43" s="318">
        <v>0</v>
      </c>
      <c r="JY43" s="691">
        <f t="shared" si="93"/>
        <v>0</v>
      </c>
      <c r="JZ43" s="318">
        <v>0</v>
      </c>
      <c r="KA43" s="318">
        <v>0</v>
      </c>
      <c r="KB43" s="691">
        <f t="shared" si="94"/>
        <v>0</v>
      </c>
      <c r="KC43" s="318">
        <v>0</v>
      </c>
      <c r="KD43" s="318">
        <v>0</v>
      </c>
      <c r="KE43" s="691">
        <f t="shared" si="95"/>
        <v>0</v>
      </c>
      <c r="KF43" s="318">
        <v>0</v>
      </c>
      <c r="KG43" s="318">
        <v>0</v>
      </c>
      <c r="KH43" s="691">
        <f t="shared" si="96"/>
        <v>0</v>
      </c>
      <c r="KI43" s="318">
        <v>0</v>
      </c>
      <c r="KJ43" s="318">
        <v>0</v>
      </c>
      <c r="KK43" s="691">
        <f t="shared" si="97"/>
        <v>0</v>
      </c>
      <c r="KL43" s="691">
        <v>0</v>
      </c>
      <c r="KM43" s="691">
        <v>0</v>
      </c>
      <c r="KN43" s="691">
        <f t="shared" si="98"/>
        <v>0</v>
      </c>
      <c r="KO43" s="691">
        <v>0</v>
      </c>
      <c r="KP43" s="691">
        <v>0</v>
      </c>
      <c r="KQ43" s="691">
        <f t="shared" si="99"/>
        <v>0</v>
      </c>
      <c r="KR43" s="691">
        <v>0</v>
      </c>
      <c r="KS43" s="691">
        <v>0</v>
      </c>
      <c r="KT43" s="691">
        <f t="shared" si="100"/>
        <v>0</v>
      </c>
      <c r="KU43" s="691">
        <v>0</v>
      </c>
      <c r="KV43" s="691">
        <v>0</v>
      </c>
      <c r="KW43" s="691">
        <f t="shared" si="101"/>
        <v>0</v>
      </c>
      <c r="KX43" s="691">
        <v>0</v>
      </c>
      <c r="KY43" s="691">
        <v>0</v>
      </c>
      <c r="KZ43" s="691">
        <f t="shared" si="102"/>
        <v>0</v>
      </c>
      <c r="LA43" s="691">
        <v>0</v>
      </c>
      <c r="LB43" s="691">
        <v>0</v>
      </c>
      <c r="LC43" s="691">
        <f t="shared" si="103"/>
        <v>0</v>
      </c>
      <c r="LD43" s="691">
        <v>0</v>
      </c>
      <c r="LE43" s="691">
        <v>0</v>
      </c>
      <c r="LF43" s="691">
        <f t="shared" si="104"/>
        <v>0</v>
      </c>
      <c r="LG43" s="691">
        <v>0</v>
      </c>
      <c r="LH43" s="691">
        <v>0</v>
      </c>
      <c r="LI43" s="691">
        <f t="shared" si="105"/>
        <v>0</v>
      </c>
      <c r="LJ43" s="318">
        <v>0</v>
      </c>
      <c r="LK43" s="318">
        <v>0</v>
      </c>
      <c r="LL43" s="692">
        <f t="shared" si="106"/>
        <v>0</v>
      </c>
    </row>
    <row r="44" spans="1:324" x14ac:dyDescent="0.35">
      <c r="A44" s="693">
        <v>3</v>
      </c>
      <c r="B44" s="383" t="s">
        <v>292</v>
      </c>
      <c r="C44" s="437" t="s">
        <v>102</v>
      </c>
      <c r="D44" s="324">
        <v>22609</v>
      </c>
      <c r="E44" s="324">
        <v>20473</v>
      </c>
      <c r="F44" s="694">
        <f t="shared" si="0"/>
        <v>43082</v>
      </c>
      <c r="G44" s="324">
        <v>19</v>
      </c>
      <c r="H44" s="324">
        <v>40914</v>
      </c>
      <c r="I44" s="694">
        <f t="shared" si="1"/>
        <v>40933</v>
      </c>
      <c r="J44" s="324">
        <v>30677</v>
      </c>
      <c r="K44" s="324">
        <v>26514</v>
      </c>
      <c r="L44" s="694">
        <f t="shared" si="2"/>
        <v>57191</v>
      </c>
      <c r="M44" s="324">
        <v>1973</v>
      </c>
      <c r="N44" s="324">
        <v>922</v>
      </c>
      <c r="O44" s="694">
        <f t="shared" si="3"/>
        <v>2895</v>
      </c>
      <c r="P44" s="324">
        <v>2003</v>
      </c>
      <c r="Q44" s="324">
        <v>1817</v>
      </c>
      <c r="R44" s="694">
        <f t="shared" si="4"/>
        <v>3820</v>
      </c>
      <c r="S44" s="324">
        <v>589</v>
      </c>
      <c r="T44" s="324">
        <v>71</v>
      </c>
      <c r="U44" s="694">
        <f t="shared" si="5"/>
        <v>660</v>
      </c>
      <c r="V44" s="324">
        <v>248</v>
      </c>
      <c r="W44" s="324">
        <v>27</v>
      </c>
      <c r="X44" s="694">
        <f t="shared" si="6"/>
        <v>275</v>
      </c>
      <c r="Y44" s="324">
        <v>375</v>
      </c>
      <c r="Z44" s="324">
        <v>99</v>
      </c>
      <c r="AA44" s="694">
        <f t="shared" si="7"/>
        <v>474</v>
      </c>
      <c r="AB44" s="324">
        <v>123</v>
      </c>
      <c r="AC44" s="324">
        <v>33</v>
      </c>
      <c r="AD44" s="694">
        <f t="shared" si="8"/>
        <v>156</v>
      </c>
      <c r="AE44" s="324">
        <v>4</v>
      </c>
      <c r="AF44" s="324">
        <v>1</v>
      </c>
      <c r="AG44" s="694">
        <f t="shared" si="9"/>
        <v>5</v>
      </c>
      <c r="AH44" s="324">
        <v>2</v>
      </c>
      <c r="AI44" s="324">
        <v>0</v>
      </c>
      <c r="AJ44" s="694">
        <f t="shared" si="10"/>
        <v>2</v>
      </c>
      <c r="AK44" s="324">
        <v>56</v>
      </c>
      <c r="AL44" s="324">
        <v>11</v>
      </c>
      <c r="AM44" s="694">
        <f t="shared" si="11"/>
        <v>67</v>
      </c>
      <c r="AN44" s="324">
        <v>33</v>
      </c>
      <c r="AO44" s="324">
        <v>0</v>
      </c>
      <c r="AP44" s="694">
        <f t="shared" si="12"/>
        <v>33</v>
      </c>
      <c r="AQ44" s="324">
        <v>99</v>
      </c>
      <c r="AR44" s="324">
        <v>3</v>
      </c>
      <c r="AS44" s="694">
        <f t="shared" si="13"/>
        <v>102</v>
      </c>
      <c r="AT44" s="324">
        <v>35368</v>
      </c>
      <c r="AU44" s="324">
        <v>19958</v>
      </c>
      <c r="AV44" s="694">
        <f t="shared" si="14"/>
        <v>55326</v>
      </c>
      <c r="AW44" s="324">
        <v>1024</v>
      </c>
      <c r="AX44" s="324">
        <v>590</v>
      </c>
      <c r="AY44" s="694">
        <f t="shared" si="15"/>
        <v>1614</v>
      </c>
      <c r="AZ44" s="324">
        <v>46</v>
      </c>
      <c r="BA44" s="324">
        <v>23</v>
      </c>
      <c r="BB44" s="694">
        <f t="shared" si="16"/>
        <v>69</v>
      </c>
      <c r="BC44" s="324">
        <v>150</v>
      </c>
      <c r="BD44" s="324">
        <v>124</v>
      </c>
      <c r="BE44" s="694">
        <f t="shared" si="17"/>
        <v>274</v>
      </c>
      <c r="BF44" s="324">
        <v>2528</v>
      </c>
      <c r="BG44" s="324">
        <v>141</v>
      </c>
      <c r="BH44" s="694">
        <f t="shared" si="18"/>
        <v>2669</v>
      </c>
      <c r="BI44" s="324">
        <v>73</v>
      </c>
      <c r="BJ44" s="324">
        <v>14</v>
      </c>
      <c r="BK44" s="694">
        <f t="shared" si="19"/>
        <v>87</v>
      </c>
      <c r="BL44" s="324">
        <v>2</v>
      </c>
      <c r="BM44" s="324">
        <v>0</v>
      </c>
      <c r="BN44" s="694">
        <f t="shared" si="20"/>
        <v>2</v>
      </c>
      <c r="BO44" s="324">
        <v>2</v>
      </c>
      <c r="BP44" s="324">
        <v>0</v>
      </c>
      <c r="BQ44" s="694">
        <f t="shared" si="21"/>
        <v>2</v>
      </c>
      <c r="BR44" s="324">
        <v>2</v>
      </c>
      <c r="BS44" s="324">
        <v>60</v>
      </c>
      <c r="BT44" s="694">
        <f t="shared" si="22"/>
        <v>62</v>
      </c>
      <c r="BU44" s="324">
        <v>2</v>
      </c>
      <c r="BV44" s="324">
        <v>0</v>
      </c>
      <c r="BW44" s="694">
        <f t="shared" si="23"/>
        <v>2</v>
      </c>
      <c r="BX44" s="324">
        <v>1</v>
      </c>
      <c r="BY44" s="324">
        <v>0</v>
      </c>
      <c r="BZ44" s="694">
        <f t="shared" si="24"/>
        <v>1</v>
      </c>
      <c r="CA44" s="324">
        <v>14</v>
      </c>
      <c r="CB44" s="324">
        <v>0</v>
      </c>
      <c r="CC44" s="694">
        <f t="shared" si="25"/>
        <v>14</v>
      </c>
      <c r="CD44" s="324">
        <v>5</v>
      </c>
      <c r="CE44" s="324">
        <v>0</v>
      </c>
      <c r="CF44" s="694">
        <f t="shared" si="26"/>
        <v>5</v>
      </c>
      <c r="CG44" s="324">
        <v>1</v>
      </c>
      <c r="CH44" s="324">
        <v>0</v>
      </c>
      <c r="CI44" s="694">
        <f t="shared" si="27"/>
        <v>1</v>
      </c>
      <c r="CJ44" s="324">
        <v>4</v>
      </c>
      <c r="CK44" s="324">
        <v>0</v>
      </c>
      <c r="CL44" s="694">
        <f t="shared" si="28"/>
        <v>4</v>
      </c>
      <c r="CM44" s="324">
        <v>10</v>
      </c>
      <c r="CN44" s="324">
        <v>6</v>
      </c>
      <c r="CO44" s="694">
        <f t="shared" si="29"/>
        <v>16</v>
      </c>
      <c r="CP44" s="324">
        <v>0</v>
      </c>
      <c r="CQ44" s="324">
        <v>0</v>
      </c>
      <c r="CR44" s="694">
        <f t="shared" si="30"/>
        <v>0</v>
      </c>
      <c r="CS44" s="324">
        <v>0</v>
      </c>
      <c r="CT44" s="324">
        <v>1</v>
      </c>
      <c r="CU44" s="694">
        <f t="shared" si="31"/>
        <v>1</v>
      </c>
      <c r="CV44" s="324">
        <v>0</v>
      </c>
      <c r="CW44" s="324">
        <v>1</v>
      </c>
      <c r="CX44" s="694">
        <f t="shared" si="32"/>
        <v>1</v>
      </c>
      <c r="CY44" s="324">
        <v>1</v>
      </c>
      <c r="CZ44" s="324">
        <v>2</v>
      </c>
      <c r="DA44" s="694">
        <f t="shared" si="33"/>
        <v>3</v>
      </c>
      <c r="DB44" s="324">
        <v>35</v>
      </c>
      <c r="DC44" s="324">
        <v>0</v>
      </c>
      <c r="DD44" s="694">
        <f t="shared" si="34"/>
        <v>35</v>
      </c>
      <c r="DE44" s="324">
        <v>57</v>
      </c>
      <c r="DF44" s="324">
        <v>17</v>
      </c>
      <c r="DG44" s="694">
        <f t="shared" si="35"/>
        <v>74</v>
      </c>
      <c r="DH44" s="324">
        <v>2</v>
      </c>
      <c r="DI44" s="324">
        <v>1</v>
      </c>
      <c r="DJ44" s="694">
        <f t="shared" si="36"/>
        <v>3</v>
      </c>
      <c r="DK44" s="324">
        <v>0</v>
      </c>
      <c r="DL44" s="324">
        <v>0</v>
      </c>
      <c r="DM44" s="694">
        <f t="shared" si="37"/>
        <v>0</v>
      </c>
      <c r="DN44" s="324">
        <v>0</v>
      </c>
      <c r="DO44" s="324">
        <v>0</v>
      </c>
      <c r="DP44" s="694">
        <f t="shared" si="38"/>
        <v>0</v>
      </c>
      <c r="DQ44" s="324">
        <v>1</v>
      </c>
      <c r="DR44" s="324">
        <v>2</v>
      </c>
      <c r="DS44" s="694">
        <f t="shared" si="39"/>
        <v>3</v>
      </c>
      <c r="DT44" s="324">
        <v>3</v>
      </c>
      <c r="DU44" s="324">
        <v>0</v>
      </c>
      <c r="DV44" s="694">
        <f t="shared" si="40"/>
        <v>3</v>
      </c>
      <c r="DW44" s="324">
        <v>23</v>
      </c>
      <c r="DX44" s="324">
        <v>6</v>
      </c>
      <c r="DY44" s="694">
        <f t="shared" si="41"/>
        <v>29</v>
      </c>
      <c r="DZ44" s="324">
        <v>1</v>
      </c>
      <c r="EA44" s="324">
        <v>0</v>
      </c>
      <c r="EB44" s="694">
        <f t="shared" si="42"/>
        <v>1</v>
      </c>
      <c r="EC44" s="324">
        <v>98</v>
      </c>
      <c r="ED44" s="324">
        <v>24</v>
      </c>
      <c r="EE44" s="694">
        <f t="shared" si="43"/>
        <v>122</v>
      </c>
      <c r="EF44" s="324">
        <v>11</v>
      </c>
      <c r="EG44" s="324">
        <v>3</v>
      </c>
      <c r="EH44" s="694">
        <f t="shared" si="44"/>
        <v>14</v>
      </c>
      <c r="EI44" s="324">
        <v>3</v>
      </c>
      <c r="EJ44" s="324">
        <v>1</v>
      </c>
      <c r="EK44" s="694">
        <f t="shared" si="45"/>
        <v>4</v>
      </c>
      <c r="EL44" s="324">
        <v>1</v>
      </c>
      <c r="EM44" s="324">
        <v>0</v>
      </c>
      <c r="EN44" s="694">
        <f t="shared" si="46"/>
        <v>1</v>
      </c>
      <c r="EO44" s="324">
        <v>3</v>
      </c>
      <c r="EP44" s="324">
        <v>1</v>
      </c>
      <c r="EQ44" s="694">
        <f t="shared" si="47"/>
        <v>4</v>
      </c>
      <c r="ER44" s="324">
        <v>1</v>
      </c>
      <c r="ES44" s="324">
        <v>0</v>
      </c>
      <c r="ET44" s="694">
        <f t="shared" si="48"/>
        <v>1</v>
      </c>
      <c r="EU44" s="324">
        <v>0</v>
      </c>
      <c r="EV44" s="324">
        <v>0</v>
      </c>
      <c r="EW44" s="694">
        <f t="shared" si="49"/>
        <v>0</v>
      </c>
      <c r="EX44" s="324">
        <v>0</v>
      </c>
      <c r="EY44" s="324">
        <v>0</v>
      </c>
      <c r="EZ44" s="694">
        <f t="shared" si="50"/>
        <v>0</v>
      </c>
      <c r="FA44" s="324">
        <v>0</v>
      </c>
      <c r="FB44" s="324">
        <v>0</v>
      </c>
      <c r="FC44" s="694">
        <f t="shared" si="51"/>
        <v>0</v>
      </c>
      <c r="FD44" s="324">
        <v>0</v>
      </c>
      <c r="FE44" s="324">
        <v>0</v>
      </c>
      <c r="FF44" s="694">
        <f t="shared" si="52"/>
        <v>0</v>
      </c>
      <c r="FG44" s="324">
        <v>0</v>
      </c>
      <c r="FH44" s="324">
        <v>0</v>
      </c>
      <c r="FI44" s="694">
        <f t="shared" si="53"/>
        <v>0</v>
      </c>
      <c r="FJ44" s="324">
        <v>0</v>
      </c>
      <c r="FK44" s="324">
        <v>0</v>
      </c>
      <c r="FL44" s="694">
        <f t="shared" si="54"/>
        <v>0</v>
      </c>
      <c r="FM44" s="324">
        <v>0</v>
      </c>
      <c r="FN44" s="324">
        <v>0</v>
      </c>
      <c r="FO44" s="694">
        <f t="shared" si="55"/>
        <v>0</v>
      </c>
      <c r="FP44" s="324">
        <v>1</v>
      </c>
      <c r="FQ44" s="324">
        <v>0</v>
      </c>
      <c r="FR44" s="694">
        <f t="shared" si="56"/>
        <v>1</v>
      </c>
      <c r="FS44" s="324">
        <v>0</v>
      </c>
      <c r="FT44" s="324">
        <v>0</v>
      </c>
      <c r="FU44" s="694">
        <f t="shared" si="57"/>
        <v>0</v>
      </c>
      <c r="FV44" s="324">
        <v>0</v>
      </c>
      <c r="FW44" s="324">
        <v>0</v>
      </c>
      <c r="FX44" s="694">
        <f t="shared" si="58"/>
        <v>0</v>
      </c>
      <c r="FY44" s="324">
        <v>0</v>
      </c>
      <c r="FZ44" s="324">
        <v>0</v>
      </c>
      <c r="GA44" s="694">
        <f t="shared" si="59"/>
        <v>0</v>
      </c>
      <c r="GB44" s="324">
        <v>0</v>
      </c>
      <c r="GC44" s="324">
        <v>0</v>
      </c>
      <c r="GD44" s="694">
        <f t="shared" si="60"/>
        <v>0</v>
      </c>
      <c r="GE44" s="324">
        <v>0</v>
      </c>
      <c r="GF44" s="324">
        <v>0</v>
      </c>
      <c r="GG44" s="694">
        <f t="shared" si="61"/>
        <v>0</v>
      </c>
      <c r="GH44" s="324">
        <v>2</v>
      </c>
      <c r="GI44" s="324">
        <v>1</v>
      </c>
      <c r="GJ44" s="694">
        <f t="shared" si="62"/>
        <v>3</v>
      </c>
      <c r="GK44" s="324">
        <v>158</v>
      </c>
      <c r="GL44" s="324">
        <v>173</v>
      </c>
      <c r="GM44" s="694">
        <f t="shared" si="63"/>
        <v>331</v>
      </c>
      <c r="GN44" s="324">
        <v>615</v>
      </c>
      <c r="GO44" s="324">
        <v>1617</v>
      </c>
      <c r="GP44" s="694">
        <f t="shared" si="64"/>
        <v>2232</v>
      </c>
      <c r="GQ44" s="324">
        <v>79</v>
      </c>
      <c r="GR44" s="324">
        <v>2</v>
      </c>
      <c r="GS44" s="694">
        <f t="shared" si="65"/>
        <v>81</v>
      </c>
      <c r="GT44" s="324">
        <v>78</v>
      </c>
      <c r="GU44" s="324">
        <v>16</v>
      </c>
      <c r="GV44" s="694">
        <f t="shared" si="66"/>
        <v>94</v>
      </c>
      <c r="GW44" s="324">
        <v>8</v>
      </c>
      <c r="GX44" s="324">
        <v>18</v>
      </c>
      <c r="GY44" s="694">
        <f t="shared" si="67"/>
        <v>26</v>
      </c>
      <c r="GZ44" s="324">
        <v>13</v>
      </c>
      <c r="HA44" s="324">
        <v>7</v>
      </c>
      <c r="HB44" s="694">
        <f t="shared" si="68"/>
        <v>20</v>
      </c>
      <c r="HC44" s="324">
        <v>8</v>
      </c>
      <c r="HD44" s="324">
        <v>5</v>
      </c>
      <c r="HE44" s="694">
        <f t="shared" si="69"/>
        <v>13</v>
      </c>
      <c r="HF44" s="324">
        <v>21</v>
      </c>
      <c r="HG44" s="324">
        <v>6</v>
      </c>
      <c r="HH44" s="694">
        <f t="shared" si="70"/>
        <v>27</v>
      </c>
      <c r="HI44" s="324">
        <v>168</v>
      </c>
      <c r="HJ44" s="324">
        <v>445</v>
      </c>
      <c r="HK44" s="694">
        <f t="shared" si="71"/>
        <v>613</v>
      </c>
      <c r="HL44" s="324">
        <v>0</v>
      </c>
      <c r="HM44" s="324">
        <v>128</v>
      </c>
      <c r="HN44" s="694">
        <f t="shared" si="72"/>
        <v>128</v>
      </c>
      <c r="HO44" s="324">
        <v>27</v>
      </c>
      <c r="HP44" s="324">
        <v>194</v>
      </c>
      <c r="HQ44" s="694">
        <f t="shared" si="73"/>
        <v>221</v>
      </c>
      <c r="HR44" s="324">
        <v>4</v>
      </c>
      <c r="HS44" s="324">
        <v>29</v>
      </c>
      <c r="HT44" s="694">
        <f t="shared" si="74"/>
        <v>33</v>
      </c>
      <c r="HU44" s="324">
        <v>0</v>
      </c>
      <c r="HV44" s="324">
        <v>13</v>
      </c>
      <c r="HW44" s="694">
        <f t="shared" si="75"/>
        <v>13</v>
      </c>
      <c r="HX44" s="324">
        <v>0</v>
      </c>
      <c r="HY44" s="324">
        <v>0</v>
      </c>
      <c r="HZ44" s="694">
        <f t="shared" si="76"/>
        <v>0</v>
      </c>
      <c r="IA44" s="324">
        <v>0</v>
      </c>
      <c r="IB44" s="324">
        <v>0</v>
      </c>
      <c r="IC44" s="694">
        <f t="shared" si="77"/>
        <v>0</v>
      </c>
      <c r="ID44" s="324">
        <v>42</v>
      </c>
      <c r="IE44" s="324">
        <v>0</v>
      </c>
      <c r="IF44" s="694">
        <f t="shared" si="78"/>
        <v>42</v>
      </c>
      <c r="IG44" s="324">
        <v>9</v>
      </c>
      <c r="IH44" s="324">
        <v>3</v>
      </c>
      <c r="II44" s="694">
        <f t="shared" si="79"/>
        <v>12</v>
      </c>
      <c r="IJ44" s="324">
        <v>257</v>
      </c>
      <c r="IK44" s="324">
        <v>0</v>
      </c>
      <c r="IL44" s="694">
        <f t="shared" si="80"/>
        <v>257</v>
      </c>
      <c r="IM44" s="324">
        <v>0</v>
      </c>
      <c r="IN44" s="324">
        <v>0</v>
      </c>
      <c r="IO44" s="694">
        <f t="shared" si="81"/>
        <v>0</v>
      </c>
      <c r="IP44" s="324">
        <v>0</v>
      </c>
      <c r="IQ44" s="324">
        <v>0</v>
      </c>
      <c r="IR44" s="694">
        <f t="shared" si="82"/>
        <v>0</v>
      </c>
      <c r="IS44" s="324">
        <v>414</v>
      </c>
      <c r="IT44" s="324">
        <v>102</v>
      </c>
      <c r="IU44" s="694">
        <f t="shared" si="83"/>
        <v>516</v>
      </c>
      <c r="IV44" s="324">
        <v>2</v>
      </c>
      <c r="IW44" s="324">
        <v>0</v>
      </c>
      <c r="IX44" s="694">
        <f t="shared" si="84"/>
        <v>2</v>
      </c>
      <c r="IY44" s="324">
        <v>0</v>
      </c>
      <c r="IZ44" s="324">
        <v>0</v>
      </c>
      <c r="JA44" s="694">
        <f t="shared" si="85"/>
        <v>0</v>
      </c>
      <c r="JB44" s="324">
        <v>0</v>
      </c>
      <c r="JC44" s="324">
        <v>2</v>
      </c>
      <c r="JD44" s="694">
        <f t="shared" si="86"/>
        <v>2</v>
      </c>
      <c r="JE44" s="324">
        <v>16923</v>
      </c>
      <c r="JF44" s="324">
        <v>3662</v>
      </c>
      <c r="JG44" s="694">
        <f t="shared" si="87"/>
        <v>20585</v>
      </c>
      <c r="JH44" s="324">
        <v>3</v>
      </c>
      <c r="JI44" s="324">
        <v>1</v>
      </c>
      <c r="JJ44" s="694">
        <f t="shared" si="88"/>
        <v>4</v>
      </c>
      <c r="JK44" s="324">
        <v>1</v>
      </c>
      <c r="JL44" s="324">
        <v>0</v>
      </c>
      <c r="JM44" s="694">
        <f t="shared" si="89"/>
        <v>1</v>
      </c>
      <c r="JN44" s="324">
        <v>0</v>
      </c>
      <c r="JO44" s="324">
        <v>0</v>
      </c>
      <c r="JP44" s="694">
        <f t="shared" si="90"/>
        <v>0</v>
      </c>
      <c r="JQ44" s="324">
        <v>0</v>
      </c>
      <c r="JR44" s="324">
        <v>0</v>
      </c>
      <c r="JS44" s="694">
        <f t="shared" si="91"/>
        <v>0</v>
      </c>
      <c r="JT44" s="324">
        <v>0</v>
      </c>
      <c r="JU44" s="324">
        <v>0</v>
      </c>
      <c r="JV44" s="694">
        <f t="shared" si="92"/>
        <v>0</v>
      </c>
      <c r="JW44" s="324">
        <v>0</v>
      </c>
      <c r="JX44" s="324">
        <v>0</v>
      </c>
      <c r="JY44" s="694">
        <f t="shared" si="93"/>
        <v>0</v>
      </c>
      <c r="JZ44" s="324">
        <v>0</v>
      </c>
      <c r="KA44" s="324">
        <v>0</v>
      </c>
      <c r="KB44" s="694">
        <f t="shared" si="94"/>
        <v>0</v>
      </c>
      <c r="KC44" s="324">
        <v>0</v>
      </c>
      <c r="KD44" s="324">
        <v>0</v>
      </c>
      <c r="KE44" s="694">
        <f t="shared" si="95"/>
        <v>0</v>
      </c>
      <c r="KF44" s="324">
        <v>0</v>
      </c>
      <c r="KG44" s="324">
        <v>0</v>
      </c>
      <c r="KH44" s="694">
        <f t="shared" si="96"/>
        <v>0</v>
      </c>
      <c r="KI44" s="324">
        <v>0</v>
      </c>
      <c r="KJ44" s="324">
        <v>0</v>
      </c>
      <c r="KK44" s="694">
        <f t="shared" si="97"/>
        <v>0</v>
      </c>
      <c r="KL44" s="694">
        <v>0</v>
      </c>
      <c r="KM44" s="694">
        <v>0</v>
      </c>
      <c r="KN44" s="694">
        <f t="shared" si="98"/>
        <v>0</v>
      </c>
      <c r="KO44" s="694">
        <v>0</v>
      </c>
      <c r="KP44" s="694">
        <v>0</v>
      </c>
      <c r="KQ44" s="694">
        <f t="shared" si="99"/>
        <v>0</v>
      </c>
      <c r="KR44" s="694">
        <v>0</v>
      </c>
      <c r="KS44" s="694">
        <v>0</v>
      </c>
      <c r="KT44" s="694">
        <f t="shared" si="100"/>
        <v>0</v>
      </c>
      <c r="KU44" s="694">
        <v>0</v>
      </c>
      <c r="KV44" s="694">
        <v>0</v>
      </c>
      <c r="KW44" s="694">
        <f t="shared" si="101"/>
        <v>0</v>
      </c>
      <c r="KX44" s="694">
        <v>0</v>
      </c>
      <c r="KY44" s="694">
        <v>0</v>
      </c>
      <c r="KZ44" s="694">
        <f t="shared" si="102"/>
        <v>0</v>
      </c>
      <c r="LA44" s="694">
        <v>0</v>
      </c>
      <c r="LB44" s="694">
        <v>0</v>
      </c>
      <c r="LC44" s="694">
        <f t="shared" si="103"/>
        <v>0</v>
      </c>
      <c r="LD44" s="694">
        <v>0</v>
      </c>
      <c r="LE44" s="694">
        <v>0</v>
      </c>
      <c r="LF44" s="694">
        <f t="shared" si="104"/>
        <v>0</v>
      </c>
      <c r="LG44" s="694">
        <v>0</v>
      </c>
      <c r="LH44" s="694">
        <v>0</v>
      </c>
      <c r="LI44" s="694">
        <f t="shared" si="105"/>
        <v>0</v>
      </c>
      <c r="LJ44" s="324">
        <v>1</v>
      </c>
      <c r="LK44" s="324">
        <v>2</v>
      </c>
      <c r="LL44" s="695">
        <f t="shared" si="106"/>
        <v>3</v>
      </c>
    </row>
    <row r="45" spans="1:324" x14ac:dyDescent="0.35">
      <c r="A45" s="696">
        <v>4</v>
      </c>
      <c r="B45" s="387" t="s">
        <v>293</v>
      </c>
      <c r="C45" s="440" t="s">
        <v>98</v>
      </c>
      <c r="D45" s="330">
        <v>4409</v>
      </c>
      <c r="E45" s="330">
        <v>4157</v>
      </c>
      <c r="F45" s="629">
        <f t="shared" si="0"/>
        <v>8566</v>
      </c>
      <c r="G45" s="330">
        <v>5</v>
      </c>
      <c r="H45" s="330">
        <v>8504</v>
      </c>
      <c r="I45" s="629">
        <f t="shared" si="1"/>
        <v>8509</v>
      </c>
      <c r="J45" s="330">
        <v>6265</v>
      </c>
      <c r="K45" s="330">
        <v>5522</v>
      </c>
      <c r="L45" s="629">
        <f t="shared" si="2"/>
        <v>11787</v>
      </c>
      <c r="M45" s="330">
        <v>405</v>
      </c>
      <c r="N45" s="330">
        <v>167</v>
      </c>
      <c r="O45" s="629">
        <f t="shared" si="3"/>
        <v>572</v>
      </c>
      <c r="P45" s="330">
        <v>374</v>
      </c>
      <c r="Q45" s="330">
        <v>325</v>
      </c>
      <c r="R45" s="629">
        <f t="shared" si="4"/>
        <v>699</v>
      </c>
      <c r="S45" s="330">
        <v>68</v>
      </c>
      <c r="T45" s="330">
        <v>3</v>
      </c>
      <c r="U45" s="629">
        <f t="shared" si="5"/>
        <v>71</v>
      </c>
      <c r="V45" s="330">
        <v>64</v>
      </c>
      <c r="W45" s="330">
        <v>4</v>
      </c>
      <c r="X45" s="629">
        <f t="shared" si="6"/>
        <v>68</v>
      </c>
      <c r="Y45" s="330">
        <v>54</v>
      </c>
      <c r="Z45" s="330">
        <v>8</v>
      </c>
      <c r="AA45" s="629">
        <f t="shared" si="7"/>
        <v>62</v>
      </c>
      <c r="AB45" s="330">
        <v>13</v>
      </c>
      <c r="AC45" s="330">
        <v>2</v>
      </c>
      <c r="AD45" s="629">
        <f t="shared" si="8"/>
        <v>15</v>
      </c>
      <c r="AE45" s="330">
        <v>0</v>
      </c>
      <c r="AF45" s="330">
        <v>0</v>
      </c>
      <c r="AG45" s="629">
        <f t="shared" si="9"/>
        <v>0</v>
      </c>
      <c r="AH45" s="330">
        <v>0</v>
      </c>
      <c r="AI45" s="330">
        <v>0</v>
      </c>
      <c r="AJ45" s="629">
        <f t="shared" si="10"/>
        <v>0</v>
      </c>
      <c r="AK45" s="330">
        <v>4</v>
      </c>
      <c r="AL45" s="330">
        <v>1</v>
      </c>
      <c r="AM45" s="629">
        <f t="shared" si="11"/>
        <v>5</v>
      </c>
      <c r="AN45" s="330">
        <v>3</v>
      </c>
      <c r="AO45" s="330">
        <v>0</v>
      </c>
      <c r="AP45" s="629">
        <f t="shared" si="12"/>
        <v>3</v>
      </c>
      <c r="AQ45" s="330">
        <v>10</v>
      </c>
      <c r="AR45" s="330">
        <v>0</v>
      </c>
      <c r="AS45" s="629">
        <f t="shared" si="13"/>
        <v>10</v>
      </c>
      <c r="AT45" s="330">
        <v>7231</v>
      </c>
      <c r="AU45" s="330">
        <v>4105</v>
      </c>
      <c r="AV45" s="629">
        <f t="shared" si="14"/>
        <v>11336</v>
      </c>
      <c r="AW45" s="330">
        <v>172</v>
      </c>
      <c r="AX45" s="330">
        <v>91</v>
      </c>
      <c r="AY45" s="629">
        <f t="shared" si="15"/>
        <v>263</v>
      </c>
      <c r="AZ45" s="330">
        <v>8</v>
      </c>
      <c r="BA45" s="330">
        <v>0</v>
      </c>
      <c r="BB45" s="629">
        <f t="shared" si="16"/>
        <v>8</v>
      </c>
      <c r="BC45" s="330">
        <v>42</v>
      </c>
      <c r="BD45" s="330">
        <v>29</v>
      </c>
      <c r="BE45" s="629">
        <f t="shared" si="17"/>
        <v>71</v>
      </c>
      <c r="BF45" s="330">
        <v>559</v>
      </c>
      <c r="BG45" s="330">
        <v>25</v>
      </c>
      <c r="BH45" s="629">
        <f t="shared" si="18"/>
        <v>584</v>
      </c>
      <c r="BI45" s="330">
        <v>5</v>
      </c>
      <c r="BJ45" s="330">
        <v>1</v>
      </c>
      <c r="BK45" s="629">
        <f t="shared" si="19"/>
        <v>6</v>
      </c>
      <c r="BL45" s="330">
        <v>0</v>
      </c>
      <c r="BM45" s="330">
        <v>0</v>
      </c>
      <c r="BN45" s="629">
        <f t="shared" si="20"/>
        <v>0</v>
      </c>
      <c r="BO45" s="330">
        <v>0</v>
      </c>
      <c r="BP45" s="330">
        <v>0</v>
      </c>
      <c r="BQ45" s="629">
        <f t="shared" si="21"/>
        <v>0</v>
      </c>
      <c r="BR45" s="330">
        <v>0</v>
      </c>
      <c r="BS45" s="330">
        <v>8</v>
      </c>
      <c r="BT45" s="629">
        <f t="shared" si="22"/>
        <v>8</v>
      </c>
      <c r="BU45" s="330">
        <v>1</v>
      </c>
      <c r="BV45" s="330">
        <v>0</v>
      </c>
      <c r="BW45" s="629">
        <f t="shared" si="23"/>
        <v>1</v>
      </c>
      <c r="BX45" s="330">
        <v>0</v>
      </c>
      <c r="BY45" s="330">
        <v>0</v>
      </c>
      <c r="BZ45" s="629">
        <f t="shared" si="24"/>
        <v>0</v>
      </c>
      <c r="CA45" s="330">
        <v>6</v>
      </c>
      <c r="CB45" s="330">
        <v>0</v>
      </c>
      <c r="CC45" s="629">
        <f t="shared" si="25"/>
        <v>6</v>
      </c>
      <c r="CD45" s="330">
        <v>1</v>
      </c>
      <c r="CE45" s="330">
        <v>0</v>
      </c>
      <c r="CF45" s="629">
        <f t="shared" si="26"/>
        <v>1</v>
      </c>
      <c r="CG45" s="330">
        <v>0</v>
      </c>
      <c r="CH45" s="330">
        <v>0</v>
      </c>
      <c r="CI45" s="629">
        <f t="shared" si="27"/>
        <v>0</v>
      </c>
      <c r="CJ45" s="330">
        <v>1</v>
      </c>
      <c r="CK45" s="330">
        <v>0</v>
      </c>
      <c r="CL45" s="629">
        <f t="shared" si="28"/>
        <v>1</v>
      </c>
      <c r="CM45" s="330">
        <v>1</v>
      </c>
      <c r="CN45" s="330">
        <v>2</v>
      </c>
      <c r="CO45" s="629">
        <f t="shared" si="29"/>
        <v>3</v>
      </c>
      <c r="CP45" s="330">
        <v>0</v>
      </c>
      <c r="CQ45" s="330">
        <v>0</v>
      </c>
      <c r="CR45" s="629">
        <f t="shared" si="30"/>
        <v>0</v>
      </c>
      <c r="CS45" s="330">
        <v>0</v>
      </c>
      <c r="CT45" s="330">
        <v>0</v>
      </c>
      <c r="CU45" s="629">
        <f t="shared" si="31"/>
        <v>0</v>
      </c>
      <c r="CV45" s="330">
        <v>0</v>
      </c>
      <c r="CW45" s="330">
        <v>0</v>
      </c>
      <c r="CX45" s="629">
        <f t="shared" si="32"/>
        <v>0</v>
      </c>
      <c r="CY45" s="330">
        <v>0</v>
      </c>
      <c r="CZ45" s="330">
        <v>1</v>
      </c>
      <c r="DA45" s="629">
        <f t="shared" si="33"/>
        <v>1</v>
      </c>
      <c r="DB45" s="330">
        <v>4</v>
      </c>
      <c r="DC45" s="330">
        <v>0</v>
      </c>
      <c r="DD45" s="629">
        <f t="shared" si="34"/>
        <v>4</v>
      </c>
      <c r="DE45" s="330">
        <v>7</v>
      </c>
      <c r="DF45" s="330">
        <v>1</v>
      </c>
      <c r="DG45" s="629">
        <f t="shared" si="35"/>
        <v>8</v>
      </c>
      <c r="DH45" s="330">
        <v>1</v>
      </c>
      <c r="DI45" s="330">
        <v>1</v>
      </c>
      <c r="DJ45" s="629">
        <f t="shared" si="36"/>
        <v>2</v>
      </c>
      <c r="DK45" s="330">
        <v>0</v>
      </c>
      <c r="DL45" s="330">
        <v>0</v>
      </c>
      <c r="DM45" s="629">
        <f t="shared" si="37"/>
        <v>0</v>
      </c>
      <c r="DN45" s="330">
        <v>0</v>
      </c>
      <c r="DO45" s="330">
        <v>0</v>
      </c>
      <c r="DP45" s="629">
        <f t="shared" si="38"/>
        <v>0</v>
      </c>
      <c r="DQ45" s="330">
        <v>0</v>
      </c>
      <c r="DR45" s="330">
        <v>0</v>
      </c>
      <c r="DS45" s="629">
        <f t="shared" si="39"/>
        <v>0</v>
      </c>
      <c r="DT45" s="330">
        <v>0</v>
      </c>
      <c r="DU45" s="330">
        <v>0</v>
      </c>
      <c r="DV45" s="629">
        <f t="shared" si="40"/>
        <v>0</v>
      </c>
      <c r="DW45" s="330">
        <v>5</v>
      </c>
      <c r="DX45" s="330">
        <v>1</v>
      </c>
      <c r="DY45" s="629">
        <f t="shared" si="41"/>
        <v>6</v>
      </c>
      <c r="DZ45" s="330">
        <v>0</v>
      </c>
      <c r="EA45" s="330">
        <v>0</v>
      </c>
      <c r="EB45" s="629">
        <f t="shared" si="42"/>
        <v>0</v>
      </c>
      <c r="EC45" s="330">
        <v>13</v>
      </c>
      <c r="ED45" s="330">
        <v>5</v>
      </c>
      <c r="EE45" s="629">
        <f t="shared" si="43"/>
        <v>18</v>
      </c>
      <c r="EF45" s="330">
        <v>2</v>
      </c>
      <c r="EG45" s="330">
        <v>0</v>
      </c>
      <c r="EH45" s="629">
        <f t="shared" si="44"/>
        <v>2</v>
      </c>
      <c r="EI45" s="330">
        <v>0</v>
      </c>
      <c r="EJ45" s="330">
        <v>0</v>
      </c>
      <c r="EK45" s="629">
        <f t="shared" si="45"/>
        <v>0</v>
      </c>
      <c r="EL45" s="330">
        <v>0</v>
      </c>
      <c r="EM45" s="330">
        <v>0</v>
      </c>
      <c r="EN45" s="629">
        <f t="shared" si="46"/>
        <v>0</v>
      </c>
      <c r="EO45" s="330">
        <v>1</v>
      </c>
      <c r="EP45" s="330">
        <v>0</v>
      </c>
      <c r="EQ45" s="629">
        <f t="shared" si="47"/>
        <v>1</v>
      </c>
      <c r="ER45" s="330">
        <v>0</v>
      </c>
      <c r="ES45" s="330">
        <v>0</v>
      </c>
      <c r="ET45" s="629">
        <f t="shared" si="48"/>
        <v>0</v>
      </c>
      <c r="EU45" s="330">
        <v>0</v>
      </c>
      <c r="EV45" s="330">
        <v>0</v>
      </c>
      <c r="EW45" s="629">
        <f t="shared" si="49"/>
        <v>0</v>
      </c>
      <c r="EX45" s="330">
        <v>0</v>
      </c>
      <c r="EY45" s="330">
        <v>0</v>
      </c>
      <c r="EZ45" s="629">
        <f t="shared" si="50"/>
        <v>0</v>
      </c>
      <c r="FA45" s="330">
        <v>0</v>
      </c>
      <c r="FB45" s="330">
        <v>0</v>
      </c>
      <c r="FC45" s="629">
        <f t="shared" si="51"/>
        <v>0</v>
      </c>
      <c r="FD45" s="330">
        <v>0</v>
      </c>
      <c r="FE45" s="330">
        <v>0</v>
      </c>
      <c r="FF45" s="629">
        <f t="shared" si="52"/>
        <v>0</v>
      </c>
      <c r="FG45" s="330">
        <v>0</v>
      </c>
      <c r="FH45" s="330">
        <v>0</v>
      </c>
      <c r="FI45" s="629">
        <f t="shared" si="53"/>
        <v>0</v>
      </c>
      <c r="FJ45" s="330">
        <v>0</v>
      </c>
      <c r="FK45" s="330">
        <v>0</v>
      </c>
      <c r="FL45" s="629">
        <f t="shared" si="54"/>
        <v>0</v>
      </c>
      <c r="FM45" s="330">
        <v>0</v>
      </c>
      <c r="FN45" s="330">
        <v>0</v>
      </c>
      <c r="FO45" s="629">
        <f t="shared" si="55"/>
        <v>0</v>
      </c>
      <c r="FP45" s="330">
        <v>1</v>
      </c>
      <c r="FQ45" s="330">
        <v>0</v>
      </c>
      <c r="FR45" s="629">
        <f t="shared" si="56"/>
        <v>1</v>
      </c>
      <c r="FS45" s="330">
        <v>0</v>
      </c>
      <c r="FT45" s="330">
        <v>0</v>
      </c>
      <c r="FU45" s="629">
        <f t="shared" si="57"/>
        <v>0</v>
      </c>
      <c r="FV45" s="330">
        <v>0</v>
      </c>
      <c r="FW45" s="330">
        <v>0</v>
      </c>
      <c r="FX45" s="629">
        <f t="shared" si="58"/>
        <v>0</v>
      </c>
      <c r="FY45" s="330">
        <v>0</v>
      </c>
      <c r="FZ45" s="330">
        <v>0</v>
      </c>
      <c r="GA45" s="629">
        <f t="shared" si="59"/>
        <v>0</v>
      </c>
      <c r="GB45" s="330">
        <v>0</v>
      </c>
      <c r="GC45" s="330">
        <v>0</v>
      </c>
      <c r="GD45" s="629">
        <f t="shared" si="60"/>
        <v>0</v>
      </c>
      <c r="GE45" s="330">
        <v>0</v>
      </c>
      <c r="GF45" s="330">
        <v>0</v>
      </c>
      <c r="GG45" s="629">
        <f t="shared" si="61"/>
        <v>0</v>
      </c>
      <c r="GH45" s="330">
        <v>0</v>
      </c>
      <c r="GI45" s="330">
        <v>0</v>
      </c>
      <c r="GJ45" s="629">
        <f t="shared" si="62"/>
        <v>0</v>
      </c>
      <c r="GK45" s="330">
        <v>36</v>
      </c>
      <c r="GL45" s="330">
        <v>31</v>
      </c>
      <c r="GM45" s="629">
        <f t="shared" si="63"/>
        <v>67</v>
      </c>
      <c r="GN45" s="330">
        <v>103</v>
      </c>
      <c r="GO45" s="330">
        <v>298</v>
      </c>
      <c r="GP45" s="629">
        <f t="shared" si="64"/>
        <v>401</v>
      </c>
      <c r="GQ45" s="330">
        <v>33</v>
      </c>
      <c r="GR45" s="330">
        <v>1</v>
      </c>
      <c r="GS45" s="629">
        <f t="shared" si="65"/>
        <v>34</v>
      </c>
      <c r="GT45" s="330">
        <v>13</v>
      </c>
      <c r="GU45" s="330">
        <v>2</v>
      </c>
      <c r="GV45" s="629">
        <f t="shared" si="66"/>
        <v>15</v>
      </c>
      <c r="GW45" s="330">
        <v>2</v>
      </c>
      <c r="GX45" s="330">
        <v>3</v>
      </c>
      <c r="GY45" s="629">
        <f t="shared" si="67"/>
        <v>5</v>
      </c>
      <c r="GZ45" s="330">
        <v>2</v>
      </c>
      <c r="HA45" s="330">
        <v>1</v>
      </c>
      <c r="HB45" s="629">
        <f t="shared" si="68"/>
        <v>3</v>
      </c>
      <c r="HC45" s="330">
        <v>2</v>
      </c>
      <c r="HD45" s="330">
        <v>1</v>
      </c>
      <c r="HE45" s="629">
        <f t="shared" si="69"/>
        <v>3</v>
      </c>
      <c r="HF45" s="330">
        <v>3</v>
      </c>
      <c r="HG45" s="330">
        <v>1</v>
      </c>
      <c r="HH45" s="629">
        <f t="shared" si="70"/>
        <v>4</v>
      </c>
      <c r="HI45" s="330">
        <v>26</v>
      </c>
      <c r="HJ45" s="330">
        <v>66</v>
      </c>
      <c r="HK45" s="629">
        <f t="shared" si="71"/>
        <v>92</v>
      </c>
      <c r="HL45" s="330">
        <v>0</v>
      </c>
      <c r="HM45" s="330">
        <v>27</v>
      </c>
      <c r="HN45" s="629">
        <f t="shared" si="72"/>
        <v>27</v>
      </c>
      <c r="HO45" s="330">
        <v>8</v>
      </c>
      <c r="HP45" s="330">
        <v>47</v>
      </c>
      <c r="HQ45" s="629">
        <f t="shared" si="73"/>
        <v>55</v>
      </c>
      <c r="HR45" s="330">
        <v>2</v>
      </c>
      <c r="HS45" s="330">
        <v>3</v>
      </c>
      <c r="HT45" s="629">
        <f t="shared" si="74"/>
        <v>5</v>
      </c>
      <c r="HU45" s="330">
        <v>0</v>
      </c>
      <c r="HV45" s="330">
        <v>4</v>
      </c>
      <c r="HW45" s="629">
        <f t="shared" si="75"/>
        <v>4</v>
      </c>
      <c r="HX45" s="330">
        <v>0</v>
      </c>
      <c r="HY45" s="330">
        <v>0</v>
      </c>
      <c r="HZ45" s="629">
        <f t="shared" si="76"/>
        <v>0</v>
      </c>
      <c r="IA45" s="330">
        <v>0</v>
      </c>
      <c r="IB45" s="330">
        <v>0</v>
      </c>
      <c r="IC45" s="629">
        <f t="shared" si="77"/>
        <v>0</v>
      </c>
      <c r="ID45" s="330">
        <v>7</v>
      </c>
      <c r="IE45" s="330">
        <v>0</v>
      </c>
      <c r="IF45" s="629">
        <f t="shared" si="78"/>
        <v>7</v>
      </c>
      <c r="IG45" s="330">
        <v>1</v>
      </c>
      <c r="IH45" s="330">
        <v>1</v>
      </c>
      <c r="II45" s="629">
        <f t="shared" si="79"/>
        <v>2</v>
      </c>
      <c r="IJ45" s="330">
        <v>69</v>
      </c>
      <c r="IK45" s="330">
        <v>0</v>
      </c>
      <c r="IL45" s="629">
        <f t="shared" si="80"/>
        <v>69</v>
      </c>
      <c r="IM45" s="330">
        <v>0</v>
      </c>
      <c r="IN45" s="330">
        <v>0</v>
      </c>
      <c r="IO45" s="629">
        <f t="shared" si="81"/>
        <v>0</v>
      </c>
      <c r="IP45" s="330">
        <v>0</v>
      </c>
      <c r="IQ45" s="330">
        <v>0</v>
      </c>
      <c r="IR45" s="629">
        <f t="shared" si="82"/>
        <v>0</v>
      </c>
      <c r="IS45" s="330">
        <v>117</v>
      </c>
      <c r="IT45" s="330">
        <v>26</v>
      </c>
      <c r="IU45" s="629">
        <f t="shared" si="83"/>
        <v>143</v>
      </c>
      <c r="IV45" s="330">
        <v>0</v>
      </c>
      <c r="IW45" s="330">
        <v>0</v>
      </c>
      <c r="IX45" s="629">
        <f t="shared" si="84"/>
        <v>0</v>
      </c>
      <c r="IY45" s="330">
        <v>0</v>
      </c>
      <c r="IZ45" s="330">
        <v>0</v>
      </c>
      <c r="JA45" s="629">
        <f t="shared" si="85"/>
        <v>0</v>
      </c>
      <c r="JB45" s="330">
        <v>0</v>
      </c>
      <c r="JC45" s="330">
        <v>0</v>
      </c>
      <c r="JD45" s="629">
        <f t="shared" si="86"/>
        <v>0</v>
      </c>
      <c r="JE45" s="330">
        <v>3851</v>
      </c>
      <c r="JF45" s="330">
        <v>800</v>
      </c>
      <c r="JG45" s="629">
        <f t="shared" si="87"/>
        <v>4651</v>
      </c>
      <c r="JH45" s="330">
        <v>0</v>
      </c>
      <c r="JI45" s="330">
        <v>1</v>
      </c>
      <c r="JJ45" s="629">
        <f t="shared" si="88"/>
        <v>1</v>
      </c>
      <c r="JK45" s="330">
        <v>0</v>
      </c>
      <c r="JL45" s="330">
        <v>0</v>
      </c>
      <c r="JM45" s="629">
        <f t="shared" si="89"/>
        <v>0</v>
      </c>
      <c r="JN45" s="330">
        <v>0</v>
      </c>
      <c r="JO45" s="330">
        <v>0</v>
      </c>
      <c r="JP45" s="629">
        <f t="shared" si="90"/>
        <v>0</v>
      </c>
      <c r="JQ45" s="330">
        <v>0</v>
      </c>
      <c r="JR45" s="330">
        <v>0</v>
      </c>
      <c r="JS45" s="629">
        <f t="shared" si="91"/>
        <v>0</v>
      </c>
      <c r="JT45" s="330">
        <v>0</v>
      </c>
      <c r="JU45" s="330">
        <v>0</v>
      </c>
      <c r="JV45" s="629">
        <f t="shared" si="92"/>
        <v>0</v>
      </c>
      <c r="JW45" s="330">
        <v>0</v>
      </c>
      <c r="JX45" s="330">
        <v>0</v>
      </c>
      <c r="JY45" s="629">
        <f t="shared" si="93"/>
        <v>0</v>
      </c>
      <c r="JZ45" s="330">
        <v>0</v>
      </c>
      <c r="KA45" s="330">
        <v>0</v>
      </c>
      <c r="KB45" s="629">
        <f t="shared" si="94"/>
        <v>0</v>
      </c>
      <c r="KC45" s="330">
        <v>0</v>
      </c>
      <c r="KD45" s="330">
        <v>0</v>
      </c>
      <c r="KE45" s="629">
        <f t="shared" si="95"/>
        <v>0</v>
      </c>
      <c r="KF45" s="330">
        <v>0</v>
      </c>
      <c r="KG45" s="330">
        <v>0</v>
      </c>
      <c r="KH45" s="629">
        <f t="shared" si="96"/>
        <v>0</v>
      </c>
      <c r="KI45" s="330">
        <v>0</v>
      </c>
      <c r="KJ45" s="330">
        <v>0</v>
      </c>
      <c r="KK45" s="629">
        <f t="shared" si="97"/>
        <v>0</v>
      </c>
      <c r="KL45" s="629">
        <v>0</v>
      </c>
      <c r="KM45" s="629">
        <v>0</v>
      </c>
      <c r="KN45" s="629">
        <f t="shared" si="98"/>
        <v>0</v>
      </c>
      <c r="KO45" s="629">
        <v>0</v>
      </c>
      <c r="KP45" s="629">
        <v>0</v>
      </c>
      <c r="KQ45" s="629">
        <f t="shared" si="99"/>
        <v>0</v>
      </c>
      <c r="KR45" s="629">
        <v>0</v>
      </c>
      <c r="KS45" s="629">
        <v>0</v>
      </c>
      <c r="KT45" s="629">
        <f t="shared" si="100"/>
        <v>0</v>
      </c>
      <c r="KU45" s="629">
        <v>0</v>
      </c>
      <c r="KV45" s="629">
        <v>0</v>
      </c>
      <c r="KW45" s="629">
        <f t="shared" si="101"/>
        <v>0</v>
      </c>
      <c r="KX45" s="629">
        <v>0</v>
      </c>
      <c r="KY45" s="629">
        <v>0</v>
      </c>
      <c r="KZ45" s="629">
        <f t="shared" si="102"/>
        <v>0</v>
      </c>
      <c r="LA45" s="629">
        <v>0</v>
      </c>
      <c r="LB45" s="629">
        <v>0</v>
      </c>
      <c r="LC45" s="629">
        <f t="shared" si="103"/>
        <v>0</v>
      </c>
      <c r="LD45" s="629">
        <v>0</v>
      </c>
      <c r="LE45" s="629">
        <v>0</v>
      </c>
      <c r="LF45" s="629">
        <f t="shared" si="104"/>
        <v>0</v>
      </c>
      <c r="LG45" s="629">
        <v>0</v>
      </c>
      <c r="LH45" s="629">
        <v>0</v>
      </c>
      <c r="LI45" s="629">
        <f t="shared" si="105"/>
        <v>0</v>
      </c>
      <c r="LJ45" s="330">
        <v>0</v>
      </c>
      <c r="LK45" s="330">
        <v>0</v>
      </c>
      <c r="LL45" s="697">
        <f t="shared" si="106"/>
        <v>0</v>
      </c>
    </row>
    <row r="46" spans="1:324" x14ac:dyDescent="0.35">
      <c r="A46" s="696">
        <v>4</v>
      </c>
      <c r="B46" s="387" t="s">
        <v>294</v>
      </c>
      <c r="C46" s="440" t="s">
        <v>100</v>
      </c>
      <c r="D46" s="330">
        <v>3703</v>
      </c>
      <c r="E46" s="330">
        <v>3217</v>
      </c>
      <c r="F46" s="629">
        <f t="shared" si="0"/>
        <v>6920</v>
      </c>
      <c r="G46" s="330">
        <v>3</v>
      </c>
      <c r="H46" s="330">
        <v>6472</v>
      </c>
      <c r="I46" s="629">
        <f t="shared" si="1"/>
        <v>6475</v>
      </c>
      <c r="J46" s="330">
        <v>4895</v>
      </c>
      <c r="K46" s="330">
        <v>4133</v>
      </c>
      <c r="L46" s="629">
        <f t="shared" si="2"/>
        <v>9028</v>
      </c>
      <c r="M46" s="330">
        <v>305</v>
      </c>
      <c r="N46" s="330">
        <v>176</v>
      </c>
      <c r="O46" s="629">
        <f t="shared" si="3"/>
        <v>481</v>
      </c>
      <c r="P46" s="330">
        <v>325</v>
      </c>
      <c r="Q46" s="330">
        <v>312</v>
      </c>
      <c r="R46" s="629">
        <f t="shared" si="4"/>
        <v>637</v>
      </c>
      <c r="S46" s="330">
        <v>49</v>
      </c>
      <c r="T46" s="330">
        <v>9</v>
      </c>
      <c r="U46" s="629">
        <f t="shared" si="5"/>
        <v>58</v>
      </c>
      <c r="V46" s="330">
        <v>41</v>
      </c>
      <c r="W46" s="330">
        <v>12</v>
      </c>
      <c r="X46" s="629">
        <f t="shared" si="6"/>
        <v>53</v>
      </c>
      <c r="Y46" s="330">
        <v>63</v>
      </c>
      <c r="Z46" s="330">
        <v>31</v>
      </c>
      <c r="AA46" s="629">
        <f t="shared" si="7"/>
        <v>94</v>
      </c>
      <c r="AB46" s="330">
        <v>27</v>
      </c>
      <c r="AC46" s="330">
        <v>3</v>
      </c>
      <c r="AD46" s="629">
        <f t="shared" si="8"/>
        <v>30</v>
      </c>
      <c r="AE46" s="330">
        <v>1</v>
      </c>
      <c r="AF46" s="330">
        <v>0</v>
      </c>
      <c r="AG46" s="629">
        <f t="shared" si="9"/>
        <v>1</v>
      </c>
      <c r="AH46" s="330">
        <v>1</v>
      </c>
      <c r="AI46" s="330">
        <v>0</v>
      </c>
      <c r="AJ46" s="629">
        <f t="shared" si="10"/>
        <v>1</v>
      </c>
      <c r="AK46" s="330">
        <v>15</v>
      </c>
      <c r="AL46" s="330">
        <v>4</v>
      </c>
      <c r="AM46" s="629">
        <f t="shared" si="11"/>
        <v>19</v>
      </c>
      <c r="AN46" s="330">
        <v>7</v>
      </c>
      <c r="AO46" s="330">
        <v>0</v>
      </c>
      <c r="AP46" s="629">
        <f t="shared" si="12"/>
        <v>7</v>
      </c>
      <c r="AQ46" s="330">
        <v>35</v>
      </c>
      <c r="AR46" s="330">
        <v>0</v>
      </c>
      <c r="AS46" s="629">
        <f t="shared" si="13"/>
        <v>35</v>
      </c>
      <c r="AT46" s="330">
        <v>5977</v>
      </c>
      <c r="AU46" s="330">
        <v>3541</v>
      </c>
      <c r="AV46" s="629">
        <f t="shared" si="14"/>
        <v>9518</v>
      </c>
      <c r="AW46" s="330">
        <v>207</v>
      </c>
      <c r="AX46" s="330">
        <v>128</v>
      </c>
      <c r="AY46" s="629">
        <f t="shared" si="15"/>
        <v>335</v>
      </c>
      <c r="AZ46" s="330">
        <v>12</v>
      </c>
      <c r="BA46" s="330">
        <v>6</v>
      </c>
      <c r="BB46" s="629">
        <f t="shared" si="16"/>
        <v>18</v>
      </c>
      <c r="BC46" s="330">
        <v>16</v>
      </c>
      <c r="BD46" s="330">
        <v>21</v>
      </c>
      <c r="BE46" s="629">
        <f t="shared" si="17"/>
        <v>37</v>
      </c>
      <c r="BF46" s="330">
        <v>329</v>
      </c>
      <c r="BG46" s="330">
        <v>25</v>
      </c>
      <c r="BH46" s="629">
        <f t="shared" si="18"/>
        <v>354</v>
      </c>
      <c r="BI46" s="330">
        <v>12</v>
      </c>
      <c r="BJ46" s="330">
        <v>1</v>
      </c>
      <c r="BK46" s="629">
        <f t="shared" si="19"/>
        <v>13</v>
      </c>
      <c r="BL46" s="330">
        <v>1</v>
      </c>
      <c r="BM46" s="330">
        <v>0</v>
      </c>
      <c r="BN46" s="629">
        <f t="shared" si="20"/>
        <v>1</v>
      </c>
      <c r="BO46" s="330">
        <v>0</v>
      </c>
      <c r="BP46" s="330">
        <v>0</v>
      </c>
      <c r="BQ46" s="629">
        <f t="shared" si="21"/>
        <v>0</v>
      </c>
      <c r="BR46" s="330">
        <v>0</v>
      </c>
      <c r="BS46" s="330">
        <v>16</v>
      </c>
      <c r="BT46" s="629">
        <f t="shared" si="22"/>
        <v>16</v>
      </c>
      <c r="BU46" s="330">
        <v>0</v>
      </c>
      <c r="BV46" s="330">
        <v>0</v>
      </c>
      <c r="BW46" s="629">
        <f t="shared" si="23"/>
        <v>0</v>
      </c>
      <c r="BX46" s="330">
        <v>0</v>
      </c>
      <c r="BY46" s="330">
        <v>0</v>
      </c>
      <c r="BZ46" s="629">
        <f t="shared" si="24"/>
        <v>0</v>
      </c>
      <c r="CA46" s="330">
        <v>3</v>
      </c>
      <c r="CB46" s="330">
        <v>0</v>
      </c>
      <c r="CC46" s="629">
        <f t="shared" si="25"/>
        <v>3</v>
      </c>
      <c r="CD46" s="330">
        <v>0</v>
      </c>
      <c r="CE46" s="330">
        <v>0</v>
      </c>
      <c r="CF46" s="629">
        <f t="shared" si="26"/>
        <v>0</v>
      </c>
      <c r="CG46" s="330">
        <v>1</v>
      </c>
      <c r="CH46" s="330">
        <v>0</v>
      </c>
      <c r="CI46" s="629">
        <f t="shared" si="27"/>
        <v>1</v>
      </c>
      <c r="CJ46" s="330">
        <v>1</v>
      </c>
      <c r="CK46" s="330">
        <v>0</v>
      </c>
      <c r="CL46" s="629">
        <f t="shared" si="28"/>
        <v>1</v>
      </c>
      <c r="CM46" s="330">
        <v>2</v>
      </c>
      <c r="CN46" s="330">
        <v>1</v>
      </c>
      <c r="CO46" s="629">
        <f t="shared" si="29"/>
        <v>3</v>
      </c>
      <c r="CP46" s="330">
        <v>0</v>
      </c>
      <c r="CQ46" s="330">
        <v>0</v>
      </c>
      <c r="CR46" s="629">
        <f t="shared" si="30"/>
        <v>0</v>
      </c>
      <c r="CS46" s="330">
        <v>0</v>
      </c>
      <c r="CT46" s="330">
        <v>0</v>
      </c>
      <c r="CU46" s="629">
        <f t="shared" si="31"/>
        <v>0</v>
      </c>
      <c r="CV46" s="330">
        <v>0</v>
      </c>
      <c r="CW46" s="330">
        <v>0</v>
      </c>
      <c r="CX46" s="629">
        <f t="shared" si="32"/>
        <v>0</v>
      </c>
      <c r="CY46" s="330">
        <v>0</v>
      </c>
      <c r="CZ46" s="330">
        <v>0</v>
      </c>
      <c r="DA46" s="629">
        <f t="shared" si="33"/>
        <v>0</v>
      </c>
      <c r="DB46" s="330">
        <v>5</v>
      </c>
      <c r="DC46" s="330">
        <v>0</v>
      </c>
      <c r="DD46" s="629">
        <f t="shared" si="34"/>
        <v>5</v>
      </c>
      <c r="DE46" s="330">
        <v>16</v>
      </c>
      <c r="DF46" s="330">
        <v>9</v>
      </c>
      <c r="DG46" s="629">
        <f t="shared" si="35"/>
        <v>25</v>
      </c>
      <c r="DH46" s="330">
        <v>0</v>
      </c>
      <c r="DI46" s="330">
        <v>0</v>
      </c>
      <c r="DJ46" s="629">
        <f t="shared" si="36"/>
        <v>0</v>
      </c>
      <c r="DK46" s="330">
        <v>0</v>
      </c>
      <c r="DL46" s="330">
        <v>0</v>
      </c>
      <c r="DM46" s="629">
        <f t="shared" si="37"/>
        <v>0</v>
      </c>
      <c r="DN46" s="330">
        <v>0</v>
      </c>
      <c r="DO46" s="330">
        <v>0</v>
      </c>
      <c r="DP46" s="629">
        <f t="shared" si="38"/>
        <v>0</v>
      </c>
      <c r="DQ46" s="330">
        <v>0</v>
      </c>
      <c r="DR46" s="330">
        <v>0</v>
      </c>
      <c r="DS46" s="629">
        <f t="shared" si="39"/>
        <v>0</v>
      </c>
      <c r="DT46" s="330">
        <v>1</v>
      </c>
      <c r="DU46" s="330">
        <v>0</v>
      </c>
      <c r="DV46" s="629">
        <f t="shared" si="40"/>
        <v>1</v>
      </c>
      <c r="DW46" s="330">
        <v>8</v>
      </c>
      <c r="DX46" s="330">
        <v>2</v>
      </c>
      <c r="DY46" s="629">
        <f t="shared" si="41"/>
        <v>10</v>
      </c>
      <c r="DZ46" s="330">
        <v>1</v>
      </c>
      <c r="EA46" s="330">
        <v>0</v>
      </c>
      <c r="EB46" s="629">
        <f t="shared" si="42"/>
        <v>1</v>
      </c>
      <c r="EC46" s="330">
        <v>20</v>
      </c>
      <c r="ED46" s="330">
        <v>5</v>
      </c>
      <c r="EE46" s="629">
        <f t="shared" si="43"/>
        <v>25</v>
      </c>
      <c r="EF46" s="330">
        <v>3</v>
      </c>
      <c r="EG46" s="330">
        <v>0</v>
      </c>
      <c r="EH46" s="629">
        <f t="shared" si="44"/>
        <v>3</v>
      </c>
      <c r="EI46" s="330">
        <v>0</v>
      </c>
      <c r="EJ46" s="330">
        <v>0</v>
      </c>
      <c r="EK46" s="629">
        <f t="shared" si="45"/>
        <v>0</v>
      </c>
      <c r="EL46" s="330">
        <v>0</v>
      </c>
      <c r="EM46" s="330">
        <v>0</v>
      </c>
      <c r="EN46" s="629">
        <f t="shared" si="46"/>
        <v>0</v>
      </c>
      <c r="EO46" s="330">
        <v>1</v>
      </c>
      <c r="EP46" s="330">
        <v>1</v>
      </c>
      <c r="EQ46" s="629">
        <f t="shared" si="47"/>
        <v>2</v>
      </c>
      <c r="ER46" s="330">
        <v>0</v>
      </c>
      <c r="ES46" s="330">
        <v>0</v>
      </c>
      <c r="ET46" s="629">
        <f t="shared" si="48"/>
        <v>0</v>
      </c>
      <c r="EU46" s="330">
        <v>0</v>
      </c>
      <c r="EV46" s="330">
        <v>0</v>
      </c>
      <c r="EW46" s="629">
        <f t="shared" si="49"/>
        <v>0</v>
      </c>
      <c r="EX46" s="330">
        <v>0</v>
      </c>
      <c r="EY46" s="330">
        <v>0</v>
      </c>
      <c r="EZ46" s="629">
        <f t="shared" si="50"/>
        <v>0</v>
      </c>
      <c r="FA46" s="330">
        <v>0</v>
      </c>
      <c r="FB46" s="330">
        <v>0</v>
      </c>
      <c r="FC46" s="629">
        <f t="shared" si="51"/>
        <v>0</v>
      </c>
      <c r="FD46" s="330">
        <v>0</v>
      </c>
      <c r="FE46" s="330">
        <v>0</v>
      </c>
      <c r="FF46" s="629">
        <f t="shared" si="52"/>
        <v>0</v>
      </c>
      <c r="FG46" s="330">
        <v>0</v>
      </c>
      <c r="FH46" s="330">
        <v>0</v>
      </c>
      <c r="FI46" s="629">
        <f t="shared" si="53"/>
        <v>0</v>
      </c>
      <c r="FJ46" s="330">
        <v>0</v>
      </c>
      <c r="FK46" s="330">
        <v>0</v>
      </c>
      <c r="FL46" s="629">
        <f t="shared" si="54"/>
        <v>0</v>
      </c>
      <c r="FM46" s="330">
        <v>0</v>
      </c>
      <c r="FN46" s="330">
        <v>0</v>
      </c>
      <c r="FO46" s="629">
        <f t="shared" si="55"/>
        <v>0</v>
      </c>
      <c r="FP46" s="330">
        <v>0</v>
      </c>
      <c r="FQ46" s="330">
        <v>0</v>
      </c>
      <c r="FR46" s="629">
        <f t="shared" si="56"/>
        <v>0</v>
      </c>
      <c r="FS46" s="330">
        <v>0</v>
      </c>
      <c r="FT46" s="330">
        <v>0</v>
      </c>
      <c r="FU46" s="629">
        <f t="shared" si="57"/>
        <v>0</v>
      </c>
      <c r="FV46" s="330">
        <v>0</v>
      </c>
      <c r="FW46" s="330">
        <v>0</v>
      </c>
      <c r="FX46" s="629">
        <f t="shared" si="58"/>
        <v>0</v>
      </c>
      <c r="FY46" s="330">
        <v>0</v>
      </c>
      <c r="FZ46" s="330">
        <v>0</v>
      </c>
      <c r="GA46" s="629">
        <f t="shared" si="59"/>
        <v>0</v>
      </c>
      <c r="GB46" s="330">
        <v>0</v>
      </c>
      <c r="GC46" s="330">
        <v>0</v>
      </c>
      <c r="GD46" s="629">
        <f t="shared" si="60"/>
        <v>0</v>
      </c>
      <c r="GE46" s="330">
        <v>0</v>
      </c>
      <c r="GF46" s="330">
        <v>0</v>
      </c>
      <c r="GG46" s="629">
        <f t="shared" si="61"/>
        <v>0</v>
      </c>
      <c r="GH46" s="330">
        <v>0</v>
      </c>
      <c r="GI46" s="330">
        <v>0</v>
      </c>
      <c r="GJ46" s="629">
        <f t="shared" si="62"/>
        <v>0</v>
      </c>
      <c r="GK46" s="330">
        <v>21</v>
      </c>
      <c r="GL46" s="330">
        <v>33</v>
      </c>
      <c r="GM46" s="629">
        <f t="shared" si="63"/>
        <v>54</v>
      </c>
      <c r="GN46" s="330">
        <v>72</v>
      </c>
      <c r="GO46" s="330">
        <v>207</v>
      </c>
      <c r="GP46" s="629">
        <f t="shared" si="64"/>
        <v>279</v>
      </c>
      <c r="GQ46" s="330">
        <v>12</v>
      </c>
      <c r="GR46" s="330">
        <v>0</v>
      </c>
      <c r="GS46" s="629">
        <f t="shared" si="65"/>
        <v>12</v>
      </c>
      <c r="GT46" s="330">
        <v>12</v>
      </c>
      <c r="GU46" s="330">
        <v>5</v>
      </c>
      <c r="GV46" s="629">
        <f t="shared" si="66"/>
        <v>17</v>
      </c>
      <c r="GW46" s="330">
        <v>0</v>
      </c>
      <c r="GX46" s="330">
        <v>4</v>
      </c>
      <c r="GY46" s="629">
        <f t="shared" si="67"/>
        <v>4</v>
      </c>
      <c r="GZ46" s="330">
        <v>2</v>
      </c>
      <c r="HA46" s="330">
        <v>1</v>
      </c>
      <c r="HB46" s="629">
        <f t="shared" si="68"/>
        <v>3</v>
      </c>
      <c r="HC46" s="330">
        <v>3</v>
      </c>
      <c r="HD46" s="330">
        <v>1</v>
      </c>
      <c r="HE46" s="629">
        <f t="shared" si="69"/>
        <v>4</v>
      </c>
      <c r="HF46" s="330">
        <v>3</v>
      </c>
      <c r="HG46" s="330">
        <v>2</v>
      </c>
      <c r="HH46" s="629">
        <f t="shared" si="70"/>
        <v>5</v>
      </c>
      <c r="HI46" s="330">
        <v>48</v>
      </c>
      <c r="HJ46" s="330">
        <v>118</v>
      </c>
      <c r="HK46" s="629">
        <f t="shared" si="71"/>
        <v>166</v>
      </c>
      <c r="HL46" s="330">
        <v>0</v>
      </c>
      <c r="HM46" s="330">
        <v>17</v>
      </c>
      <c r="HN46" s="629">
        <f t="shared" si="72"/>
        <v>17</v>
      </c>
      <c r="HO46" s="330">
        <v>6</v>
      </c>
      <c r="HP46" s="330">
        <v>26</v>
      </c>
      <c r="HQ46" s="629">
        <f t="shared" si="73"/>
        <v>32</v>
      </c>
      <c r="HR46" s="330">
        <v>1</v>
      </c>
      <c r="HS46" s="330">
        <v>5</v>
      </c>
      <c r="HT46" s="629">
        <f t="shared" si="74"/>
        <v>6</v>
      </c>
      <c r="HU46" s="330">
        <v>0</v>
      </c>
      <c r="HV46" s="330">
        <v>2</v>
      </c>
      <c r="HW46" s="629">
        <f t="shared" si="75"/>
        <v>2</v>
      </c>
      <c r="HX46" s="330">
        <v>0</v>
      </c>
      <c r="HY46" s="330">
        <v>0</v>
      </c>
      <c r="HZ46" s="629">
        <f t="shared" si="76"/>
        <v>0</v>
      </c>
      <c r="IA46" s="330">
        <v>0</v>
      </c>
      <c r="IB46" s="330">
        <v>0</v>
      </c>
      <c r="IC46" s="629">
        <f t="shared" si="77"/>
        <v>0</v>
      </c>
      <c r="ID46" s="330">
        <v>10</v>
      </c>
      <c r="IE46" s="330">
        <v>0</v>
      </c>
      <c r="IF46" s="629">
        <f t="shared" si="78"/>
        <v>10</v>
      </c>
      <c r="IG46" s="330">
        <v>3</v>
      </c>
      <c r="IH46" s="330">
        <v>0</v>
      </c>
      <c r="II46" s="629">
        <f t="shared" si="79"/>
        <v>3</v>
      </c>
      <c r="IJ46" s="330">
        <v>37</v>
      </c>
      <c r="IK46" s="330">
        <v>0</v>
      </c>
      <c r="IL46" s="629">
        <f t="shared" si="80"/>
        <v>37</v>
      </c>
      <c r="IM46" s="330">
        <v>0</v>
      </c>
      <c r="IN46" s="330">
        <v>0</v>
      </c>
      <c r="IO46" s="629">
        <f t="shared" si="81"/>
        <v>0</v>
      </c>
      <c r="IP46" s="330">
        <v>0</v>
      </c>
      <c r="IQ46" s="330">
        <v>0</v>
      </c>
      <c r="IR46" s="629">
        <f t="shared" si="82"/>
        <v>0</v>
      </c>
      <c r="IS46" s="330">
        <v>50</v>
      </c>
      <c r="IT46" s="330">
        <v>10</v>
      </c>
      <c r="IU46" s="629">
        <f t="shared" si="83"/>
        <v>60</v>
      </c>
      <c r="IV46" s="330">
        <v>0</v>
      </c>
      <c r="IW46" s="330">
        <v>0</v>
      </c>
      <c r="IX46" s="629">
        <f t="shared" si="84"/>
        <v>0</v>
      </c>
      <c r="IY46" s="330">
        <v>0</v>
      </c>
      <c r="IZ46" s="330">
        <v>0</v>
      </c>
      <c r="JA46" s="629">
        <f t="shared" si="85"/>
        <v>0</v>
      </c>
      <c r="JB46" s="330">
        <v>0</v>
      </c>
      <c r="JC46" s="330">
        <v>0</v>
      </c>
      <c r="JD46" s="629">
        <f t="shared" si="86"/>
        <v>0</v>
      </c>
      <c r="JE46" s="330">
        <v>2802</v>
      </c>
      <c r="JF46" s="330">
        <v>618</v>
      </c>
      <c r="JG46" s="629">
        <f t="shared" si="87"/>
        <v>3420</v>
      </c>
      <c r="JH46" s="330">
        <v>0</v>
      </c>
      <c r="JI46" s="330">
        <v>0</v>
      </c>
      <c r="JJ46" s="629">
        <f t="shared" si="88"/>
        <v>0</v>
      </c>
      <c r="JK46" s="330">
        <v>0</v>
      </c>
      <c r="JL46" s="330">
        <v>0</v>
      </c>
      <c r="JM46" s="629">
        <f t="shared" si="89"/>
        <v>0</v>
      </c>
      <c r="JN46" s="330">
        <v>0</v>
      </c>
      <c r="JO46" s="330">
        <v>0</v>
      </c>
      <c r="JP46" s="629">
        <f t="shared" si="90"/>
        <v>0</v>
      </c>
      <c r="JQ46" s="330">
        <v>0</v>
      </c>
      <c r="JR46" s="330">
        <v>0</v>
      </c>
      <c r="JS46" s="629">
        <f t="shared" si="91"/>
        <v>0</v>
      </c>
      <c r="JT46" s="330">
        <v>0</v>
      </c>
      <c r="JU46" s="330">
        <v>0</v>
      </c>
      <c r="JV46" s="629">
        <f t="shared" si="92"/>
        <v>0</v>
      </c>
      <c r="JW46" s="330">
        <v>0</v>
      </c>
      <c r="JX46" s="330">
        <v>0</v>
      </c>
      <c r="JY46" s="629">
        <f t="shared" si="93"/>
        <v>0</v>
      </c>
      <c r="JZ46" s="330">
        <v>0</v>
      </c>
      <c r="KA46" s="330">
        <v>0</v>
      </c>
      <c r="KB46" s="629">
        <f t="shared" si="94"/>
        <v>0</v>
      </c>
      <c r="KC46" s="330">
        <v>0</v>
      </c>
      <c r="KD46" s="330">
        <v>0</v>
      </c>
      <c r="KE46" s="629">
        <f t="shared" si="95"/>
        <v>0</v>
      </c>
      <c r="KF46" s="330">
        <v>0</v>
      </c>
      <c r="KG46" s="330">
        <v>0</v>
      </c>
      <c r="KH46" s="629">
        <f t="shared" si="96"/>
        <v>0</v>
      </c>
      <c r="KI46" s="330">
        <v>0</v>
      </c>
      <c r="KJ46" s="330">
        <v>0</v>
      </c>
      <c r="KK46" s="629">
        <f t="shared" si="97"/>
        <v>0</v>
      </c>
      <c r="KL46" s="629">
        <v>0</v>
      </c>
      <c r="KM46" s="629">
        <v>0</v>
      </c>
      <c r="KN46" s="629">
        <f t="shared" si="98"/>
        <v>0</v>
      </c>
      <c r="KO46" s="629">
        <v>0</v>
      </c>
      <c r="KP46" s="629">
        <v>0</v>
      </c>
      <c r="KQ46" s="629">
        <f t="shared" si="99"/>
        <v>0</v>
      </c>
      <c r="KR46" s="629">
        <v>0</v>
      </c>
      <c r="KS46" s="629">
        <v>0</v>
      </c>
      <c r="KT46" s="629">
        <f t="shared" si="100"/>
        <v>0</v>
      </c>
      <c r="KU46" s="629">
        <v>0</v>
      </c>
      <c r="KV46" s="629">
        <v>0</v>
      </c>
      <c r="KW46" s="629">
        <f t="shared" si="101"/>
        <v>0</v>
      </c>
      <c r="KX46" s="629">
        <v>0</v>
      </c>
      <c r="KY46" s="629">
        <v>0</v>
      </c>
      <c r="KZ46" s="629">
        <f t="shared" si="102"/>
        <v>0</v>
      </c>
      <c r="LA46" s="629">
        <v>0</v>
      </c>
      <c r="LB46" s="629">
        <v>0</v>
      </c>
      <c r="LC46" s="629">
        <f t="shared" si="103"/>
        <v>0</v>
      </c>
      <c r="LD46" s="629">
        <v>0</v>
      </c>
      <c r="LE46" s="629">
        <v>0</v>
      </c>
      <c r="LF46" s="629">
        <f t="shared" si="104"/>
        <v>0</v>
      </c>
      <c r="LG46" s="629">
        <v>0</v>
      </c>
      <c r="LH46" s="629">
        <v>0</v>
      </c>
      <c r="LI46" s="629">
        <f t="shared" si="105"/>
        <v>0</v>
      </c>
      <c r="LJ46" s="330">
        <v>1</v>
      </c>
      <c r="LK46" s="330">
        <v>0</v>
      </c>
      <c r="LL46" s="697">
        <f t="shared" si="106"/>
        <v>1</v>
      </c>
    </row>
    <row r="47" spans="1:324" x14ac:dyDescent="0.35">
      <c r="A47" s="696">
        <v>4</v>
      </c>
      <c r="B47" s="387" t="s">
        <v>295</v>
      </c>
      <c r="C47" s="440" t="s">
        <v>103</v>
      </c>
      <c r="D47" s="330">
        <v>6316</v>
      </c>
      <c r="E47" s="330">
        <v>5764</v>
      </c>
      <c r="F47" s="629">
        <f t="shared" si="0"/>
        <v>12080</v>
      </c>
      <c r="G47" s="330">
        <v>5</v>
      </c>
      <c r="H47" s="330">
        <v>10820</v>
      </c>
      <c r="I47" s="629">
        <f t="shared" si="1"/>
        <v>10825</v>
      </c>
      <c r="J47" s="330">
        <v>8334</v>
      </c>
      <c r="K47" s="330">
        <v>7091</v>
      </c>
      <c r="L47" s="629">
        <f t="shared" si="2"/>
        <v>15425</v>
      </c>
      <c r="M47" s="330">
        <v>553</v>
      </c>
      <c r="N47" s="330">
        <v>230</v>
      </c>
      <c r="O47" s="629">
        <f t="shared" si="3"/>
        <v>783</v>
      </c>
      <c r="P47" s="330">
        <v>587</v>
      </c>
      <c r="Q47" s="330">
        <v>520</v>
      </c>
      <c r="R47" s="629">
        <f t="shared" si="4"/>
        <v>1107</v>
      </c>
      <c r="S47" s="330">
        <v>397</v>
      </c>
      <c r="T47" s="330">
        <v>55</v>
      </c>
      <c r="U47" s="629">
        <f t="shared" si="5"/>
        <v>452</v>
      </c>
      <c r="V47" s="330">
        <v>62</v>
      </c>
      <c r="W47" s="330">
        <v>4</v>
      </c>
      <c r="X47" s="629">
        <f t="shared" si="6"/>
        <v>66</v>
      </c>
      <c r="Y47" s="330">
        <v>104</v>
      </c>
      <c r="Z47" s="330">
        <v>22</v>
      </c>
      <c r="AA47" s="629">
        <f t="shared" si="7"/>
        <v>126</v>
      </c>
      <c r="AB47" s="330">
        <v>38</v>
      </c>
      <c r="AC47" s="330">
        <v>11</v>
      </c>
      <c r="AD47" s="629">
        <f t="shared" si="8"/>
        <v>49</v>
      </c>
      <c r="AE47" s="330">
        <v>2</v>
      </c>
      <c r="AF47" s="330">
        <v>1</v>
      </c>
      <c r="AG47" s="629">
        <f t="shared" si="9"/>
        <v>3</v>
      </c>
      <c r="AH47" s="330">
        <v>0</v>
      </c>
      <c r="AI47" s="330">
        <v>0</v>
      </c>
      <c r="AJ47" s="629">
        <f t="shared" si="10"/>
        <v>0</v>
      </c>
      <c r="AK47" s="330">
        <v>10</v>
      </c>
      <c r="AL47" s="330">
        <v>4</v>
      </c>
      <c r="AM47" s="629">
        <f t="shared" si="11"/>
        <v>14</v>
      </c>
      <c r="AN47" s="330">
        <v>6</v>
      </c>
      <c r="AO47" s="330">
        <v>0</v>
      </c>
      <c r="AP47" s="629">
        <f t="shared" si="12"/>
        <v>6</v>
      </c>
      <c r="AQ47" s="330">
        <v>20</v>
      </c>
      <c r="AR47" s="330">
        <v>1</v>
      </c>
      <c r="AS47" s="629">
        <f t="shared" si="13"/>
        <v>21</v>
      </c>
      <c r="AT47" s="330">
        <v>9170</v>
      </c>
      <c r="AU47" s="330">
        <v>5057</v>
      </c>
      <c r="AV47" s="629">
        <f t="shared" si="14"/>
        <v>14227</v>
      </c>
      <c r="AW47" s="330">
        <v>293</v>
      </c>
      <c r="AX47" s="330">
        <v>167</v>
      </c>
      <c r="AY47" s="629">
        <f t="shared" si="15"/>
        <v>460</v>
      </c>
      <c r="AZ47" s="330">
        <v>15</v>
      </c>
      <c r="BA47" s="330">
        <v>9</v>
      </c>
      <c r="BB47" s="629">
        <f t="shared" si="16"/>
        <v>24</v>
      </c>
      <c r="BC47" s="330">
        <v>44</v>
      </c>
      <c r="BD47" s="330">
        <v>40</v>
      </c>
      <c r="BE47" s="629">
        <f t="shared" si="17"/>
        <v>84</v>
      </c>
      <c r="BF47" s="330">
        <v>652</v>
      </c>
      <c r="BG47" s="330">
        <v>36</v>
      </c>
      <c r="BH47" s="629">
        <f t="shared" si="18"/>
        <v>688</v>
      </c>
      <c r="BI47" s="330">
        <v>25</v>
      </c>
      <c r="BJ47" s="330">
        <v>6</v>
      </c>
      <c r="BK47" s="629">
        <f t="shared" si="19"/>
        <v>31</v>
      </c>
      <c r="BL47" s="330">
        <v>1</v>
      </c>
      <c r="BM47" s="330">
        <v>0</v>
      </c>
      <c r="BN47" s="629">
        <f t="shared" si="20"/>
        <v>1</v>
      </c>
      <c r="BO47" s="330">
        <v>1</v>
      </c>
      <c r="BP47" s="330">
        <v>0</v>
      </c>
      <c r="BQ47" s="629">
        <f t="shared" si="21"/>
        <v>1</v>
      </c>
      <c r="BR47" s="330">
        <v>0</v>
      </c>
      <c r="BS47" s="330">
        <v>20</v>
      </c>
      <c r="BT47" s="629">
        <f t="shared" si="22"/>
        <v>20</v>
      </c>
      <c r="BU47" s="330">
        <v>0</v>
      </c>
      <c r="BV47" s="330">
        <v>0</v>
      </c>
      <c r="BW47" s="629">
        <f t="shared" si="23"/>
        <v>0</v>
      </c>
      <c r="BX47" s="330">
        <v>0</v>
      </c>
      <c r="BY47" s="330">
        <v>0</v>
      </c>
      <c r="BZ47" s="629">
        <f t="shared" si="24"/>
        <v>0</v>
      </c>
      <c r="CA47" s="330">
        <v>3</v>
      </c>
      <c r="CB47" s="330">
        <v>0</v>
      </c>
      <c r="CC47" s="629">
        <f t="shared" si="25"/>
        <v>3</v>
      </c>
      <c r="CD47" s="330">
        <v>1</v>
      </c>
      <c r="CE47" s="330">
        <v>0</v>
      </c>
      <c r="CF47" s="629">
        <f t="shared" si="26"/>
        <v>1</v>
      </c>
      <c r="CG47" s="330">
        <v>0</v>
      </c>
      <c r="CH47" s="330">
        <v>0</v>
      </c>
      <c r="CI47" s="629">
        <f t="shared" si="27"/>
        <v>0</v>
      </c>
      <c r="CJ47" s="330">
        <v>1</v>
      </c>
      <c r="CK47" s="330">
        <v>0</v>
      </c>
      <c r="CL47" s="629">
        <f t="shared" si="28"/>
        <v>1</v>
      </c>
      <c r="CM47" s="330">
        <v>1</v>
      </c>
      <c r="CN47" s="330">
        <v>1</v>
      </c>
      <c r="CO47" s="629">
        <f t="shared" si="29"/>
        <v>2</v>
      </c>
      <c r="CP47" s="330">
        <v>0</v>
      </c>
      <c r="CQ47" s="330">
        <v>0</v>
      </c>
      <c r="CR47" s="629">
        <f t="shared" si="30"/>
        <v>0</v>
      </c>
      <c r="CS47" s="330">
        <v>0</v>
      </c>
      <c r="CT47" s="330">
        <v>1</v>
      </c>
      <c r="CU47" s="629">
        <f t="shared" si="31"/>
        <v>1</v>
      </c>
      <c r="CV47" s="330">
        <v>0</v>
      </c>
      <c r="CW47" s="330">
        <v>0</v>
      </c>
      <c r="CX47" s="629">
        <f t="shared" si="32"/>
        <v>0</v>
      </c>
      <c r="CY47" s="330">
        <v>1</v>
      </c>
      <c r="CZ47" s="330">
        <v>1</v>
      </c>
      <c r="DA47" s="629">
        <f t="shared" si="33"/>
        <v>2</v>
      </c>
      <c r="DB47" s="330">
        <v>16</v>
      </c>
      <c r="DC47" s="330">
        <v>0</v>
      </c>
      <c r="DD47" s="629">
        <f t="shared" si="34"/>
        <v>16</v>
      </c>
      <c r="DE47" s="330">
        <v>16</v>
      </c>
      <c r="DF47" s="330">
        <v>5</v>
      </c>
      <c r="DG47" s="629">
        <f t="shared" si="35"/>
        <v>21</v>
      </c>
      <c r="DH47" s="330">
        <v>1</v>
      </c>
      <c r="DI47" s="330">
        <v>0</v>
      </c>
      <c r="DJ47" s="629">
        <f t="shared" si="36"/>
        <v>1</v>
      </c>
      <c r="DK47" s="330">
        <v>0</v>
      </c>
      <c r="DL47" s="330">
        <v>0</v>
      </c>
      <c r="DM47" s="629">
        <f t="shared" si="37"/>
        <v>0</v>
      </c>
      <c r="DN47" s="330">
        <v>0</v>
      </c>
      <c r="DO47" s="330">
        <v>0</v>
      </c>
      <c r="DP47" s="629">
        <f t="shared" si="38"/>
        <v>0</v>
      </c>
      <c r="DQ47" s="330">
        <v>0</v>
      </c>
      <c r="DR47" s="330">
        <v>1</v>
      </c>
      <c r="DS47" s="629">
        <f t="shared" si="39"/>
        <v>1</v>
      </c>
      <c r="DT47" s="330">
        <v>1</v>
      </c>
      <c r="DU47" s="330">
        <v>0</v>
      </c>
      <c r="DV47" s="629">
        <f t="shared" si="40"/>
        <v>1</v>
      </c>
      <c r="DW47" s="330">
        <v>3</v>
      </c>
      <c r="DX47" s="330">
        <v>0</v>
      </c>
      <c r="DY47" s="629">
        <f t="shared" si="41"/>
        <v>3</v>
      </c>
      <c r="DZ47" s="330">
        <v>0</v>
      </c>
      <c r="EA47" s="330">
        <v>0</v>
      </c>
      <c r="EB47" s="629">
        <f t="shared" si="42"/>
        <v>0</v>
      </c>
      <c r="EC47" s="330">
        <v>29</v>
      </c>
      <c r="ED47" s="330">
        <v>6</v>
      </c>
      <c r="EE47" s="629">
        <f t="shared" si="43"/>
        <v>35</v>
      </c>
      <c r="EF47" s="330">
        <v>3</v>
      </c>
      <c r="EG47" s="330">
        <v>2</v>
      </c>
      <c r="EH47" s="629">
        <f t="shared" si="44"/>
        <v>5</v>
      </c>
      <c r="EI47" s="330">
        <v>0</v>
      </c>
      <c r="EJ47" s="330">
        <v>0</v>
      </c>
      <c r="EK47" s="629">
        <f t="shared" si="45"/>
        <v>0</v>
      </c>
      <c r="EL47" s="330">
        <v>0</v>
      </c>
      <c r="EM47" s="330">
        <v>0</v>
      </c>
      <c r="EN47" s="629">
        <f t="shared" si="46"/>
        <v>0</v>
      </c>
      <c r="EO47" s="330">
        <v>0</v>
      </c>
      <c r="EP47" s="330">
        <v>0</v>
      </c>
      <c r="EQ47" s="629">
        <f t="shared" si="47"/>
        <v>0</v>
      </c>
      <c r="ER47" s="330">
        <v>0</v>
      </c>
      <c r="ES47" s="330">
        <v>0</v>
      </c>
      <c r="ET47" s="629">
        <f t="shared" si="48"/>
        <v>0</v>
      </c>
      <c r="EU47" s="330">
        <v>0</v>
      </c>
      <c r="EV47" s="330">
        <v>0</v>
      </c>
      <c r="EW47" s="629">
        <f t="shared" si="49"/>
        <v>0</v>
      </c>
      <c r="EX47" s="330">
        <v>0</v>
      </c>
      <c r="EY47" s="330">
        <v>0</v>
      </c>
      <c r="EZ47" s="629">
        <f t="shared" si="50"/>
        <v>0</v>
      </c>
      <c r="FA47" s="330">
        <v>0</v>
      </c>
      <c r="FB47" s="330">
        <v>0</v>
      </c>
      <c r="FC47" s="629">
        <f t="shared" si="51"/>
        <v>0</v>
      </c>
      <c r="FD47" s="330">
        <v>0</v>
      </c>
      <c r="FE47" s="330">
        <v>0</v>
      </c>
      <c r="FF47" s="629">
        <f t="shared" si="52"/>
        <v>0</v>
      </c>
      <c r="FG47" s="330">
        <v>0</v>
      </c>
      <c r="FH47" s="330">
        <v>0</v>
      </c>
      <c r="FI47" s="629">
        <f t="shared" si="53"/>
        <v>0</v>
      </c>
      <c r="FJ47" s="330">
        <v>0</v>
      </c>
      <c r="FK47" s="330">
        <v>0</v>
      </c>
      <c r="FL47" s="629">
        <f t="shared" si="54"/>
        <v>0</v>
      </c>
      <c r="FM47" s="330">
        <v>0</v>
      </c>
      <c r="FN47" s="330">
        <v>0</v>
      </c>
      <c r="FO47" s="629">
        <f t="shared" si="55"/>
        <v>0</v>
      </c>
      <c r="FP47" s="330">
        <v>0</v>
      </c>
      <c r="FQ47" s="330">
        <v>0</v>
      </c>
      <c r="FR47" s="629">
        <f t="shared" si="56"/>
        <v>0</v>
      </c>
      <c r="FS47" s="330">
        <v>0</v>
      </c>
      <c r="FT47" s="330">
        <v>0</v>
      </c>
      <c r="FU47" s="629">
        <f t="shared" si="57"/>
        <v>0</v>
      </c>
      <c r="FV47" s="330">
        <v>0</v>
      </c>
      <c r="FW47" s="330">
        <v>0</v>
      </c>
      <c r="FX47" s="629">
        <f t="shared" si="58"/>
        <v>0</v>
      </c>
      <c r="FY47" s="330">
        <v>0</v>
      </c>
      <c r="FZ47" s="330">
        <v>0</v>
      </c>
      <c r="GA47" s="629">
        <f t="shared" si="59"/>
        <v>0</v>
      </c>
      <c r="GB47" s="330">
        <v>0</v>
      </c>
      <c r="GC47" s="330">
        <v>0</v>
      </c>
      <c r="GD47" s="629">
        <f t="shared" si="60"/>
        <v>0</v>
      </c>
      <c r="GE47" s="330">
        <v>0</v>
      </c>
      <c r="GF47" s="330">
        <v>0</v>
      </c>
      <c r="GG47" s="629">
        <f t="shared" si="61"/>
        <v>0</v>
      </c>
      <c r="GH47" s="330">
        <v>2</v>
      </c>
      <c r="GI47" s="330">
        <v>1</v>
      </c>
      <c r="GJ47" s="629">
        <f t="shared" si="62"/>
        <v>3</v>
      </c>
      <c r="GK47" s="330">
        <v>48</v>
      </c>
      <c r="GL47" s="330">
        <v>42</v>
      </c>
      <c r="GM47" s="629">
        <f t="shared" si="63"/>
        <v>90</v>
      </c>
      <c r="GN47" s="330">
        <v>219</v>
      </c>
      <c r="GO47" s="330">
        <v>507</v>
      </c>
      <c r="GP47" s="629">
        <f t="shared" si="64"/>
        <v>726</v>
      </c>
      <c r="GQ47" s="330">
        <v>12</v>
      </c>
      <c r="GR47" s="330">
        <v>0</v>
      </c>
      <c r="GS47" s="629">
        <f t="shared" si="65"/>
        <v>12</v>
      </c>
      <c r="GT47" s="330">
        <v>20</v>
      </c>
      <c r="GU47" s="330">
        <v>1</v>
      </c>
      <c r="GV47" s="629">
        <f t="shared" si="66"/>
        <v>21</v>
      </c>
      <c r="GW47" s="330">
        <v>3</v>
      </c>
      <c r="GX47" s="330">
        <v>3</v>
      </c>
      <c r="GY47" s="629">
        <f t="shared" si="67"/>
        <v>6</v>
      </c>
      <c r="GZ47" s="330">
        <v>4</v>
      </c>
      <c r="HA47" s="330">
        <v>2</v>
      </c>
      <c r="HB47" s="629">
        <f t="shared" si="68"/>
        <v>6</v>
      </c>
      <c r="HC47" s="330">
        <v>2</v>
      </c>
      <c r="HD47" s="330">
        <v>2</v>
      </c>
      <c r="HE47" s="629">
        <f t="shared" si="69"/>
        <v>4</v>
      </c>
      <c r="HF47" s="330">
        <v>5</v>
      </c>
      <c r="HG47" s="330">
        <v>2</v>
      </c>
      <c r="HH47" s="629">
        <f t="shared" si="70"/>
        <v>7</v>
      </c>
      <c r="HI47" s="330">
        <v>35</v>
      </c>
      <c r="HJ47" s="330">
        <v>98</v>
      </c>
      <c r="HK47" s="629">
        <f t="shared" si="71"/>
        <v>133</v>
      </c>
      <c r="HL47" s="330">
        <v>0</v>
      </c>
      <c r="HM47" s="330">
        <v>45</v>
      </c>
      <c r="HN47" s="629">
        <f t="shared" si="72"/>
        <v>45</v>
      </c>
      <c r="HO47" s="330">
        <v>6</v>
      </c>
      <c r="HP47" s="330">
        <v>63</v>
      </c>
      <c r="HQ47" s="629">
        <f t="shared" si="73"/>
        <v>69</v>
      </c>
      <c r="HR47" s="330">
        <v>1</v>
      </c>
      <c r="HS47" s="330">
        <v>8</v>
      </c>
      <c r="HT47" s="629">
        <f t="shared" si="74"/>
        <v>9</v>
      </c>
      <c r="HU47" s="330">
        <v>0</v>
      </c>
      <c r="HV47" s="330">
        <v>2</v>
      </c>
      <c r="HW47" s="629">
        <f t="shared" si="75"/>
        <v>2</v>
      </c>
      <c r="HX47" s="330">
        <v>0</v>
      </c>
      <c r="HY47" s="330">
        <v>0</v>
      </c>
      <c r="HZ47" s="629">
        <f t="shared" si="76"/>
        <v>0</v>
      </c>
      <c r="IA47" s="330">
        <v>0</v>
      </c>
      <c r="IB47" s="330">
        <v>0</v>
      </c>
      <c r="IC47" s="629">
        <f t="shared" si="77"/>
        <v>0</v>
      </c>
      <c r="ID47" s="330">
        <v>14</v>
      </c>
      <c r="IE47" s="330">
        <v>0</v>
      </c>
      <c r="IF47" s="629">
        <f t="shared" si="78"/>
        <v>14</v>
      </c>
      <c r="IG47" s="330">
        <v>1</v>
      </c>
      <c r="IH47" s="330">
        <v>1</v>
      </c>
      <c r="II47" s="629">
        <f t="shared" si="79"/>
        <v>2</v>
      </c>
      <c r="IJ47" s="330">
        <v>56</v>
      </c>
      <c r="IK47" s="330">
        <v>0</v>
      </c>
      <c r="IL47" s="629">
        <f t="shared" si="80"/>
        <v>56</v>
      </c>
      <c r="IM47" s="330">
        <v>0</v>
      </c>
      <c r="IN47" s="330">
        <v>0</v>
      </c>
      <c r="IO47" s="629">
        <f t="shared" si="81"/>
        <v>0</v>
      </c>
      <c r="IP47" s="330">
        <v>0</v>
      </c>
      <c r="IQ47" s="330">
        <v>0</v>
      </c>
      <c r="IR47" s="629">
        <f t="shared" si="82"/>
        <v>0</v>
      </c>
      <c r="IS47" s="330">
        <v>138</v>
      </c>
      <c r="IT47" s="330">
        <v>32</v>
      </c>
      <c r="IU47" s="629">
        <f t="shared" si="83"/>
        <v>170</v>
      </c>
      <c r="IV47" s="330">
        <v>2</v>
      </c>
      <c r="IW47" s="330">
        <v>0</v>
      </c>
      <c r="IX47" s="629">
        <f t="shared" si="84"/>
        <v>2</v>
      </c>
      <c r="IY47" s="330">
        <v>0</v>
      </c>
      <c r="IZ47" s="330">
        <v>0</v>
      </c>
      <c r="JA47" s="629">
        <f t="shared" si="85"/>
        <v>0</v>
      </c>
      <c r="JB47" s="330">
        <v>0</v>
      </c>
      <c r="JC47" s="330">
        <v>1</v>
      </c>
      <c r="JD47" s="629">
        <f t="shared" si="86"/>
        <v>1</v>
      </c>
      <c r="JE47" s="330">
        <v>4054</v>
      </c>
      <c r="JF47" s="330">
        <v>862</v>
      </c>
      <c r="JG47" s="629">
        <f t="shared" si="87"/>
        <v>4916</v>
      </c>
      <c r="JH47" s="330">
        <v>2</v>
      </c>
      <c r="JI47" s="330">
        <v>0</v>
      </c>
      <c r="JJ47" s="629">
        <f t="shared" si="88"/>
        <v>2</v>
      </c>
      <c r="JK47" s="330">
        <v>0</v>
      </c>
      <c r="JL47" s="330">
        <v>0</v>
      </c>
      <c r="JM47" s="629">
        <f t="shared" si="89"/>
        <v>0</v>
      </c>
      <c r="JN47" s="330">
        <v>0</v>
      </c>
      <c r="JO47" s="330">
        <v>0</v>
      </c>
      <c r="JP47" s="629">
        <f t="shared" si="90"/>
        <v>0</v>
      </c>
      <c r="JQ47" s="330">
        <v>0</v>
      </c>
      <c r="JR47" s="330">
        <v>0</v>
      </c>
      <c r="JS47" s="629">
        <f t="shared" si="91"/>
        <v>0</v>
      </c>
      <c r="JT47" s="330">
        <v>0</v>
      </c>
      <c r="JU47" s="330">
        <v>0</v>
      </c>
      <c r="JV47" s="629">
        <f t="shared" si="92"/>
        <v>0</v>
      </c>
      <c r="JW47" s="330">
        <v>0</v>
      </c>
      <c r="JX47" s="330">
        <v>0</v>
      </c>
      <c r="JY47" s="629">
        <f t="shared" si="93"/>
        <v>0</v>
      </c>
      <c r="JZ47" s="330">
        <v>0</v>
      </c>
      <c r="KA47" s="330">
        <v>0</v>
      </c>
      <c r="KB47" s="629">
        <f t="shared" si="94"/>
        <v>0</v>
      </c>
      <c r="KC47" s="330">
        <v>0</v>
      </c>
      <c r="KD47" s="330">
        <v>0</v>
      </c>
      <c r="KE47" s="629">
        <f t="shared" si="95"/>
        <v>0</v>
      </c>
      <c r="KF47" s="330">
        <v>0</v>
      </c>
      <c r="KG47" s="330">
        <v>0</v>
      </c>
      <c r="KH47" s="629">
        <f t="shared" si="96"/>
        <v>0</v>
      </c>
      <c r="KI47" s="330">
        <v>0</v>
      </c>
      <c r="KJ47" s="330">
        <v>0</v>
      </c>
      <c r="KK47" s="629">
        <f t="shared" si="97"/>
        <v>0</v>
      </c>
      <c r="KL47" s="629">
        <v>0</v>
      </c>
      <c r="KM47" s="629">
        <v>0</v>
      </c>
      <c r="KN47" s="629">
        <f t="shared" si="98"/>
        <v>0</v>
      </c>
      <c r="KO47" s="629">
        <v>0</v>
      </c>
      <c r="KP47" s="629">
        <v>0</v>
      </c>
      <c r="KQ47" s="629">
        <f t="shared" si="99"/>
        <v>0</v>
      </c>
      <c r="KR47" s="629">
        <v>0</v>
      </c>
      <c r="KS47" s="629">
        <v>0</v>
      </c>
      <c r="KT47" s="629">
        <f t="shared" si="100"/>
        <v>0</v>
      </c>
      <c r="KU47" s="629">
        <v>0</v>
      </c>
      <c r="KV47" s="629">
        <v>0</v>
      </c>
      <c r="KW47" s="629">
        <f t="shared" si="101"/>
        <v>0</v>
      </c>
      <c r="KX47" s="629">
        <v>0</v>
      </c>
      <c r="KY47" s="629">
        <v>0</v>
      </c>
      <c r="KZ47" s="629">
        <f t="shared" si="102"/>
        <v>0</v>
      </c>
      <c r="LA47" s="629">
        <v>0</v>
      </c>
      <c r="LB47" s="629">
        <v>0</v>
      </c>
      <c r="LC47" s="629">
        <f t="shared" si="103"/>
        <v>0</v>
      </c>
      <c r="LD47" s="629">
        <v>0</v>
      </c>
      <c r="LE47" s="629">
        <v>0</v>
      </c>
      <c r="LF47" s="629">
        <f t="shared" si="104"/>
        <v>0</v>
      </c>
      <c r="LG47" s="629">
        <v>0</v>
      </c>
      <c r="LH47" s="629">
        <v>0</v>
      </c>
      <c r="LI47" s="629">
        <f t="shared" si="105"/>
        <v>0</v>
      </c>
      <c r="LJ47" s="330">
        <v>0</v>
      </c>
      <c r="LK47" s="330">
        <v>1</v>
      </c>
      <c r="LL47" s="697">
        <f t="shared" si="106"/>
        <v>1</v>
      </c>
    </row>
    <row r="48" spans="1:324" x14ac:dyDescent="0.35">
      <c r="A48" s="696">
        <v>4</v>
      </c>
      <c r="B48" s="387" t="s">
        <v>296</v>
      </c>
      <c r="C48" s="440" t="s">
        <v>105</v>
      </c>
      <c r="D48" s="330">
        <v>3847</v>
      </c>
      <c r="E48" s="330">
        <v>3478</v>
      </c>
      <c r="F48" s="629">
        <f t="shared" si="0"/>
        <v>7325</v>
      </c>
      <c r="G48" s="330">
        <v>2</v>
      </c>
      <c r="H48" s="330">
        <v>6956</v>
      </c>
      <c r="I48" s="629">
        <f t="shared" si="1"/>
        <v>6958</v>
      </c>
      <c r="J48" s="330">
        <v>5093</v>
      </c>
      <c r="K48" s="330">
        <v>4455</v>
      </c>
      <c r="L48" s="629">
        <f t="shared" si="2"/>
        <v>9548</v>
      </c>
      <c r="M48" s="330">
        <v>330</v>
      </c>
      <c r="N48" s="330">
        <v>162</v>
      </c>
      <c r="O48" s="629">
        <f t="shared" si="3"/>
        <v>492</v>
      </c>
      <c r="P48" s="330">
        <v>314</v>
      </c>
      <c r="Q48" s="330">
        <v>325</v>
      </c>
      <c r="R48" s="629">
        <f t="shared" si="4"/>
        <v>639</v>
      </c>
      <c r="S48" s="330">
        <v>35</v>
      </c>
      <c r="T48" s="330">
        <v>1</v>
      </c>
      <c r="U48" s="629">
        <f t="shared" si="5"/>
        <v>36</v>
      </c>
      <c r="V48" s="330">
        <v>32</v>
      </c>
      <c r="W48" s="330">
        <v>3</v>
      </c>
      <c r="X48" s="629">
        <f t="shared" si="6"/>
        <v>35</v>
      </c>
      <c r="Y48" s="330">
        <v>81</v>
      </c>
      <c r="Z48" s="330">
        <v>22</v>
      </c>
      <c r="AA48" s="629">
        <f t="shared" si="7"/>
        <v>103</v>
      </c>
      <c r="AB48" s="330">
        <v>34</v>
      </c>
      <c r="AC48" s="330">
        <v>10</v>
      </c>
      <c r="AD48" s="629">
        <f t="shared" si="8"/>
        <v>44</v>
      </c>
      <c r="AE48" s="330">
        <v>0</v>
      </c>
      <c r="AF48" s="330">
        <v>0</v>
      </c>
      <c r="AG48" s="629">
        <f t="shared" si="9"/>
        <v>0</v>
      </c>
      <c r="AH48" s="330">
        <v>0</v>
      </c>
      <c r="AI48" s="330">
        <v>0</v>
      </c>
      <c r="AJ48" s="629">
        <f t="shared" si="10"/>
        <v>0</v>
      </c>
      <c r="AK48" s="330">
        <v>12</v>
      </c>
      <c r="AL48" s="330">
        <v>2</v>
      </c>
      <c r="AM48" s="629">
        <f t="shared" si="11"/>
        <v>14</v>
      </c>
      <c r="AN48" s="330">
        <v>9</v>
      </c>
      <c r="AO48" s="330">
        <v>0</v>
      </c>
      <c r="AP48" s="629">
        <f t="shared" si="12"/>
        <v>9</v>
      </c>
      <c r="AQ48" s="330">
        <v>19</v>
      </c>
      <c r="AR48" s="330">
        <v>0</v>
      </c>
      <c r="AS48" s="629">
        <f t="shared" si="13"/>
        <v>19</v>
      </c>
      <c r="AT48" s="330">
        <v>5770</v>
      </c>
      <c r="AU48" s="330">
        <v>3325</v>
      </c>
      <c r="AV48" s="629">
        <f t="shared" si="14"/>
        <v>9095</v>
      </c>
      <c r="AW48" s="330">
        <v>185</v>
      </c>
      <c r="AX48" s="330">
        <v>98</v>
      </c>
      <c r="AY48" s="629">
        <f t="shared" si="15"/>
        <v>283</v>
      </c>
      <c r="AZ48" s="330">
        <v>3</v>
      </c>
      <c r="BA48" s="330">
        <v>4</v>
      </c>
      <c r="BB48" s="629">
        <f t="shared" si="16"/>
        <v>7</v>
      </c>
      <c r="BC48" s="330">
        <v>15</v>
      </c>
      <c r="BD48" s="330">
        <v>14</v>
      </c>
      <c r="BE48" s="629">
        <f t="shared" si="17"/>
        <v>29</v>
      </c>
      <c r="BF48" s="330">
        <v>435</v>
      </c>
      <c r="BG48" s="330">
        <v>26</v>
      </c>
      <c r="BH48" s="629">
        <f t="shared" si="18"/>
        <v>461</v>
      </c>
      <c r="BI48" s="330">
        <v>12</v>
      </c>
      <c r="BJ48" s="330">
        <v>2</v>
      </c>
      <c r="BK48" s="629">
        <f t="shared" si="19"/>
        <v>14</v>
      </c>
      <c r="BL48" s="330">
        <v>0</v>
      </c>
      <c r="BM48" s="330">
        <v>0</v>
      </c>
      <c r="BN48" s="629">
        <f t="shared" si="20"/>
        <v>0</v>
      </c>
      <c r="BO48" s="330">
        <v>1</v>
      </c>
      <c r="BP48" s="330">
        <v>0</v>
      </c>
      <c r="BQ48" s="629">
        <f t="shared" si="21"/>
        <v>1</v>
      </c>
      <c r="BR48" s="330">
        <v>2</v>
      </c>
      <c r="BS48" s="330">
        <v>8</v>
      </c>
      <c r="BT48" s="629">
        <f t="shared" si="22"/>
        <v>10</v>
      </c>
      <c r="BU48" s="330">
        <v>0</v>
      </c>
      <c r="BV48" s="330">
        <v>0</v>
      </c>
      <c r="BW48" s="629">
        <f t="shared" si="23"/>
        <v>0</v>
      </c>
      <c r="BX48" s="330">
        <v>0</v>
      </c>
      <c r="BY48" s="330">
        <v>0</v>
      </c>
      <c r="BZ48" s="629">
        <f t="shared" si="24"/>
        <v>0</v>
      </c>
      <c r="CA48" s="330">
        <v>1</v>
      </c>
      <c r="CB48" s="330">
        <v>0</v>
      </c>
      <c r="CC48" s="629">
        <f t="shared" si="25"/>
        <v>1</v>
      </c>
      <c r="CD48" s="330">
        <v>1</v>
      </c>
      <c r="CE48" s="330">
        <v>0</v>
      </c>
      <c r="CF48" s="629">
        <f t="shared" si="26"/>
        <v>1</v>
      </c>
      <c r="CG48" s="330">
        <v>0</v>
      </c>
      <c r="CH48" s="330">
        <v>0</v>
      </c>
      <c r="CI48" s="629">
        <f t="shared" si="27"/>
        <v>0</v>
      </c>
      <c r="CJ48" s="330">
        <v>1</v>
      </c>
      <c r="CK48" s="330">
        <v>0</v>
      </c>
      <c r="CL48" s="629">
        <f t="shared" si="28"/>
        <v>1</v>
      </c>
      <c r="CM48" s="330">
        <v>3</v>
      </c>
      <c r="CN48" s="330">
        <v>2</v>
      </c>
      <c r="CO48" s="629">
        <f t="shared" si="29"/>
        <v>5</v>
      </c>
      <c r="CP48" s="330">
        <v>0</v>
      </c>
      <c r="CQ48" s="330">
        <v>0</v>
      </c>
      <c r="CR48" s="629">
        <f t="shared" si="30"/>
        <v>0</v>
      </c>
      <c r="CS48" s="330">
        <v>0</v>
      </c>
      <c r="CT48" s="330">
        <v>0</v>
      </c>
      <c r="CU48" s="629">
        <f t="shared" si="31"/>
        <v>0</v>
      </c>
      <c r="CV48" s="330">
        <v>0</v>
      </c>
      <c r="CW48" s="330">
        <v>1</v>
      </c>
      <c r="CX48" s="629">
        <f t="shared" si="32"/>
        <v>1</v>
      </c>
      <c r="CY48" s="330">
        <v>0</v>
      </c>
      <c r="CZ48" s="330">
        <v>0</v>
      </c>
      <c r="DA48" s="629">
        <f t="shared" si="33"/>
        <v>0</v>
      </c>
      <c r="DB48" s="330">
        <v>4</v>
      </c>
      <c r="DC48" s="330">
        <v>0</v>
      </c>
      <c r="DD48" s="629">
        <f t="shared" si="34"/>
        <v>4</v>
      </c>
      <c r="DE48" s="330">
        <v>6</v>
      </c>
      <c r="DF48" s="330">
        <v>1</v>
      </c>
      <c r="DG48" s="629">
        <f t="shared" si="35"/>
        <v>7</v>
      </c>
      <c r="DH48" s="330">
        <v>0</v>
      </c>
      <c r="DI48" s="330">
        <v>0</v>
      </c>
      <c r="DJ48" s="629">
        <f t="shared" si="36"/>
        <v>0</v>
      </c>
      <c r="DK48" s="330">
        <v>0</v>
      </c>
      <c r="DL48" s="330">
        <v>0</v>
      </c>
      <c r="DM48" s="629">
        <f t="shared" si="37"/>
        <v>0</v>
      </c>
      <c r="DN48" s="330">
        <v>0</v>
      </c>
      <c r="DO48" s="330">
        <v>0</v>
      </c>
      <c r="DP48" s="629">
        <f t="shared" si="38"/>
        <v>0</v>
      </c>
      <c r="DQ48" s="330">
        <v>1</v>
      </c>
      <c r="DR48" s="330">
        <v>1</v>
      </c>
      <c r="DS48" s="629">
        <f t="shared" si="39"/>
        <v>2</v>
      </c>
      <c r="DT48" s="330">
        <v>1</v>
      </c>
      <c r="DU48" s="330">
        <v>0</v>
      </c>
      <c r="DV48" s="629">
        <f t="shared" si="40"/>
        <v>1</v>
      </c>
      <c r="DW48" s="330">
        <v>5</v>
      </c>
      <c r="DX48" s="330">
        <v>3</v>
      </c>
      <c r="DY48" s="629">
        <f t="shared" si="41"/>
        <v>8</v>
      </c>
      <c r="DZ48" s="330">
        <v>0</v>
      </c>
      <c r="EA48" s="330">
        <v>0</v>
      </c>
      <c r="EB48" s="629">
        <f t="shared" si="42"/>
        <v>0</v>
      </c>
      <c r="EC48" s="330">
        <v>22</v>
      </c>
      <c r="ED48" s="330">
        <v>5</v>
      </c>
      <c r="EE48" s="629">
        <f t="shared" si="43"/>
        <v>27</v>
      </c>
      <c r="EF48" s="330">
        <v>2</v>
      </c>
      <c r="EG48" s="330">
        <v>0</v>
      </c>
      <c r="EH48" s="629">
        <f t="shared" si="44"/>
        <v>2</v>
      </c>
      <c r="EI48" s="330">
        <v>1</v>
      </c>
      <c r="EJ48" s="330">
        <v>1</v>
      </c>
      <c r="EK48" s="629">
        <f t="shared" si="45"/>
        <v>2</v>
      </c>
      <c r="EL48" s="330">
        <v>1</v>
      </c>
      <c r="EM48" s="330">
        <v>0</v>
      </c>
      <c r="EN48" s="629">
        <f t="shared" si="46"/>
        <v>1</v>
      </c>
      <c r="EO48" s="330">
        <v>0</v>
      </c>
      <c r="EP48" s="330">
        <v>0</v>
      </c>
      <c r="EQ48" s="629">
        <f t="shared" si="47"/>
        <v>0</v>
      </c>
      <c r="ER48" s="330">
        <v>0</v>
      </c>
      <c r="ES48" s="330">
        <v>0</v>
      </c>
      <c r="ET48" s="629">
        <f t="shared" si="48"/>
        <v>0</v>
      </c>
      <c r="EU48" s="330">
        <v>0</v>
      </c>
      <c r="EV48" s="330">
        <v>0</v>
      </c>
      <c r="EW48" s="629">
        <f t="shared" si="49"/>
        <v>0</v>
      </c>
      <c r="EX48" s="330">
        <v>0</v>
      </c>
      <c r="EY48" s="330">
        <v>0</v>
      </c>
      <c r="EZ48" s="629">
        <f t="shared" si="50"/>
        <v>0</v>
      </c>
      <c r="FA48" s="330">
        <v>0</v>
      </c>
      <c r="FB48" s="330">
        <v>0</v>
      </c>
      <c r="FC48" s="629">
        <f t="shared" si="51"/>
        <v>0</v>
      </c>
      <c r="FD48" s="330">
        <v>0</v>
      </c>
      <c r="FE48" s="330">
        <v>0</v>
      </c>
      <c r="FF48" s="629">
        <f t="shared" si="52"/>
        <v>0</v>
      </c>
      <c r="FG48" s="330">
        <v>0</v>
      </c>
      <c r="FH48" s="330">
        <v>0</v>
      </c>
      <c r="FI48" s="629">
        <f t="shared" si="53"/>
        <v>0</v>
      </c>
      <c r="FJ48" s="330">
        <v>0</v>
      </c>
      <c r="FK48" s="330">
        <v>0</v>
      </c>
      <c r="FL48" s="629">
        <f t="shared" si="54"/>
        <v>0</v>
      </c>
      <c r="FM48" s="330">
        <v>0</v>
      </c>
      <c r="FN48" s="330">
        <v>0</v>
      </c>
      <c r="FO48" s="629">
        <f t="shared" si="55"/>
        <v>0</v>
      </c>
      <c r="FP48" s="330">
        <v>0</v>
      </c>
      <c r="FQ48" s="330">
        <v>0</v>
      </c>
      <c r="FR48" s="629">
        <f t="shared" si="56"/>
        <v>0</v>
      </c>
      <c r="FS48" s="330">
        <v>0</v>
      </c>
      <c r="FT48" s="330">
        <v>0</v>
      </c>
      <c r="FU48" s="629">
        <f t="shared" si="57"/>
        <v>0</v>
      </c>
      <c r="FV48" s="330">
        <v>0</v>
      </c>
      <c r="FW48" s="330">
        <v>0</v>
      </c>
      <c r="FX48" s="629">
        <f t="shared" si="58"/>
        <v>0</v>
      </c>
      <c r="FY48" s="330">
        <v>0</v>
      </c>
      <c r="FZ48" s="330">
        <v>0</v>
      </c>
      <c r="GA48" s="629">
        <f t="shared" si="59"/>
        <v>0</v>
      </c>
      <c r="GB48" s="330">
        <v>0</v>
      </c>
      <c r="GC48" s="330">
        <v>0</v>
      </c>
      <c r="GD48" s="629">
        <f t="shared" si="60"/>
        <v>0</v>
      </c>
      <c r="GE48" s="330">
        <v>0</v>
      </c>
      <c r="GF48" s="330">
        <v>0</v>
      </c>
      <c r="GG48" s="629">
        <f t="shared" si="61"/>
        <v>0</v>
      </c>
      <c r="GH48" s="330">
        <v>0</v>
      </c>
      <c r="GI48" s="330">
        <v>0</v>
      </c>
      <c r="GJ48" s="629">
        <f t="shared" si="62"/>
        <v>0</v>
      </c>
      <c r="GK48" s="330">
        <v>22</v>
      </c>
      <c r="GL48" s="330">
        <v>29</v>
      </c>
      <c r="GM48" s="629">
        <f t="shared" si="63"/>
        <v>51</v>
      </c>
      <c r="GN48" s="330">
        <v>95</v>
      </c>
      <c r="GO48" s="330">
        <v>269</v>
      </c>
      <c r="GP48" s="629">
        <f t="shared" si="64"/>
        <v>364</v>
      </c>
      <c r="GQ48" s="330">
        <v>10</v>
      </c>
      <c r="GR48" s="330">
        <v>1</v>
      </c>
      <c r="GS48" s="629">
        <f t="shared" si="65"/>
        <v>11</v>
      </c>
      <c r="GT48" s="330">
        <v>14</v>
      </c>
      <c r="GU48" s="330">
        <v>6</v>
      </c>
      <c r="GV48" s="629">
        <f t="shared" si="66"/>
        <v>20</v>
      </c>
      <c r="GW48" s="330">
        <v>1</v>
      </c>
      <c r="GX48" s="330">
        <v>2</v>
      </c>
      <c r="GY48" s="629">
        <f t="shared" si="67"/>
        <v>3</v>
      </c>
      <c r="GZ48" s="330">
        <v>1</v>
      </c>
      <c r="HA48" s="330">
        <v>3</v>
      </c>
      <c r="HB48" s="629">
        <f t="shared" si="68"/>
        <v>4</v>
      </c>
      <c r="HC48" s="330">
        <v>1</v>
      </c>
      <c r="HD48" s="330">
        <v>0</v>
      </c>
      <c r="HE48" s="629">
        <f t="shared" si="69"/>
        <v>1</v>
      </c>
      <c r="HF48" s="330">
        <v>3</v>
      </c>
      <c r="HG48" s="330">
        <v>1</v>
      </c>
      <c r="HH48" s="629">
        <f t="shared" si="70"/>
        <v>4</v>
      </c>
      <c r="HI48" s="330">
        <v>28</v>
      </c>
      <c r="HJ48" s="330">
        <v>82</v>
      </c>
      <c r="HK48" s="629">
        <f t="shared" si="71"/>
        <v>110</v>
      </c>
      <c r="HL48" s="330">
        <v>0</v>
      </c>
      <c r="HM48" s="330">
        <v>21</v>
      </c>
      <c r="HN48" s="629">
        <f t="shared" si="72"/>
        <v>21</v>
      </c>
      <c r="HO48" s="330">
        <v>4</v>
      </c>
      <c r="HP48" s="330">
        <v>24</v>
      </c>
      <c r="HQ48" s="629">
        <f t="shared" si="73"/>
        <v>28</v>
      </c>
      <c r="HR48" s="330">
        <v>0</v>
      </c>
      <c r="HS48" s="330">
        <v>7</v>
      </c>
      <c r="HT48" s="629">
        <f t="shared" si="74"/>
        <v>7</v>
      </c>
      <c r="HU48" s="330">
        <v>0</v>
      </c>
      <c r="HV48" s="330">
        <v>3</v>
      </c>
      <c r="HW48" s="629">
        <f t="shared" si="75"/>
        <v>3</v>
      </c>
      <c r="HX48" s="330">
        <v>0</v>
      </c>
      <c r="HY48" s="330">
        <v>0</v>
      </c>
      <c r="HZ48" s="629">
        <f t="shared" si="76"/>
        <v>0</v>
      </c>
      <c r="IA48" s="330">
        <v>0</v>
      </c>
      <c r="IB48" s="330">
        <v>0</v>
      </c>
      <c r="IC48" s="629">
        <f t="shared" si="77"/>
        <v>0</v>
      </c>
      <c r="ID48" s="330">
        <v>3</v>
      </c>
      <c r="IE48" s="330">
        <v>0</v>
      </c>
      <c r="IF48" s="629">
        <f t="shared" si="78"/>
        <v>3</v>
      </c>
      <c r="IG48" s="330">
        <v>1</v>
      </c>
      <c r="IH48" s="330">
        <v>1</v>
      </c>
      <c r="II48" s="629">
        <f t="shared" si="79"/>
        <v>2</v>
      </c>
      <c r="IJ48" s="330">
        <v>38</v>
      </c>
      <c r="IK48" s="330">
        <v>0</v>
      </c>
      <c r="IL48" s="629">
        <f t="shared" si="80"/>
        <v>38</v>
      </c>
      <c r="IM48" s="330">
        <v>0</v>
      </c>
      <c r="IN48" s="330">
        <v>0</v>
      </c>
      <c r="IO48" s="629">
        <f t="shared" si="81"/>
        <v>0</v>
      </c>
      <c r="IP48" s="330">
        <v>0</v>
      </c>
      <c r="IQ48" s="330">
        <v>0</v>
      </c>
      <c r="IR48" s="629">
        <f t="shared" si="82"/>
        <v>0</v>
      </c>
      <c r="IS48" s="330">
        <v>57</v>
      </c>
      <c r="IT48" s="330">
        <v>17</v>
      </c>
      <c r="IU48" s="629">
        <f t="shared" si="83"/>
        <v>74</v>
      </c>
      <c r="IV48" s="330">
        <v>0</v>
      </c>
      <c r="IW48" s="330">
        <v>0</v>
      </c>
      <c r="IX48" s="629">
        <f t="shared" si="84"/>
        <v>0</v>
      </c>
      <c r="IY48" s="330">
        <v>0</v>
      </c>
      <c r="IZ48" s="330">
        <v>0</v>
      </c>
      <c r="JA48" s="629">
        <f t="shared" si="85"/>
        <v>0</v>
      </c>
      <c r="JB48" s="330">
        <v>0</v>
      </c>
      <c r="JC48" s="330">
        <v>1</v>
      </c>
      <c r="JD48" s="629">
        <f t="shared" si="86"/>
        <v>1</v>
      </c>
      <c r="JE48" s="330">
        <v>3084</v>
      </c>
      <c r="JF48" s="330">
        <v>658</v>
      </c>
      <c r="JG48" s="629">
        <f t="shared" si="87"/>
        <v>3742</v>
      </c>
      <c r="JH48" s="330">
        <v>0</v>
      </c>
      <c r="JI48" s="330">
        <v>0</v>
      </c>
      <c r="JJ48" s="629">
        <f t="shared" si="88"/>
        <v>0</v>
      </c>
      <c r="JK48" s="330">
        <v>1</v>
      </c>
      <c r="JL48" s="330">
        <v>0</v>
      </c>
      <c r="JM48" s="629">
        <f t="shared" si="89"/>
        <v>1</v>
      </c>
      <c r="JN48" s="330">
        <v>0</v>
      </c>
      <c r="JO48" s="330">
        <v>0</v>
      </c>
      <c r="JP48" s="629">
        <f t="shared" si="90"/>
        <v>0</v>
      </c>
      <c r="JQ48" s="330">
        <v>0</v>
      </c>
      <c r="JR48" s="330">
        <v>0</v>
      </c>
      <c r="JS48" s="629">
        <f t="shared" si="91"/>
        <v>0</v>
      </c>
      <c r="JT48" s="330">
        <v>0</v>
      </c>
      <c r="JU48" s="330">
        <v>0</v>
      </c>
      <c r="JV48" s="629">
        <f t="shared" si="92"/>
        <v>0</v>
      </c>
      <c r="JW48" s="330">
        <v>0</v>
      </c>
      <c r="JX48" s="330">
        <v>0</v>
      </c>
      <c r="JY48" s="629">
        <f t="shared" si="93"/>
        <v>0</v>
      </c>
      <c r="JZ48" s="330">
        <v>0</v>
      </c>
      <c r="KA48" s="330">
        <v>0</v>
      </c>
      <c r="KB48" s="629">
        <f t="shared" si="94"/>
        <v>0</v>
      </c>
      <c r="KC48" s="330">
        <v>0</v>
      </c>
      <c r="KD48" s="330">
        <v>0</v>
      </c>
      <c r="KE48" s="629">
        <f t="shared" si="95"/>
        <v>0</v>
      </c>
      <c r="KF48" s="330">
        <v>0</v>
      </c>
      <c r="KG48" s="330">
        <v>0</v>
      </c>
      <c r="KH48" s="629">
        <f t="shared" si="96"/>
        <v>0</v>
      </c>
      <c r="KI48" s="330">
        <v>0</v>
      </c>
      <c r="KJ48" s="330">
        <v>0</v>
      </c>
      <c r="KK48" s="629">
        <f t="shared" si="97"/>
        <v>0</v>
      </c>
      <c r="KL48" s="629">
        <v>0</v>
      </c>
      <c r="KM48" s="629">
        <v>0</v>
      </c>
      <c r="KN48" s="629">
        <f t="shared" si="98"/>
        <v>0</v>
      </c>
      <c r="KO48" s="629">
        <v>0</v>
      </c>
      <c r="KP48" s="629">
        <v>0</v>
      </c>
      <c r="KQ48" s="629">
        <f t="shared" si="99"/>
        <v>0</v>
      </c>
      <c r="KR48" s="629">
        <v>0</v>
      </c>
      <c r="KS48" s="629">
        <v>0</v>
      </c>
      <c r="KT48" s="629">
        <f t="shared" si="100"/>
        <v>0</v>
      </c>
      <c r="KU48" s="629">
        <v>0</v>
      </c>
      <c r="KV48" s="629">
        <v>0</v>
      </c>
      <c r="KW48" s="629">
        <f t="shared" si="101"/>
        <v>0</v>
      </c>
      <c r="KX48" s="629">
        <v>0</v>
      </c>
      <c r="KY48" s="629">
        <v>0</v>
      </c>
      <c r="KZ48" s="629">
        <f t="shared" si="102"/>
        <v>0</v>
      </c>
      <c r="LA48" s="629">
        <v>0</v>
      </c>
      <c r="LB48" s="629">
        <v>0</v>
      </c>
      <c r="LC48" s="629">
        <f t="shared" si="103"/>
        <v>0</v>
      </c>
      <c r="LD48" s="629">
        <v>0</v>
      </c>
      <c r="LE48" s="629">
        <v>0</v>
      </c>
      <c r="LF48" s="629">
        <f t="shared" si="104"/>
        <v>0</v>
      </c>
      <c r="LG48" s="629">
        <v>0</v>
      </c>
      <c r="LH48" s="629">
        <v>0</v>
      </c>
      <c r="LI48" s="629">
        <f t="shared" si="105"/>
        <v>0</v>
      </c>
      <c r="LJ48" s="330">
        <v>0</v>
      </c>
      <c r="LK48" s="330">
        <v>1</v>
      </c>
      <c r="LL48" s="697">
        <f t="shared" si="106"/>
        <v>1</v>
      </c>
    </row>
    <row r="49" spans="1:324" ht="15" thickBot="1" x14ac:dyDescent="0.4">
      <c r="A49" s="698">
        <v>4</v>
      </c>
      <c r="B49" s="391" t="s">
        <v>297</v>
      </c>
      <c r="C49" s="443" t="s">
        <v>107</v>
      </c>
      <c r="D49" s="337">
        <v>4334</v>
      </c>
      <c r="E49" s="337">
        <v>3857</v>
      </c>
      <c r="F49" s="699">
        <f t="shared" si="0"/>
        <v>8191</v>
      </c>
      <c r="G49" s="337">
        <v>4</v>
      </c>
      <c r="H49" s="337">
        <v>8162</v>
      </c>
      <c r="I49" s="699">
        <f t="shared" si="1"/>
        <v>8166</v>
      </c>
      <c r="J49" s="337">
        <v>6090</v>
      </c>
      <c r="K49" s="337">
        <v>5313</v>
      </c>
      <c r="L49" s="699">
        <f t="shared" si="2"/>
        <v>11403</v>
      </c>
      <c r="M49" s="337">
        <v>380</v>
      </c>
      <c r="N49" s="337">
        <v>187</v>
      </c>
      <c r="O49" s="699">
        <f t="shared" si="3"/>
        <v>567</v>
      </c>
      <c r="P49" s="337">
        <v>403</v>
      </c>
      <c r="Q49" s="337">
        <v>335</v>
      </c>
      <c r="R49" s="699">
        <f t="shared" si="4"/>
        <v>738</v>
      </c>
      <c r="S49" s="337">
        <v>40</v>
      </c>
      <c r="T49" s="337">
        <v>3</v>
      </c>
      <c r="U49" s="699">
        <f t="shared" si="5"/>
        <v>43</v>
      </c>
      <c r="V49" s="337">
        <v>49</v>
      </c>
      <c r="W49" s="337">
        <v>4</v>
      </c>
      <c r="X49" s="699">
        <f t="shared" si="6"/>
        <v>53</v>
      </c>
      <c r="Y49" s="337">
        <v>73</v>
      </c>
      <c r="Z49" s="337">
        <v>16</v>
      </c>
      <c r="AA49" s="699">
        <f t="shared" si="7"/>
        <v>89</v>
      </c>
      <c r="AB49" s="337">
        <v>11</v>
      </c>
      <c r="AC49" s="337">
        <v>7</v>
      </c>
      <c r="AD49" s="699">
        <f t="shared" si="8"/>
        <v>18</v>
      </c>
      <c r="AE49" s="337">
        <v>1</v>
      </c>
      <c r="AF49" s="337">
        <v>0</v>
      </c>
      <c r="AG49" s="699">
        <f t="shared" si="9"/>
        <v>1</v>
      </c>
      <c r="AH49" s="337">
        <v>1</v>
      </c>
      <c r="AI49" s="337">
        <v>0</v>
      </c>
      <c r="AJ49" s="699">
        <f t="shared" si="10"/>
        <v>1</v>
      </c>
      <c r="AK49" s="337">
        <v>15</v>
      </c>
      <c r="AL49" s="337">
        <v>0</v>
      </c>
      <c r="AM49" s="699">
        <f t="shared" si="11"/>
        <v>15</v>
      </c>
      <c r="AN49" s="337">
        <v>8</v>
      </c>
      <c r="AO49" s="337">
        <v>0</v>
      </c>
      <c r="AP49" s="699">
        <f t="shared" si="12"/>
        <v>8</v>
      </c>
      <c r="AQ49" s="337">
        <v>15</v>
      </c>
      <c r="AR49" s="337">
        <v>2</v>
      </c>
      <c r="AS49" s="699">
        <f t="shared" si="13"/>
        <v>17</v>
      </c>
      <c r="AT49" s="337">
        <v>7220</v>
      </c>
      <c r="AU49" s="337">
        <v>3930</v>
      </c>
      <c r="AV49" s="699">
        <f t="shared" si="14"/>
        <v>11150</v>
      </c>
      <c r="AW49" s="337">
        <v>167</v>
      </c>
      <c r="AX49" s="337">
        <v>106</v>
      </c>
      <c r="AY49" s="699">
        <f t="shared" si="15"/>
        <v>273</v>
      </c>
      <c r="AZ49" s="337">
        <v>8</v>
      </c>
      <c r="BA49" s="337">
        <v>4</v>
      </c>
      <c r="BB49" s="699">
        <f t="shared" si="16"/>
        <v>12</v>
      </c>
      <c r="BC49" s="337">
        <v>33</v>
      </c>
      <c r="BD49" s="337">
        <v>20</v>
      </c>
      <c r="BE49" s="699">
        <f t="shared" si="17"/>
        <v>53</v>
      </c>
      <c r="BF49" s="337">
        <v>553</v>
      </c>
      <c r="BG49" s="337">
        <v>29</v>
      </c>
      <c r="BH49" s="699">
        <f t="shared" si="18"/>
        <v>582</v>
      </c>
      <c r="BI49" s="337">
        <v>19</v>
      </c>
      <c r="BJ49" s="337">
        <v>4</v>
      </c>
      <c r="BK49" s="699">
        <f t="shared" si="19"/>
        <v>23</v>
      </c>
      <c r="BL49" s="337">
        <v>0</v>
      </c>
      <c r="BM49" s="337">
        <v>0</v>
      </c>
      <c r="BN49" s="699">
        <f t="shared" si="20"/>
        <v>0</v>
      </c>
      <c r="BO49" s="337">
        <v>0</v>
      </c>
      <c r="BP49" s="337">
        <v>0</v>
      </c>
      <c r="BQ49" s="699">
        <f t="shared" si="21"/>
        <v>0</v>
      </c>
      <c r="BR49" s="337">
        <v>0</v>
      </c>
      <c r="BS49" s="337">
        <v>8</v>
      </c>
      <c r="BT49" s="699">
        <f t="shared" si="22"/>
        <v>8</v>
      </c>
      <c r="BU49" s="337">
        <v>1</v>
      </c>
      <c r="BV49" s="337">
        <v>0</v>
      </c>
      <c r="BW49" s="699">
        <f t="shared" si="23"/>
        <v>1</v>
      </c>
      <c r="BX49" s="337">
        <v>1</v>
      </c>
      <c r="BY49" s="337">
        <v>0</v>
      </c>
      <c r="BZ49" s="699">
        <f t="shared" si="24"/>
        <v>1</v>
      </c>
      <c r="CA49" s="337">
        <v>1</v>
      </c>
      <c r="CB49" s="337">
        <v>0</v>
      </c>
      <c r="CC49" s="699">
        <f t="shared" si="25"/>
        <v>1</v>
      </c>
      <c r="CD49" s="337">
        <v>2</v>
      </c>
      <c r="CE49" s="337">
        <v>0</v>
      </c>
      <c r="CF49" s="699">
        <f t="shared" si="26"/>
        <v>2</v>
      </c>
      <c r="CG49" s="337">
        <v>0</v>
      </c>
      <c r="CH49" s="337">
        <v>0</v>
      </c>
      <c r="CI49" s="699">
        <f t="shared" si="27"/>
        <v>0</v>
      </c>
      <c r="CJ49" s="337">
        <v>0</v>
      </c>
      <c r="CK49" s="337">
        <v>0</v>
      </c>
      <c r="CL49" s="699">
        <f t="shared" si="28"/>
        <v>0</v>
      </c>
      <c r="CM49" s="337">
        <v>3</v>
      </c>
      <c r="CN49" s="337">
        <v>0</v>
      </c>
      <c r="CO49" s="699">
        <f t="shared" si="29"/>
        <v>3</v>
      </c>
      <c r="CP49" s="337">
        <v>0</v>
      </c>
      <c r="CQ49" s="337">
        <v>0</v>
      </c>
      <c r="CR49" s="699">
        <f t="shared" si="30"/>
        <v>0</v>
      </c>
      <c r="CS49" s="337">
        <v>0</v>
      </c>
      <c r="CT49" s="337">
        <v>0</v>
      </c>
      <c r="CU49" s="699">
        <f t="shared" si="31"/>
        <v>0</v>
      </c>
      <c r="CV49" s="337">
        <v>0</v>
      </c>
      <c r="CW49" s="337">
        <v>0</v>
      </c>
      <c r="CX49" s="699">
        <f t="shared" si="32"/>
        <v>0</v>
      </c>
      <c r="CY49" s="337">
        <v>0</v>
      </c>
      <c r="CZ49" s="337">
        <v>0</v>
      </c>
      <c r="DA49" s="699">
        <f t="shared" si="33"/>
        <v>0</v>
      </c>
      <c r="DB49" s="337">
        <v>6</v>
      </c>
      <c r="DC49" s="337">
        <v>0</v>
      </c>
      <c r="DD49" s="699">
        <f t="shared" si="34"/>
        <v>6</v>
      </c>
      <c r="DE49" s="337">
        <v>12</v>
      </c>
      <c r="DF49" s="337">
        <v>1</v>
      </c>
      <c r="DG49" s="699">
        <f t="shared" si="35"/>
        <v>13</v>
      </c>
      <c r="DH49" s="337">
        <v>0</v>
      </c>
      <c r="DI49" s="337">
        <v>0</v>
      </c>
      <c r="DJ49" s="699">
        <f t="shared" si="36"/>
        <v>0</v>
      </c>
      <c r="DK49" s="337">
        <v>0</v>
      </c>
      <c r="DL49" s="337">
        <v>0</v>
      </c>
      <c r="DM49" s="699">
        <f t="shared" si="37"/>
        <v>0</v>
      </c>
      <c r="DN49" s="337">
        <v>0</v>
      </c>
      <c r="DO49" s="337">
        <v>0</v>
      </c>
      <c r="DP49" s="699">
        <f t="shared" si="38"/>
        <v>0</v>
      </c>
      <c r="DQ49" s="337">
        <v>0</v>
      </c>
      <c r="DR49" s="337">
        <v>0</v>
      </c>
      <c r="DS49" s="699">
        <f t="shared" si="39"/>
        <v>0</v>
      </c>
      <c r="DT49" s="337">
        <v>0</v>
      </c>
      <c r="DU49" s="337">
        <v>0</v>
      </c>
      <c r="DV49" s="699">
        <f t="shared" si="40"/>
        <v>0</v>
      </c>
      <c r="DW49" s="337">
        <v>2</v>
      </c>
      <c r="DX49" s="337">
        <v>0</v>
      </c>
      <c r="DY49" s="699">
        <f t="shared" si="41"/>
        <v>2</v>
      </c>
      <c r="DZ49" s="337">
        <v>0</v>
      </c>
      <c r="EA49" s="337">
        <v>0</v>
      </c>
      <c r="EB49" s="699">
        <f t="shared" si="42"/>
        <v>0</v>
      </c>
      <c r="EC49" s="337">
        <v>14</v>
      </c>
      <c r="ED49" s="337">
        <v>3</v>
      </c>
      <c r="EE49" s="699">
        <f t="shared" si="43"/>
        <v>17</v>
      </c>
      <c r="EF49" s="337">
        <v>1</v>
      </c>
      <c r="EG49" s="337">
        <v>1</v>
      </c>
      <c r="EH49" s="699">
        <f t="shared" si="44"/>
        <v>2</v>
      </c>
      <c r="EI49" s="337">
        <v>2</v>
      </c>
      <c r="EJ49" s="337">
        <v>0</v>
      </c>
      <c r="EK49" s="699">
        <f t="shared" si="45"/>
        <v>2</v>
      </c>
      <c r="EL49" s="337">
        <v>0</v>
      </c>
      <c r="EM49" s="337">
        <v>0</v>
      </c>
      <c r="EN49" s="699">
        <f t="shared" si="46"/>
        <v>0</v>
      </c>
      <c r="EO49" s="337">
        <v>1</v>
      </c>
      <c r="EP49" s="337">
        <v>0</v>
      </c>
      <c r="EQ49" s="699">
        <f t="shared" si="47"/>
        <v>1</v>
      </c>
      <c r="ER49" s="337">
        <v>1</v>
      </c>
      <c r="ES49" s="337">
        <v>0</v>
      </c>
      <c r="ET49" s="699">
        <f t="shared" si="48"/>
        <v>1</v>
      </c>
      <c r="EU49" s="337">
        <v>0</v>
      </c>
      <c r="EV49" s="337">
        <v>0</v>
      </c>
      <c r="EW49" s="699">
        <f t="shared" si="49"/>
        <v>0</v>
      </c>
      <c r="EX49" s="337">
        <v>0</v>
      </c>
      <c r="EY49" s="337">
        <v>0</v>
      </c>
      <c r="EZ49" s="699">
        <f t="shared" si="50"/>
        <v>0</v>
      </c>
      <c r="FA49" s="337">
        <v>0</v>
      </c>
      <c r="FB49" s="337">
        <v>0</v>
      </c>
      <c r="FC49" s="699">
        <f t="shared" si="51"/>
        <v>0</v>
      </c>
      <c r="FD49" s="337">
        <v>0</v>
      </c>
      <c r="FE49" s="337">
        <v>0</v>
      </c>
      <c r="FF49" s="699">
        <f t="shared" si="52"/>
        <v>0</v>
      </c>
      <c r="FG49" s="337">
        <v>0</v>
      </c>
      <c r="FH49" s="337">
        <v>0</v>
      </c>
      <c r="FI49" s="699">
        <f t="shared" si="53"/>
        <v>0</v>
      </c>
      <c r="FJ49" s="337">
        <v>0</v>
      </c>
      <c r="FK49" s="337">
        <v>0</v>
      </c>
      <c r="FL49" s="699">
        <f t="shared" si="54"/>
        <v>0</v>
      </c>
      <c r="FM49" s="337">
        <v>0</v>
      </c>
      <c r="FN49" s="337">
        <v>0</v>
      </c>
      <c r="FO49" s="699">
        <f t="shared" si="55"/>
        <v>0</v>
      </c>
      <c r="FP49" s="337">
        <v>0</v>
      </c>
      <c r="FQ49" s="337">
        <v>0</v>
      </c>
      <c r="FR49" s="699">
        <f t="shared" si="56"/>
        <v>0</v>
      </c>
      <c r="FS49" s="337">
        <v>0</v>
      </c>
      <c r="FT49" s="337">
        <v>0</v>
      </c>
      <c r="FU49" s="699">
        <f t="shared" si="57"/>
        <v>0</v>
      </c>
      <c r="FV49" s="337">
        <v>0</v>
      </c>
      <c r="FW49" s="337">
        <v>0</v>
      </c>
      <c r="FX49" s="699">
        <f t="shared" si="58"/>
        <v>0</v>
      </c>
      <c r="FY49" s="337">
        <v>0</v>
      </c>
      <c r="FZ49" s="337">
        <v>0</v>
      </c>
      <c r="GA49" s="699">
        <f t="shared" si="59"/>
        <v>0</v>
      </c>
      <c r="GB49" s="337">
        <v>0</v>
      </c>
      <c r="GC49" s="337">
        <v>0</v>
      </c>
      <c r="GD49" s="699">
        <f t="shared" si="60"/>
        <v>0</v>
      </c>
      <c r="GE49" s="337">
        <v>0</v>
      </c>
      <c r="GF49" s="337">
        <v>0</v>
      </c>
      <c r="GG49" s="699">
        <f t="shared" si="61"/>
        <v>0</v>
      </c>
      <c r="GH49" s="337">
        <v>0</v>
      </c>
      <c r="GI49" s="337">
        <v>0</v>
      </c>
      <c r="GJ49" s="699">
        <f t="shared" si="62"/>
        <v>0</v>
      </c>
      <c r="GK49" s="337">
        <v>31</v>
      </c>
      <c r="GL49" s="337">
        <v>38</v>
      </c>
      <c r="GM49" s="699">
        <f t="shared" si="63"/>
        <v>69</v>
      </c>
      <c r="GN49" s="337">
        <v>126</v>
      </c>
      <c r="GO49" s="337">
        <v>336</v>
      </c>
      <c r="GP49" s="699">
        <f t="shared" si="64"/>
        <v>462</v>
      </c>
      <c r="GQ49" s="337">
        <v>12</v>
      </c>
      <c r="GR49" s="337">
        <v>0</v>
      </c>
      <c r="GS49" s="699">
        <f t="shared" si="65"/>
        <v>12</v>
      </c>
      <c r="GT49" s="337">
        <v>19</v>
      </c>
      <c r="GU49" s="337">
        <v>2</v>
      </c>
      <c r="GV49" s="699">
        <f t="shared" si="66"/>
        <v>21</v>
      </c>
      <c r="GW49" s="337">
        <v>2</v>
      </c>
      <c r="GX49" s="337">
        <v>6</v>
      </c>
      <c r="GY49" s="699">
        <f t="shared" si="67"/>
        <v>8</v>
      </c>
      <c r="GZ49" s="337">
        <v>4</v>
      </c>
      <c r="HA49" s="337">
        <v>0</v>
      </c>
      <c r="HB49" s="699">
        <f t="shared" si="68"/>
        <v>4</v>
      </c>
      <c r="HC49" s="337">
        <v>0</v>
      </c>
      <c r="HD49" s="337">
        <v>1</v>
      </c>
      <c r="HE49" s="699">
        <f t="shared" si="69"/>
        <v>1</v>
      </c>
      <c r="HF49" s="337">
        <v>7</v>
      </c>
      <c r="HG49" s="337">
        <v>0</v>
      </c>
      <c r="HH49" s="699">
        <f t="shared" si="70"/>
        <v>7</v>
      </c>
      <c r="HI49" s="337">
        <v>31</v>
      </c>
      <c r="HJ49" s="337">
        <v>81</v>
      </c>
      <c r="HK49" s="699">
        <f t="shared" si="71"/>
        <v>112</v>
      </c>
      <c r="HL49" s="337">
        <v>0</v>
      </c>
      <c r="HM49" s="337">
        <v>18</v>
      </c>
      <c r="HN49" s="699">
        <f t="shared" si="72"/>
        <v>18</v>
      </c>
      <c r="HO49" s="337">
        <v>3</v>
      </c>
      <c r="HP49" s="337">
        <v>34</v>
      </c>
      <c r="HQ49" s="699">
        <f t="shared" si="73"/>
        <v>37</v>
      </c>
      <c r="HR49" s="337">
        <v>0</v>
      </c>
      <c r="HS49" s="337">
        <v>6</v>
      </c>
      <c r="HT49" s="699">
        <f t="shared" si="74"/>
        <v>6</v>
      </c>
      <c r="HU49" s="337">
        <v>0</v>
      </c>
      <c r="HV49" s="337">
        <v>2</v>
      </c>
      <c r="HW49" s="699">
        <f t="shared" si="75"/>
        <v>2</v>
      </c>
      <c r="HX49" s="337">
        <v>0</v>
      </c>
      <c r="HY49" s="337">
        <v>0</v>
      </c>
      <c r="HZ49" s="699">
        <f t="shared" si="76"/>
        <v>0</v>
      </c>
      <c r="IA49" s="337">
        <v>0</v>
      </c>
      <c r="IB49" s="337">
        <v>0</v>
      </c>
      <c r="IC49" s="699">
        <f t="shared" si="77"/>
        <v>0</v>
      </c>
      <c r="ID49" s="337">
        <v>8</v>
      </c>
      <c r="IE49" s="337">
        <v>0</v>
      </c>
      <c r="IF49" s="699">
        <f t="shared" si="78"/>
        <v>8</v>
      </c>
      <c r="IG49" s="337">
        <v>3</v>
      </c>
      <c r="IH49" s="337">
        <v>0</v>
      </c>
      <c r="II49" s="699">
        <f t="shared" si="79"/>
        <v>3</v>
      </c>
      <c r="IJ49" s="337">
        <v>57</v>
      </c>
      <c r="IK49" s="337">
        <v>0</v>
      </c>
      <c r="IL49" s="699">
        <f t="shared" si="80"/>
        <v>57</v>
      </c>
      <c r="IM49" s="337">
        <v>0</v>
      </c>
      <c r="IN49" s="337">
        <v>0</v>
      </c>
      <c r="IO49" s="699">
        <f t="shared" si="81"/>
        <v>0</v>
      </c>
      <c r="IP49" s="337">
        <v>0</v>
      </c>
      <c r="IQ49" s="337">
        <v>0</v>
      </c>
      <c r="IR49" s="699">
        <f t="shared" si="82"/>
        <v>0</v>
      </c>
      <c r="IS49" s="337">
        <v>52</v>
      </c>
      <c r="IT49" s="337">
        <v>17</v>
      </c>
      <c r="IU49" s="699">
        <f t="shared" si="83"/>
        <v>69</v>
      </c>
      <c r="IV49" s="337">
        <v>0</v>
      </c>
      <c r="IW49" s="337">
        <v>0</v>
      </c>
      <c r="IX49" s="699">
        <f t="shared" si="84"/>
        <v>0</v>
      </c>
      <c r="IY49" s="337">
        <v>0</v>
      </c>
      <c r="IZ49" s="337">
        <v>0</v>
      </c>
      <c r="JA49" s="699">
        <f t="shared" si="85"/>
        <v>0</v>
      </c>
      <c r="JB49" s="337">
        <v>0</v>
      </c>
      <c r="JC49" s="337">
        <v>0</v>
      </c>
      <c r="JD49" s="699">
        <f t="shared" si="86"/>
        <v>0</v>
      </c>
      <c r="JE49" s="337">
        <v>3132</v>
      </c>
      <c r="JF49" s="337">
        <v>724</v>
      </c>
      <c r="JG49" s="699">
        <f t="shared" si="87"/>
        <v>3856</v>
      </c>
      <c r="JH49" s="337">
        <v>1</v>
      </c>
      <c r="JI49" s="337">
        <v>0</v>
      </c>
      <c r="JJ49" s="699">
        <f t="shared" si="88"/>
        <v>1</v>
      </c>
      <c r="JK49" s="337">
        <v>0</v>
      </c>
      <c r="JL49" s="337">
        <v>0</v>
      </c>
      <c r="JM49" s="699">
        <f t="shared" si="89"/>
        <v>0</v>
      </c>
      <c r="JN49" s="337">
        <v>0</v>
      </c>
      <c r="JO49" s="337">
        <v>0</v>
      </c>
      <c r="JP49" s="699">
        <f t="shared" si="90"/>
        <v>0</v>
      </c>
      <c r="JQ49" s="337">
        <v>0</v>
      </c>
      <c r="JR49" s="337">
        <v>0</v>
      </c>
      <c r="JS49" s="699">
        <f t="shared" si="91"/>
        <v>0</v>
      </c>
      <c r="JT49" s="337">
        <v>0</v>
      </c>
      <c r="JU49" s="337">
        <v>0</v>
      </c>
      <c r="JV49" s="699">
        <f t="shared" si="92"/>
        <v>0</v>
      </c>
      <c r="JW49" s="337">
        <v>0</v>
      </c>
      <c r="JX49" s="337">
        <v>0</v>
      </c>
      <c r="JY49" s="699">
        <f t="shared" si="93"/>
        <v>0</v>
      </c>
      <c r="JZ49" s="337">
        <v>0</v>
      </c>
      <c r="KA49" s="337">
        <v>0</v>
      </c>
      <c r="KB49" s="699">
        <f t="shared" si="94"/>
        <v>0</v>
      </c>
      <c r="KC49" s="337">
        <v>0</v>
      </c>
      <c r="KD49" s="337">
        <v>0</v>
      </c>
      <c r="KE49" s="699">
        <f t="shared" si="95"/>
        <v>0</v>
      </c>
      <c r="KF49" s="337">
        <v>0</v>
      </c>
      <c r="KG49" s="337">
        <v>0</v>
      </c>
      <c r="KH49" s="699">
        <f t="shared" si="96"/>
        <v>0</v>
      </c>
      <c r="KI49" s="337">
        <v>0</v>
      </c>
      <c r="KJ49" s="337">
        <v>0</v>
      </c>
      <c r="KK49" s="699">
        <f t="shared" si="97"/>
        <v>0</v>
      </c>
      <c r="KL49" s="699">
        <v>0</v>
      </c>
      <c r="KM49" s="699">
        <v>0</v>
      </c>
      <c r="KN49" s="699">
        <f t="shared" si="98"/>
        <v>0</v>
      </c>
      <c r="KO49" s="699">
        <v>0</v>
      </c>
      <c r="KP49" s="699">
        <v>0</v>
      </c>
      <c r="KQ49" s="699">
        <f t="shared" si="99"/>
        <v>0</v>
      </c>
      <c r="KR49" s="699">
        <v>0</v>
      </c>
      <c r="KS49" s="699">
        <v>0</v>
      </c>
      <c r="KT49" s="699">
        <f t="shared" si="100"/>
        <v>0</v>
      </c>
      <c r="KU49" s="699">
        <v>0</v>
      </c>
      <c r="KV49" s="699">
        <v>0</v>
      </c>
      <c r="KW49" s="699">
        <f t="shared" si="101"/>
        <v>0</v>
      </c>
      <c r="KX49" s="699">
        <v>0</v>
      </c>
      <c r="KY49" s="699">
        <v>0</v>
      </c>
      <c r="KZ49" s="699">
        <f t="shared" si="102"/>
        <v>0</v>
      </c>
      <c r="LA49" s="699">
        <v>0</v>
      </c>
      <c r="LB49" s="699">
        <v>0</v>
      </c>
      <c r="LC49" s="699">
        <f t="shared" si="103"/>
        <v>0</v>
      </c>
      <c r="LD49" s="699">
        <v>0</v>
      </c>
      <c r="LE49" s="699">
        <v>0</v>
      </c>
      <c r="LF49" s="699">
        <f t="shared" si="104"/>
        <v>0</v>
      </c>
      <c r="LG49" s="699">
        <v>0</v>
      </c>
      <c r="LH49" s="699">
        <v>0</v>
      </c>
      <c r="LI49" s="699">
        <f t="shared" si="105"/>
        <v>0</v>
      </c>
      <c r="LJ49" s="337">
        <v>0</v>
      </c>
      <c r="LK49" s="337">
        <v>0</v>
      </c>
      <c r="LL49" s="700">
        <f t="shared" si="106"/>
        <v>0</v>
      </c>
    </row>
    <row r="50" spans="1:324" x14ac:dyDescent="0.35">
      <c r="A50" s="685">
        <v>3</v>
      </c>
      <c r="B50" s="371" t="s">
        <v>298</v>
      </c>
      <c r="C50" s="428" t="s">
        <v>112</v>
      </c>
      <c r="D50" s="305">
        <v>27096</v>
      </c>
      <c r="E50" s="305">
        <v>25372</v>
      </c>
      <c r="F50" s="686">
        <f t="shared" si="0"/>
        <v>52468</v>
      </c>
      <c r="G50" s="305">
        <v>23</v>
      </c>
      <c r="H50" s="305">
        <v>45547</v>
      </c>
      <c r="I50" s="686">
        <f t="shared" si="1"/>
        <v>45570</v>
      </c>
      <c r="J50" s="305">
        <v>32457</v>
      </c>
      <c r="K50" s="305">
        <v>27940</v>
      </c>
      <c r="L50" s="686">
        <f t="shared" si="2"/>
        <v>60397</v>
      </c>
      <c r="M50" s="305">
        <v>1510</v>
      </c>
      <c r="N50" s="305">
        <v>614</v>
      </c>
      <c r="O50" s="686">
        <f t="shared" si="3"/>
        <v>2124</v>
      </c>
      <c r="P50" s="305">
        <v>2339</v>
      </c>
      <c r="Q50" s="305">
        <v>1812</v>
      </c>
      <c r="R50" s="686">
        <f t="shared" si="4"/>
        <v>4151</v>
      </c>
      <c r="S50" s="305">
        <v>783</v>
      </c>
      <c r="T50" s="305">
        <v>95</v>
      </c>
      <c r="U50" s="686">
        <f t="shared" si="5"/>
        <v>878</v>
      </c>
      <c r="V50" s="305">
        <v>409</v>
      </c>
      <c r="W50" s="305">
        <v>46</v>
      </c>
      <c r="X50" s="686">
        <f t="shared" si="6"/>
        <v>455</v>
      </c>
      <c r="Y50" s="305">
        <v>1027</v>
      </c>
      <c r="Z50" s="305">
        <v>214</v>
      </c>
      <c r="AA50" s="686">
        <f t="shared" si="7"/>
        <v>1241</v>
      </c>
      <c r="AB50" s="305">
        <v>347</v>
      </c>
      <c r="AC50" s="305">
        <v>47</v>
      </c>
      <c r="AD50" s="686">
        <f t="shared" si="8"/>
        <v>394</v>
      </c>
      <c r="AE50" s="305">
        <v>27</v>
      </c>
      <c r="AF50" s="305">
        <v>1</v>
      </c>
      <c r="AG50" s="686">
        <f t="shared" si="9"/>
        <v>28</v>
      </c>
      <c r="AH50" s="305">
        <v>10</v>
      </c>
      <c r="AI50" s="305">
        <v>0</v>
      </c>
      <c r="AJ50" s="686">
        <f t="shared" si="10"/>
        <v>10</v>
      </c>
      <c r="AK50" s="305">
        <v>262</v>
      </c>
      <c r="AL50" s="305">
        <v>34</v>
      </c>
      <c r="AM50" s="686">
        <f t="shared" si="11"/>
        <v>296</v>
      </c>
      <c r="AN50" s="305">
        <v>150</v>
      </c>
      <c r="AO50" s="305">
        <v>8</v>
      </c>
      <c r="AP50" s="686">
        <f t="shared" si="12"/>
        <v>158</v>
      </c>
      <c r="AQ50" s="305">
        <v>301</v>
      </c>
      <c r="AR50" s="305">
        <v>0</v>
      </c>
      <c r="AS50" s="686">
        <f t="shared" si="13"/>
        <v>301</v>
      </c>
      <c r="AT50" s="305">
        <v>37266</v>
      </c>
      <c r="AU50" s="305">
        <v>18610</v>
      </c>
      <c r="AV50" s="686">
        <f t="shared" si="14"/>
        <v>55876</v>
      </c>
      <c r="AW50" s="305">
        <v>866</v>
      </c>
      <c r="AX50" s="305">
        <v>486</v>
      </c>
      <c r="AY50" s="686">
        <f t="shared" si="15"/>
        <v>1352</v>
      </c>
      <c r="AZ50" s="305">
        <v>60</v>
      </c>
      <c r="BA50" s="305">
        <v>32</v>
      </c>
      <c r="BB50" s="686">
        <f t="shared" si="16"/>
        <v>92</v>
      </c>
      <c r="BC50" s="305">
        <v>209</v>
      </c>
      <c r="BD50" s="305">
        <v>114</v>
      </c>
      <c r="BE50" s="686">
        <f t="shared" si="17"/>
        <v>323</v>
      </c>
      <c r="BF50" s="305">
        <v>2910</v>
      </c>
      <c r="BG50" s="305">
        <v>101</v>
      </c>
      <c r="BH50" s="686">
        <f t="shared" si="18"/>
        <v>3011</v>
      </c>
      <c r="BI50" s="305">
        <v>96</v>
      </c>
      <c r="BJ50" s="305">
        <v>11</v>
      </c>
      <c r="BK50" s="686">
        <f t="shared" si="19"/>
        <v>107</v>
      </c>
      <c r="BL50" s="305">
        <v>1</v>
      </c>
      <c r="BM50" s="305">
        <v>0</v>
      </c>
      <c r="BN50" s="686">
        <f t="shared" si="20"/>
        <v>1</v>
      </c>
      <c r="BO50" s="305">
        <v>8</v>
      </c>
      <c r="BP50" s="305">
        <v>0</v>
      </c>
      <c r="BQ50" s="686">
        <f t="shared" si="21"/>
        <v>8</v>
      </c>
      <c r="BR50" s="305">
        <v>2</v>
      </c>
      <c r="BS50" s="305">
        <v>37</v>
      </c>
      <c r="BT50" s="686">
        <f t="shared" si="22"/>
        <v>39</v>
      </c>
      <c r="BU50" s="305">
        <v>2</v>
      </c>
      <c r="BV50" s="305">
        <v>0</v>
      </c>
      <c r="BW50" s="686">
        <f t="shared" si="23"/>
        <v>2</v>
      </c>
      <c r="BX50" s="305">
        <v>3</v>
      </c>
      <c r="BY50" s="305">
        <v>0</v>
      </c>
      <c r="BZ50" s="686">
        <f t="shared" si="24"/>
        <v>3</v>
      </c>
      <c r="CA50" s="305">
        <v>12</v>
      </c>
      <c r="CB50" s="305">
        <v>0</v>
      </c>
      <c r="CC50" s="686">
        <f t="shared" si="25"/>
        <v>12</v>
      </c>
      <c r="CD50" s="305">
        <v>5</v>
      </c>
      <c r="CE50" s="305">
        <v>0</v>
      </c>
      <c r="CF50" s="686">
        <f t="shared" si="26"/>
        <v>5</v>
      </c>
      <c r="CG50" s="305">
        <v>2</v>
      </c>
      <c r="CH50" s="305">
        <v>0</v>
      </c>
      <c r="CI50" s="686">
        <f t="shared" si="27"/>
        <v>2</v>
      </c>
      <c r="CJ50" s="305">
        <v>8</v>
      </c>
      <c r="CK50" s="305">
        <v>0</v>
      </c>
      <c r="CL50" s="686">
        <f t="shared" si="28"/>
        <v>8</v>
      </c>
      <c r="CM50" s="305">
        <v>8</v>
      </c>
      <c r="CN50" s="305">
        <v>9</v>
      </c>
      <c r="CO50" s="686">
        <f t="shared" si="29"/>
        <v>17</v>
      </c>
      <c r="CP50" s="305">
        <v>0</v>
      </c>
      <c r="CQ50" s="305">
        <v>0</v>
      </c>
      <c r="CR50" s="686">
        <f t="shared" si="30"/>
        <v>0</v>
      </c>
      <c r="CS50" s="305">
        <v>0</v>
      </c>
      <c r="CT50" s="305">
        <v>4</v>
      </c>
      <c r="CU50" s="686">
        <f t="shared" si="31"/>
        <v>4</v>
      </c>
      <c r="CV50" s="305">
        <v>0</v>
      </c>
      <c r="CW50" s="305">
        <v>2</v>
      </c>
      <c r="CX50" s="686">
        <f t="shared" si="32"/>
        <v>2</v>
      </c>
      <c r="CY50" s="305">
        <v>0</v>
      </c>
      <c r="CZ50" s="305">
        <v>3</v>
      </c>
      <c r="DA50" s="686">
        <f t="shared" si="33"/>
        <v>3</v>
      </c>
      <c r="DB50" s="305">
        <v>50</v>
      </c>
      <c r="DC50" s="305">
        <v>0</v>
      </c>
      <c r="DD50" s="686">
        <f t="shared" si="34"/>
        <v>50</v>
      </c>
      <c r="DE50" s="305">
        <v>67</v>
      </c>
      <c r="DF50" s="305">
        <v>16</v>
      </c>
      <c r="DG50" s="686">
        <f t="shared" si="35"/>
        <v>83</v>
      </c>
      <c r="DH50" s="305">
        <v>1</v>
      </c>
      <c r="DI50" s="305">
        <v>0</v>
      </c>
      <c r="DJ50" s="686">
        <f t="shared" si="36"/>
        <v>1</v>
      </c>
      <c r="DK50" s="305">
        <v>0</v>
      </c>
      <c r="DL50" s="305">
        <v>0</v>
      </c>
      <c r="DM50" s="686">
        <f t="shared" si="37"/>
        <v>0</v>
      </c>
      <c r="DN50" s="305">
        <v>0</v>
      </c>
      <c r="DO50" s="305">
        <v>1</v>
      </c>
      <c r="DP50" s="686">
        <f t="shared" si="38"/>
        <v>1</v>
      </c>
      <c r="DQ50" s="305">
        <v>1</v>
      </c>
      <c r="DR50" s="305">
        <v>0</v>
      </c>
      <c r="DS50" s="686">
        <f t="shared" si="39"/>
        <v>1</v>
      </c>
      <c r="DT50" s="305">
        <v>0</v>
      </c>
      <c r="DU50" s="305">
        <v>0</v>
      </c>
      <c r="DV50" s="686">
        <f t="shared" si="40"/>
        <v>0</v>
      </c>
      <c r="DW50" s="305">
        <v>35</v>
      </c>
      <c r="DX50" s="305">
        <v>15</v>
      </c>
      <c r="DY50" s="686">
        <f t="shared" si="41"/>
        <v>50</v>
      </c>
      <c r="DZ50" s="305">
        <v>0</v>
      </c>
      <c r="EA50" s="305">
        <v>0</v>
      </c>
      <c r="EB50" s="686">
        <f t="shared" si="42"/>
        <v>0</v>
      </c>
      <c r="EC50" s="305">
        <v>95</v>
      </c>
      <c r="ED50" s="305">
        <v>18</v>
      </c>
      <c r="EE50" s="686">
        <f t="shared" si="43"/>
        <v>113</v>
      </c>
      <c r="EF50" s="305">
        <v>16</v>
      </c>
      <c r="EG50" s="305">
        <v>2</v>
      </c>
      <c r="EH50" s="686">
        <f t="shared" si="44"/>
        <v>18</v>
      </c>
      <c r="EI50" s="305">
        <v>1</v>
      </c>
      <c r="EJ50" s="305">
        <v>2</v>
      </c>
      <c r="EK50" s="686">
        <f t="shared" si="45"/>
        <v>3</v>
      </c>
      <c r="EL50" s="305">
        <v>0</v>
      </c>
      <c r="EM50" s="305">
        <v>0</v>
      </c>
      <c r="EN50" s="686">
        <f t="shared" si="46"/>
        <v>0</v>
      </c>
      <c r="EO50" s="305">
        <v>1</v>
      </c>
      <c r="EP50" s="305">
        <v>0</v>
      </c>
      <c r="EQ50" s="686">
        <f t="shared" si="47"/>
        <v>1</v>
      </c>
      <c r="ER50" s="305">
        <v>0</v>
      </c>
      <c r="ES50" s="305">
        <v>0</v>
      </c>
      <c r="ET50" s="686">
        <f t="shared" si="48"/>
        <v>0</v>
      </c>
      <c r="EU50" s="305">
        <v>0</v>
      </c>
      <c r="EV50" s="305">
        <v>1</v>
      </c>
      <c r="EW50" s="686">
        <f t="shared" si="49"/>
        <v>1</v>
      </c>
      <c r="EX50" s="305">
        <v>0</v>
      </c>
      <c r="EY50" s="305">
        <v>0</v>
      </c>
      <c r="EZ50" s="686">
        <f t="shared" si="50"/>
        <v>0</v>
      </c>
      <c r="FA50" s="305">
        <v>0</v>
      </c>
      <c r="FB50" s="305">
        <v>0</v>
      </c>
      <c r="FC50" s="686">
        <f t="shared" si="51"/>
        <v>0</v>
      </c>
      <c r="FD50" s="305">
        <v>0</v>
      </c>
      <c r="FE50" s="305">
        <v>0</v>
      </c>
      <c r="FF50" s="686">
        <f t="shared" si="52"/>
        <v>0</v>
      </c>
      <c r="FG50" s="305">
        <v>0</v>
      </c>
      <c r="FH50" s="305">
        <v>0</v>
      </c>
      <c r="FI50" s="686">
        <f t="shared" si="53"/>
        <v>0</v>
      </c>
      <c r="FJ50" s="305">
        <v>0</v>
      </c>
      <c r="FK50" s="305">
        <v>0</v>
      </c>
      <c r="FL50" s="686">
        <f t="shared" si="54"/>
        <v>0</v>
      </c>
      <c r="FM50" s="305">
        <v>0</v>
      </c>
      <c r="FN50" s="305">
        <v>0</v>
      </c>
      <c r="FO50" s="686">
        <f t="shared" si="55"/>
        <v>0</v>
      </c>
      <c r="FP50" s="305">
        <v>0</v>
      </c>
      <c r="FQ50" s="305">
        <v>0</v>
      </c>
      <c r="FR50" s="686">
        <f t="shared" si="56"/>
        <v>0</v>
      </c>
      <c r="FS50" s="305">
        <v>0</v>
      </c>
      <c r="FT50" s="305">
        <v>0</v>
      </c>
      <c r="FU50" s="686">
        <f t="shared" si="57"/>
        <v>0</v>
      </c>
      <c r="FV50" s="305">
        <v>0</v>
      </c>
      <c r="FW50" s="305">
        <v>0</v>
      </c>
      <c r="FX50" s="686">
        <f t="shared" si="58"/>
        <v>0</v>
      </c>
      <c r="FY50" s="305">
        <v>0</v>
      </c>
      <c r="FZ50" s="305">
        <v>0</v>
      </c>
      <c r="GA50" s="686">
        <f t="shared" si="59"/>
        <v>0</v>
      </c>
      <c r="GB50" s="305">
        <v>0</v>
      </c>
      <c r="GC50" s="305">
        <v>0</v>
      </c>
      <c r="GD50" s="686">
        <f t="shared" si="60"/>
        <v>0</v>
      </c>
      <c r="GE50" s="305">
        <v>0</v>
      </c>
      <c r="GF50" s="305">
        <v>0</v>
      </c>
      <c r="GG50" s="686">
        <f t="shared" si="61"/>
        <v>0</v>
      </c>
      <c r="GH50" s="305">
        <v>4</v>
      </c>
      <c r="GI50" s="305">
        <v>0</v>
      </c>
      <c r="GJ50" s="686">
        <f t="shared" si="62"/>
        <v>4</v>
      </c>
      <c r="GK50" s="305">
        <v>148</v>
      </c>
      <c r="GL50" s="305">
        <v>133</v>
      </c>
      <c r="GM50" s="686">
        <f t="shared" si="63"/>
        <v>281</v>
      </c>
      <c r="GN50" s="305">
        <v>786</v>
      </c>
      <c r="GO50" s="305">
        <v>1961</v>
      </c>
      <c r="GP50" s="686">
        <f t="shared" si="64"/>
        <v>2747</v>
      </c>
      <c r="GQ50" s="305">
        <v>20</v>
      </c>
      <c r="GR50" s="305">
        <v>1</v>
      </c>
      <c r="GS50" s="686">
        <f t="shared" si="65"/>
        <v>21</v>
      </c>
      <c r="GT50" s="305">
        <v>54</v>
      </c>
      <c r="GU50" s="305">
        <v>9</v>
      </c>
      <c r="GV50" s="686">
        <f t="shared" si="66"/>
        <v>63</v>
      </c>
      <c r="GW50" s="305">
        <v>3</v>
      </c>
      <c r="GX50" s="305">
        <v>6</v>
      </c>
      <c r="GY50" s="686">
        <f t="shared" si="67"/>
        <v>9</v>
      </c>
      <c r="GZ50" s="305">
        <v>9</v>
      </c>
      <c r="HA50" s="305">
        <v>7</v>
      </c>
      <c r="HB50" s="686">
        <f t="shared" si="68"/>
        <v>16</v>
      </c>
      <c r="HC50" s="305">
        <v>4</v>
      </c>
      <c r="HD50" s="305">
        <v>0</v>
      </c>
      <c r="HE50" s="686">
        <f t="shared" si="69"/>
        <v>4</v>
      </c>
      <c r="HF50" s="305">
        <v>26</v>
      </c>
      <c r="HG50" s="305">
        <v>7</v>
      </c>
      <c r="HH50" s="686">
        <f t="shared" si="70"/>
        <v>33</v>
      </c>
      <c r="HI50" s="305">
        <v>114</v>
      </c>
      <c r="HJ50" s="305">
        <v>288</v>
      </c>
      <c r="HK50" s="686">
        <f t="shared" si="71"/>
        <v>402</v>
      </c>
      <c r="HL50" s="305">
        <v>0</v>
      </c>
      <c r="HM50" s="305">
        <v>158</v>
      </c>
      <c r="HN50" s="686">
        <f t="shared" si="72"/>
        <v>158</v>
      </c>
      <c r="HO50" s="305">
        <v>39</v>
      </c>
      <c r="HP50" s="305">
        <v>267</v>
      </c>
      <c r="HQ50" s="686">
        <f t="shared" si="73"/>
        <v>306</v>
      </c>
      <c r="HR50" s="305">
        <v>4</v>
      </c>
      <c r="HS50" s="305">
        <v>28</v>
      </c>
      <c r="HT50" s="686">
        <f t="shared" si="74"/>
        <v>32</v>
      </c>
      <c r="HU50" s="305">
        <v>0</v>
      </c>
      <c r="HV50" s="305">
        <v>9</v>
      </c>
      <c r="HW50" s="686">
        <f t="shared" si="75"/>
        <v>9</v>
      </c>
      <c r="HX50" s="305">
        <v>0</v>
      </c>
      <c r="HY50" s="305">
        <v>1</v>
      </c>
      <c r="HZ50" s="686">
        <f t="shared" si="76"/>
        <v>1</v>
      </c>
      <c r="IA50" s="305">
        <v>0</v>
      </c>
      <c r="IB50" s="305">
        <v>1</v>
      </c>
      <c r="IC50" s="686">
        <f t="shared" si="77"/>
        <v>1</v>
      </c>
      <c r="ID50" s="305">
        <v>54</v>
      </c>
      <c r="IE50" s="305">
        <v>2</v>
      </c>
      <c r="IF50" s="686">
        <f t="shared" si="78"/>
        <v>56</v>
      </c>
      <c r="IG50" s="305">
        <v>4</v>
      </c>
      <c r="IH50" s="305">
        <v>2</v>
      </c>
      <c r="II50" s="686">
        <f t="shared" si="79"/>
        <v>6</v>
      </c>
      <c r="IJ50" s="305">
        <v>242</v>
      </c>
      <c r="IK50" s="305">
        <v>0</v>
      </c>
      <c r="IL50" s="686">
        <f t="shared" si="80"/>
        <v>242</v>
      </c>
      <c r="IM50" s="305">
        <v>1</v>
      </c>
      <c r="IN50" s="305">
        <v>0</v>
      </c>
      <c r="IO50" s="686">
        <f t="shared" si="81"/>
        <v>1</v>
      </c>
      <c r="IP50" s="305">
        <v>0</v>
      </c>
      <c r="IQ50" s="305">
        <v>1</v>
      </c>
      <c r="IR50" s="686">
        <f t="shared" si="82"/>
        <v>1</v>
      </c>
      <c r="IS50" s="305">
        <v>648</v>
      </c>
      <c r="IT50" s="305">
        <v>123</v>
      </c>
      <c r="IU50" s="686">
        <f t="shared" si="83"/>
        <v>771</v>
      </c>
      <c r="IV50" s="305">
        <v>6</v>
      </c>
      <c r="IW50" s="305">
        <v>1</v>
      </c>
      <c r="IX50" s="686">
        <f t="shared" si="84"/>
        <v>7</v>
      </c>
      <c r="IY50" s="305">
        <v>0</v>
      </c>
      <c r="IZ50" s="305">
        <v>0</v>
      </c>
      <c r="JA50" s="686">
        <f t="shared" si="85"/>
        <v>0</v>
      </c>
      <c r="JB50" s="305">
        <v>0</v>
      </c>
      <c r="JC50" s="305">
        <v>7</v>
      </c>
      <c r="JD50" s="686">
        <f t="shared" si="86"/>
        <v>7</v>
      </c>
      <c r="JE50" s="305">
        <v>15308</v>
      </c>
      <c r="JF50" s="305">
        <v>2826</v>
      </c>
      <c r="JG50" s="686">
        <f t="shared" si="87"/>
        <v>18134</v>
      </c>
      <c r="JH50" s="305">
        <v>10</v>
      </c>
      <c r="JI50" s="305">
        <v>8</v>
      </c>
      <c r="JJ50" s="686">
        <f t="shared" si="88"/>
        <v>18</v>
      </c>
      <c r="JK50" s="305">
        <v>0</v>
      </c>
      <c r="JL50" s="305">
        <v>0</v>
      </c>
      <c r="JM50" s="686">
        <f t="shared" si="89"/>
        <v>0</v>
      </c>
      <c r="JN50" s="305">
        <v>0</v>
      </c>
      <c r="JO50" s="305">
        <v>0</v>
      </c>
      <c r="JP50" s="686">
        <f t="shared" si="90"/>
        <v>0</v>
      </c>
      <c r="JQ50" s="305">
        <v>0</v>
      </c>
      <c r="JR50" s="305">
        <v>0</v>
      </c>
      <c r="JS50" s="686">
        <f t="shared" si="91"/>
        <v>0</v>
      </c>
      <c r="JT50" s="305">
        <v>0</v>
      </c>
      <c r="JU50" s="305">
        <v>0</v>
      </c>
      <c r="JV50" s="686">
        <f t="shared" si="92"/>
        <v>0</v>
      </c>
      <c r="JW50" s="305">
        <v>0</v>
      </c>
      <c r="JX50" s="305">
        <v>0</v>
      </c>
      <c r="JY50" s="686">
        <f t="shared" si="93"/>
        <v>0</v>
      </c>
      <c r="JZ50" s="305">
        <v>0</v>
      </c>
      <c r="KA50" s="305">
        <v>0</v>
      </c>
      <c r="KB50" s="686">
        <f t="shared" si="94"/>
        <v>0</v>
      </c>
      <c r="KC50" s="305">
        <v>0</v>
      </c>
      <c r="KD50" s="305">
        <v>0</v>
      </c>
      <c r="KE50" s="686">
        <f t="shared" si="95"/>
        <v>0</v>
      </c>
      <c r="KF50" s="305">
        <v>0</v>
      </c>
      <c r="KG50" s="305">
        <v>0</v>
      </c>
      <c r="KH50" s="686">
        <f t="shared" si="96"/>
        <v>0</v>
      </c>
      <c r="KI50" s="305">
        <v>0</v>
      </c>
      <c r="KJ50" s="305">
        <v>0</v>
      </c>
      <c r="KK50" s="686">
        <f t="shared" si="97"/>
        <v>0</v>
      </c>
      <c r="KL50" s="686">
        <v>0</v>
      </c>
      <c r="KM50" s="686">
        <v>0</v>
      </c>
      <c r="KN50" s="686">
        <f t="shared" si="98"/>
        <v>0</v>
      </c>
      <c r="KO50" s="686">
        <v>0</v>
      </c>
      <c r="KP50" s="686">
        <v>0</v>
      </c>
      <c r="KQ50" s="686">
        <f t="shared" si="99"/>
        <v>0</v>
      </c>
      <c r="KR50" s="686">
        <v>0</v>
      </c>
      <c r="KS50" s="686">
        <v>0</v>
      </c>
      <c r="KT50" s="686">
        <f t="shared" si="100"/>
        <v>0</v>
      </c>
      <c r="KU50" s="686">
        <v>0</v>
      </c>
      <c r="KV50" s="686">
        <v>0</v>
      </c>
      <c r="KW50" s="686">
        <f t="shared" si="101"/>
        <v>0</v>
      </c>
      <c r="KX50" s="686">
        <v>0</v>
      </c>
      <c r="KY50" s="686">
        <v>0</v>
      </c>
      <c r="KZ50" s="686">
        <f t="shared" si="102"/>
        <v>0</v>
      </c>
      <c r="LA50" s="686">
        <v>0</v>
      </c>
      <c r="LB50" s="686">
        <v>0</v>
      </c>
      <c r="LC50" s="686">
        <f t="shared" si="103"/>
        <v>0</v>
      </c>
      <c r="LD50" s="686">
        <v>0</v>
      </c>
      <c r="LE50" s="686">
        <v>0</v>
      </c>
      <c r="LF50" s="686">
        <f t="shared" si="104"/>
        <v>0</v>
      </c>
      <c r="LG50" s="686">
        <v>0</v>
      </c>
      <c r="LH50" s="686">
        <v>0</v>
      </c>
      <c r="LI50" s="686">
        <f t="shared" si="105"/>
        <v>0</v>
      </c>
      <c r="LJ50" s="305">
        <v>0</v>
      </c>
      <c r="LK50" s="305">
        <v>0</v>
      </c>
      <c r="LL50" s="687">
        <f t="shared" si="106"/>
        <v>0</v>
      </c>
    </row>
    <row r="51" spans="1:324" x14ac:dyDescent="0.35">
      <c r="A51" s="688">
        <v>4</v>
      </c>
      <c r="B51" s="375" t="s">
        <v>299</v>
      </c>
      <c r="C51" s="431" t="s">
        <v>110</v>
      </c>
      <c r="D51" s="312">
        <v>4428</v>
      </c>
      <c r="E51" s="312">
        <v>4100</v>
      </c>
      <c r="F51" s="622">
        <f t="shared" si="0"/>
        <v>8528</v>
      </c>
      <c r="G51" s="312">
        <v>4</v>
      </c>
      <c r="H51" s="312">
        <v>7909</v>
      </c>
      <c r="I51" s="622">
        <f t="shared" si="1"/>
        <v>7913</v>
      </c>
      <c r="J51" s="312">
        <v>5422</v>
      </c>
      <c r="K51" s="312">
        <v>4623</v>
      </c>
      <c r="L51" s="622">
        <f t="shared" si="2"/>
        <v>10045</v>
      </c>
      <c r="M51" s="312">
        <v>276</v>
      </c>
      <c r="N51" s="312">
        <v>126</v>
      </c>
      <c r="O51" s="622">
        <f t="shared" si="3"/>
        <v>402</v>
      </c>
      <c r="P51" s="312">
        <v>371</v>
      </c>
      <c r="Q51" s="312">
        <v>321</v>
      </c>
      <c r="R51" s="622">
        <f t="shared" si="4"/>
        <v>692</v>
      </c>
      <c r="S51" s="312">
        <v>74</v>
      </c>
      <c r="T51" s="312">
        <v>8</v>
      </c>
      <c r="U51" s="622">
        <f t="shared" si="5"/>
        <v>82</v>
      </c>
      <c r="V51" s="312">
        <v>69</v>
      </c>
      <c r="W51" s="312">
        <v>12</v>
      </c>
      <c r="X51" s="622">
        <f t="shared" si="6"/>
        <v>81</v>
      </c>
      <c r="Y51" s="312">
        <v>242</v>
      </c>
      <c r="Z51" s="312">
        <v>46</v>
      </c>
      <c r="AA51" s="622">
        <f t="shared" si="7"/>
        <v>288</v>
      </c>
      <c r="AB51" s="312">
        <v>93</v>
      </c>
      <c r="AC51" s="312">
        <v>9</v>
      </c>
      <c r="AD51" s="622">
        <f t="shared" si="8"/>
        <v>102</v>
      </c>
      <c r="AE51" s="312">
        <v>3</v>
      </c>
      <c r="AF51" s="312">
        <v>0</v>
      </c>
      <c r="AG51" s="622">
        <f t="shared" si="9"/>
        <v>3</v>
      </c>
      <c r="AH51" s="312">
        <v>2</v>
      </c>
      <c r="AI51" s="312">
        <v>0</v>
      </c>
      <c r="AJ51" s="622">
        <f t="shared" si="10"/>
        <v>2</v>
      </c>
      <c r="AK51" s="312">
        <v>54</v>
      </c>
      <c r="AL51" s="312">
        <v>7</v>
      </c>
      <c r="AM51" s="622">
        <f t="shared" si="11"/>
        <v>61</v>
      </c>
      <c r="AN51" s="312">
        <v>40</v>
      </c>
      <c r="AO51" s="312">
        <v>2</v>
      </c>
      <c r="AP51" s="622">
        <f t="shared" si="12"/>
        <v>42</v>
      </c>
      <c r="AQ51" s="312">
        <v>86</v>
      </c>
      <c r="AR51" s="312">
        <v>0</v>
      </c>
      <c r="AS51" s="622">
        <f t="shared" si="13"/>
        <v>86</v>
      </c>
      <c r="AT51" s="312">
        <v>5928</v>
      </c>
      <c r="AU51" s="312">
        <v>2993</v>
      </c>
      <c r="AV51" s="622">
        <f t="shared" si="14"/>
        <v>8921</v>
      </c>
      <c r="AW51" s="312">
        <v>124</v>
      </c>
      <c r="AX51" s="312">
        <v>78</v>
      </c>
      <c r="AY51" s="622">
        <f t="shared" si="15"/>
        <v>202</v>
      </c>
      <c r="AZ51" s="312">
        <v>2</v>
      </c>
      <c r="BA51" s="312">
        <v>5</v>
      </c>
      <c r="BB51" s="622">
        <f t="shared" si="16"/>
        <v>7</v>
      </c>
      <c r="BC51" s="312">
        <v>37</v>
      </c>
      <c r="BD51" s="312">
        <v>14</v>
      </c>
      <c r="BE51" s="622">
        <f t="shared" si="17"/>
        <v>51</v>
      </c>
      <c r="BF51" s="312">
        <v>744</v>
      </c>
      <c r="BG51" s="312">
        <v>29</v>
      </c>
      <c r="BH51" s="622">
        <f t="shared" si="18"/>
        <v>773</v>
      </c>
      <c r="BI51" s="312">
        <v>16</v>
      </c>
      <c r="BJ51" s="312">
        <v>3</v>
      </c>
      <c r="BK51" s="622">
        <f t="shared" si="19"/>
        <v>19</v>
      </c>
      <c r="BL51" s="312">
        <v>0</v>
      </c>
      <c r="BM51" s="312">
        <v>0</v>
      </c>
      <c r="BN51" s="622">
        <f t="shared" si="20"/>
        <v>0</v>
      </c>
      <c r="BO51" s="312">
        <v>1</v>
      </c>
      <c r="BP51" s="312">
        <v>0</v>
      </c>
      <c r="BQ51" s="622">
        <f t="shared" si="21"/>
        <v>1</v>
      </c>
      <c r="BR51" s="312">
        <v>0</v>
      </c>
      <c r="BS51" s="312">
        <v>4</v>
      </c>
      <c r="BT51" s="622">
        <f t="shared" si="22"/>
        <v>4</v>
      </c>
      <c r="BU51" s="312">
        <v>0</v>
      </c>
      <c r="BV51" s="312">
        <v>0</v>
      </c>
      <c r="BW51" s="622">
        <f t="shared" si="23"/>
        <v>0</v>
      </c>
      <c r="BX51" s="312">
        <v>0</v>
      </c>
      <c r="BY51" s="312">
        <v>0</v>
      </c>
      <c r="BZ51" s="622">
        <f t="shared" si="24"/>
        <v>0</v>
      </c>
      <c r="CA51" s="312">
        <v>1</v>
      </c>
      <c r="CB51" s="312">
        <v>0</v>
      </c>
      <c r="CC51" s="622">
        <f t="shared" si="25"/>
        <v>1</v>
      </c>
      <c r="CD51" s="312">
        <v>0</v>
      </c>
      <c r="CE51" s="312">
        <v>0</v>
      </c>
      <c r="CF51" s="622">
        <f t="shared" si="26"/>
        <v>0</v>
      </c>
      <c r="CG51" s="312">
        <v>0</v>
      </c>
      <c r="CH51" s="312">
        <v>0</v>
      </c>
      <c r="CI51" s="622">
        <f t="shared" si="27"/>
        <v>0</v>
      </c>
      <c r="CJ51" s="312">
        <v>0</v>
      </c>
      <c r="CK51" s="312">
        <v>0</v>
      </c>
      <c r="CL51" s="622">
        <f t="shared" si="28"/>
        <v>0</v>
      </c>
      <c r="CM51" s="312">
        <v>0</v>
      </c>
      <c r="CN51" s="312">
        <v>0</v>
      </c>
      <c r="CO51" s="622">
        <f t="shared" si="29"/>
        <v>0</v>
      </c>
      <c r="CP51" s="312">
        <v>0</v>
      </c>
      <c r="CQ51" s="312">
        <v>0</v>
      </c>
      <c r="CR51" s="622">
        <f t="shared" si="30"/>
        <v>0</v>
      </c>
      <c r="CS51" s="312">
        <v>0</v>
      </c>
      <c r="CT51" s="312">
        <v>1</v>
      </c>
      <c r="CU51" s="622">
        <f t="shared" si="31"/>
        <v>1</v>
      </c>
      <c r="CV51" s="312">
        <v>0</v>
      </c>
      <c r="CW51" s="312">
        <v>0</v>
      </c>
      <c r="CX51" s="622">
        <f t="shared" si="32"/>
        <v>0</v>
      </c>
      <c r="CY51" s="312">
        <v>0</v>
      </c>
      <c r="CZ51" s="312">
        <v>0</v>
      </c>
      <c r="DA51" s="622">
        <f t="shared" si="33"/>
        <v>0</v>
      </c>
      <c r="DB51" s="312">
        <v>9</v>
      </c>
      <c r="DC51" s="312">
        <v>0</v>
      </c>
      <c r="DD51" s="622">
        <f t="shared" si="34"/>
        <v>9</v>
      </c>
      <c r="DE51" s="312">
        <v>10</v>
      </c>
      <c r="DF51" s="312">
        <v>2</v>
      </c>
      <c r="DG51" s="622">
        <f t="shared" si="35"/>
        <v>12</v>
      </c>
      <c r="DH51" s="312">
        <v>0</v>
      </c>
      <c r="DI51" s="312">
        <v>0</v>
      </c>
      <c r="DJ51" s="622">
        <f t="shared" si="36"/>
        <v>0</v>
      </c>
      <c r="DK51" s="312">
        <v>0</v>
      </c>
      <c r="DL51" s="312">
        <v>0</v>
      </c>
      <c r="DM51" s="622">
        <f t="shared" si="37"/>
        <v>0</v>
      </c>
      <c r="DN51" s="312">
        <v>0</v>
      </c>
      <c r="DO51" s="312">
        <v>0</v>
      </c>
      <c r="DP51" s="622">
        <f t="shared" si="38"/>
        <v>0</v>
      </c>
      <c r="DQ51" s="312">
        <v>0</v>
      </c>
      <c r="DR51" s="312">
        <v>0</v>
      </c>
      <c r="DS51" s="622">
        <f t="shared" si="39"/>
        <v>0</v>
      </c>
      <c r="DT51" s="312">
        <v>0</v>
      </c>
      <c r="DU51" s="312">
        <v>0</v>
      </c>
      <c r="DV51" s="622">
        <f t="shared" si="40"/>
        <v>0</v>
      </c>
      <c r="DW51" s="312">
        <v>3</v>
      </c>
      <c r="DX51" s="312">
        <v>1</v>
      </c>
      <c r="DY51" s="622">
        <f t="shared" si="41"/>
        <v>4</v>
      </c>
      <c r="DZ51" s="312">
        <v>0</v>
      </c>
      <c r="EA51" s="312">
        <v>0</v>
      </c>
      <c r="EB51" s="622">
        <f t="shared" si="42"/>
        <v>0</v>
      </c>
      <c r="EC51" s="312">
        <v>15</v>
      </c>
      <c r="ED51" s="312">
        <v>5</v>
      </c>
      <c r="EE51" s="622">
        <f t="shared" si="43"/>
        <v>20</v>
      </c>
      <c r="EF51" s="312">
        <v>2</v>
      </c>
      <c r="EG51" s="312">
        <v>0</v>
      </c>
      <c r="EH51" s="622">
        <f t="shared" si="44"/>
        <v>2</v>
      </c>
      <c r="EI51" s="312">
        <v>1</v>
      </c>
      <c r="EJ51" s="312">
        <v>0</v>
      </c>
      <c r="EK51" s="622">
        <f t="shared" si="45"/>
        <v>1</v>
      </c>
      <c r="EL51" s="312">
        <v>0</v>
      </c>
      <c r="EM51" s="312">
        <v>0</v>
      </c>
      <c r="EN51" s="622">
        <f t="shared" si="46"/>
        <v>0</v>
      </c>
      <c r="EO51" s="312">
        <v>0</v>
      </c>
      <c r="EP51" s="312">
        <v>0</v>
      </c>
      <c r="EQ51" s="622">
        <f t="shared" si="47"/>
        <v>0</v>
      </c>
      <c r="ER51" s="312">
        <v>0</v>
      </c>
      <c r="ES51" s="312">
        <v>0</v>
      </c>
      <c r="ET51" s="622">
        <f t="shared" si="48"/>
        <v>0</v>
      </c>
      <c r="EU51" s="312">
        <v>0</v>
      </c>
      <c r="EV51" s="312">
        <v>0</v>
      </c>
      <c r="EW51" s="622">
        <f t="shared" si="49"/>
        <v>0</v>
      </c>
      <c r="EX51" s="312">
        <v>0</v>
      </c>
      <c r="EY51" s="312">
        <v>0</v>
      </c>
      <c r="EZ51" s="622">
        <f t="shared" si="50"/>
        <v>0</v>
      </c>
      <c r="FA51" s="312">
        <v>0</v>
      </c>
      <c r="FB51" s="312">
        <v>0</v>
      </c>
      <c r="FC51" s="622">
        <f t="shared" si="51"/>
        <v>0</v>
      </c>
      <c r="FD51" s="312">
        <v>0</v>
      </c>
      <c r="FE51" s="312">
        <v>0</v>
      </c>
      <c r="FF51" s="622">
        <f t="shared" si="52"/>
        <v>0</v>
      </c>
      <c r="FG51" s="312">
        <v>0</v>
      </c>
      <c r="FH51" s="312">
        <v>0</v>
      </c>
      <c r="FI51" s="622">
        <f t="shared" si="53"/>
        <v>0</v>
      </c>
      <c r="FJ51" s="312">
        <v>0</v>
      </c>
      <c r="FK51" s="312">
        <v>0</v>
      </c>
      <c r="FL51" s="622">
        <f t="shared" si="54"/>
        <v>0</v>
      </c>
      <c r="FM51" s="312">
        <v>0</v>
      </c>
      <c r="FN51" s="312">
        <v>0</v>
      </c>
      <c r="FO51" s="622">
        <f t="shared" si="55"/>
        <v>0</v>
      </c>
      <c r="FP51" s="312">
        <v>0</v>
      </c>
      <c r="FQ51" s="312">
        <v>0</v>
      </c>
      <c r="FR51" s="622">
        <f t="shared" si="56"/>
        <v>0</v>
      </c>
      <c r="FS51" s="312">
        <v>0</v>
      </c>
      <c r="FT51" s="312">
        <v>0</v>
      </c>
      <c r="FU51" s="622">
        <f t="shared" si="57"/>
        <v>0</v>
      </c>
      <c r="FV51" s="312">
        <v>0</v>
      </c>
      <c r="FW51" s="312">
        <v>0</v>
      </c>
      <c r="FX51" s="622">
        <f t="shared" si="58"/>
        <v>0</v>
      </c>
      <c r="FY51" s="312">
        <v>0</v>
      </c>
      <c r="FZ51" s="312">
        <v>0</v>
      </c>
      <c r="GA51" s="622">
        <f t="shared" si="59"/>
        <v>0</v>
      </c>
      <c r="GB51" s="312">
        <v>0</v>
      </c>
      <c r="GC51" s="312">
        <v>0</v>
      </c>
      <c r="GD51" s="622">
        <f t="shared" si="60"/>
        <v>0</v>
      </c>
      <c r="GE51" s="312">
        <v>0</v>
      </c>
      <c r="GF51" s="312">
        <v>0</v>
      </c>
      <c r="GG51" s="622">
        <f t="shared" si="61"/>
        <v>0</v>
      </c>
      <c r="GH51" s="312">
        <v>1</v>
      </c>
      <c r="GI51" s="312">
        <v>0</v>
      </c>
      <c r="GJ51" s="622">
        <f t="shared" si="62"/>
        <v>1</v>
      </c>
      <c r="GK51" s="312">
        <v>21</v>
      </c>
      <c r="GL51" s="312">
        <v>10</v>
      </c>
      <c r="GM51" s="622">
        <f t="shared" si="63"/>
        <v>31</v>
      </c>
      <c r="GN51" s="312">
        <v>112</v>
      </c>
      <c r="GO51" s="312">
        <v>287</v>
      </c>
      <c r="GP51" s="622">
        <f t="shared" si="64"/>
        <v>399</v>
      </c>
      <c r="GQ51" s="312">
        <v>2</v>
      </c>
      <c r="GR51" s="312">
        <v>0</v>
      </c>
      <c r="GS51" s="622">
        <f t="shared" si="65"/>
        <v>2</v>
      </c>
      <c r="GT51" s="312">
        <v>5</v>
      </c>
      <c r="GU51" s="312">
        <v>1</v>
      </c>
      <c r="GV51" s="622">
        <f t="shared" si="66"/>
        <v>6</v>
      </c>
      <c r="GW51" s="312">
        <v>1</v>
      </c>
      <c r="GX51" s="312">
        <v>1</v>
      </c>
      <c r="GY51" s="622">
        <f t="shared" si="67"/>
        <v>2</v>
      </c>
      <c r="GZ51" s="312">
        <v>1</v>
      </c>
      <c r="HA51" s="312">
        <v>1</v>
      </c>
      <c r="HB51" s="622">
        <f t="shared" si="68"/>
        <v>2</v>
      </c>
      <c r="HC51" s="312">
        <v>0</v>
      </c>
      <c r="HD51" s="312">
        <v>0</v>
      </c>
      <c r="HE51" s="622">
        <f t="shared" si="69"/>
        <v>0</v>
      </c>
      <c r="HF51" s="312">
        <v>2</v>
      </c>
      <c r="HG51" s="312">
        <v>2</v>
      </c>
      <c r="HH51" s="622">
        <f t="shared" si="70"/>
        <v>4</v>
      </c>
      <c r="HI51" s="312">
        <v>26</v>
      </c>
      <c r="HJ51" s="312">
        <v>43</v>
      </c>
      <c r="HK51" s="622">
        <f t="shared" si="71"/>
        <v>69</v>
      </c>
      <c r="HL51" s="312">
        <v>0</v>
      </c>
      <c r="HM51" s="312">
        <v>20</v>
      </c>
      <c r="HN51" s="622">
        <f t="shared" si="72"/>
        <v>20</v>
      </c>
      <c r="HO51" s="312">
        <v>8</v>
      </c>
      <c r="HP51" s="312">
        <v>29</v>
      </c>
      <c r="HQ51" s="622">
        <f t="shared" si="73"/>
        <v>37</v>
      </c>
      <c r="HR51" s="312">
        <v>1</v>
      </c>
      <c r="HS51" s="312">
        <v>3</v>
      </c>
      <c r="HT51" s="622">
        <f t="shared" si="74"/>
        <v>4</v>
      </c>
      <c r="HU51" s="312">
        <v>0</v>
      </c>
      <c r="HV51" s="312">
        <v>2</v>
      </c>
      <c r="HW51" s="622">
        <f t="shared" si="75"/>
        <v>2</v>
      </c>
      <c r="HX51" s="312">
        <v>0</v>
      </c>
      <c r="HY51" s="312">
        <v>0</v>
      </c>
      <c r="HZ51" s="622">
        <f t="shared" si="76"/>
        <v>0</v>
      </c>
      <c r="IA51" s="312">
        <v>0</v>
      </c>
      <c r="IB51" s="312">
        <v>0</v>
      </c>
      <c r="IC51" s="622">
        <f t="shared" si="77"/>
        <v>0</v>
      </c>
      <c r="ID51" s="312">
        <v>4</v>
      </c>
      <c r="IE51" s="312">
        <v>0</v>
      </c>
      <c r="IF51" s="622">
        <f t="shared" si="78"/>
        <v>4</v>
      </c>
      <c r="IG51" s="312">
        <v>2</v>
      </c>
      <c r="IH51" s="312">
        <v>0</v>
      </c>
      <c r="II51" s="622">
        <f t="shared" si="79"/>
        <v>2</v>
      </c>
      <c r="IJ51" s="312">
        <v>46</v>
      </c>
      <c r="IK51" s="312">
        <v>0</v>
      </c>
      <c r="IL51" s="622">
        <f t="shared" si="80"/>
        <v>46</v>
      </c>
      <c r="IM51" s="312">
        <v>0</v>
      </c>
      <c r="IN51" s="312">
        <v>0</v>
      </c>
      <c r="IO51" s="622">
        <f t="shared" si="81"/>
        <v>0</v>
      </c>
      <c r="IP51" s="312">
        <v>0</v>
      </c>
      <c r="IQ51" s="312">
        <v>0</v>
      </c>
      <c r="IR51" s="622">
        <f t="shared" si="82"/>
        <v>0</v>
      </c>
      <c r="IS51" s="312">
        <v>110</v>
      </c>
      <c r="IT51" s="312">
        <v>12</v>
      </c>
      <c r="IU51" s="622">
        <f t="shared" si="83"/>
        <v>122</v>
      </c>
      <c r="IV51" s="312">
        <v>1</v>
      </c>
      <c r="IW51" s="312">
        <v>0</v>
      </c>
      <c r="IX51" s="622">
        <f t="shared" si="84"/>
        <v>1</v>
      </c>
      <c r="IY51" s="312">
        <v>0</v>
      </c>
      <c r="IZ51" s="312">
        <v>0</v>
      </c>
      <c r="JA51" s="622">
        <f t="shared" si="85"/>
        <v>0</v>
      </c>
      <c r="JB51" s="312">
        <v>0</v>
      </c>
      <c r="JC51" s="312">
        <v>0</v>
      </c>
      <c r="JD51" s="622">
        <f t="shared" si="86"/>
        <v>0</v>
      </c>
      <c r="JE51" s="312">
        <v>2652</v>
      </c>
      <c r="JF51" s="312">
        <v>412</v>
      </c>
      <c r="JG51" s="622">
        <f t="shared" si="87"/>
        <v>3064</v>
      </c>
      <c r="JH51" s="312">
        <v>1</v>
      </c>
      <c r="JI51" s="312">
        <v>2</v>
      </c>
      <c r="JJ51" s="622">
        <f t="shared" si="88"/>
        <v>3</v>
      </c>
      <c r="JK51" s="312">
        <v>0</v>
      </c>
      <c r="JL51" s="312">
        <v>0</v>
      </c>
      <c r="JM51" s="622">
        <f t="shared" si="89"/>
        <v>0</v>
      </c>
      <c r="JN51" s="312">
        <v>0</v>
      </c>
      <c r="JO51" s="312">
        <v>0</v>
      </c>
      <c r="JP51" s="622">
        <f t="shared" si="90"/>
        <v>0</v>
      </c>
      <c r="JQ51" s="312">
        <v>0</v>
      </c>
      <c r="JR51" s="312">
        <v>0</v>
      </c>
      <c r="JS51" s="622">
        <f t="shared" si="91"/>
        <v>0</v>
      </c>
      <c r="JT51" s="312">
        <v>0</v>
      </c>
      <c r="JU51" s="312">
        <v>0</v>
      </c>
      <c r="JV51" s="622">
        <f t="shared" si="92"/>
        <v>0</v>
      </c>
      <c r="JW51" s="312">
        <v>0</v>
      </c>
      <c r="JX51" s="312">
        <v>0</v>
      </c>
      <c r="JY51" s="622">
        <f t="shared" si="93"/>
        <v>0</v>
      </c>
      <c r="JZ51" s="312">
        <v>0</v>
      </c>
      <c r="KA51" s="312">
        <v>0</v>
      </c>
      <c r="KB51" s="622">
        <f t="shared" si="94"/>
        <v>0</v>
      </c>
      <c r="KC51" s="312">
        <v>0</v>
      </c>
      <c r="KD51" s="312">
        <v>0</v>
      </c>
      <c r="KE51" s="622">
        <f t="shared" si="95"/>
        <v>0</v>
      </c>
      <c r="KF51" s="312">
        <v>0</v>
      </c>
      <c r="KG51" s="312">
        <v>0</v>
      </c>
      <c r="KH51" s="622">
        <f t="shared" si="96"/>
        <v>0</v>
      </c>
      <c r="KI51" s="312">
        <v>0</v>
      </c>
      <c r="KJ51" s="312">
        <v>0</v>
      </c>
      <c r="KK51" s="622">
        <f t="shared" si="97"/>
        <v>0</v>
      </c>
      <c r="KL51" s="622">
        <v>0</v>
      </c>
      <c r="KM51" s="622">
        <v>0</v>
      </c>
      <c r="KN51" s="622">
        <f t="shared" si="98"/>
        <v>0</v>
      </c>
      <c r="KO51" s="622">
        <v>0</v>
      </c>
      <c r="KP51" s="622">
        <v>0</v>
      </c>
      <c r="KQ51" s="622">
        <f t="shared" si="99"/>
        <v>0</v>
      </c>
      <c r="KR51" s="622">
        <v>0</v>
      </c>
      <c r="KS51" s="622">
        <v>0</v>
      </c>
      <c r="KT51" s="622">
        <f t="shared" si="100"/>
        <v>0</v>
      </c>
      <c r="KU51" s="622">
        <v>0</v>
      </c>
      <c r="KV51" s="622">
        <v>0</v>
      </c>
      <c r="KW51" s="622">
        <f t="shared" si="101"/>
        <v>0</v>
      </c>
      <c r="KX51" s="622">
        <v>0</v>
      </c>
      <c r="KY51" s="622">
        <v>0</v>
      </c>
      <c r="KZ51" s="622">
        <f t="shared" si="102"/>
        <v>0</v>
      </c>
      <c r="LA51" s="622">
        <v>0</v>
      </c>
      <c r="LB51" s="622">
        <v>0</v>
      </c>
      <c r="LC51" s="622">
        <f t="shared" si="103"/>
        <v>0</v>
      </c>
      <c r="LD51" s="622">
        <v>0</v>
      </c>
      <c r="LE51" s="622">
        <v>0</v>
      </c>
      <c r="LF51" s="622">
        <f t="shared" si="104"/>
        <v>0</v>
      </c>
      <c r="LG51" s="622">
        <v>0</v>
      </c>
      <c r="LH51" s="622">
        <v>0</v>
      </c>
      <c r="LI51" s="622">
        <f t="shared" si="105"/>
        <v>0</v>
      </c>
      <c r="LJ51" s="312">
        <v>0</v>
      </c>
      <c r="LK51" s="312">
        <v>0</v>
      </c>
      <c r="LL51" s="689">
        <f t="shared" si="106"/>
        <v>0</v>
      </c>
    </row>
    <row r="52" spans="1:324" x14ac:dyDescent="0.35">
      <c r="A52" s="688">
        <v>4</v>
      </c>
      <c r="B52" s="375" t="s">
        <v>300</v>
      </c>
      <c r="C52" s="431" t="s">
        <v>112</v>
      </c>
      <c r="D52" s="312">
        <v>4097</v>
      </c>
      <c r="E52" s="312">
        <v>3818</v>
      </c>
      <c r="F52" s="622">
        <f t="shared" si="0"/>
        <v>7915</v>
      </c>
      <c r="G52" s="312">
        <v>4</v>
      </c>
      <c r="H52" s="312">
        <v>7059</v>
      </c>
      <c r="I52" s="622">
        <f t="shared" si="1"/>
        <v>7063</v>
      </c>
      <c r="J52" s="312">
        <v>4994</v>
      </c>
      <c r="K52" s="312">
        <v>4209</v>
      </c>
      <c r="L52" s="622">
        <f t="shared" si="2"/>
        <v>9203</v>
      </c>
      <c r="M52" s="312">
        <v>186</v>
      </c>
      <c r="N52" s="312">
        <v>89</v>
      </c>
      <c r="O52" s="622">
        <f t="shared" si="3"/>
        <v>275</v>
      </c>
      <c r="P52" s="312">
        <v>358</v>
      </c>
      <c r="Q52" s="312">
        <v>304</v>
      </c>
      <c r="R52" s="622">
        <f t="shared" si="4"/>
        <v>662</v>
      </c>
      <c r="S52" s="312">
        <v>65</v>
      </c>
      <c r="T52" s="312">
        <v>5</v>
      </c>
      <c r="U52" s="622">
        <f t="shared" si="5"/>
        <v>70</v>
      </c>
      <c r="V52" s="312">
        <v>53</v>
      </c>
      <c r="W52" s="312">
        <v>1</v>
      </c>
      <c r="X52" s="622">
        <f t="shared" si="6"/>
        <v>54</v>
      </c>
      <c r="Y52" s="312">
        <v>203</v>
      </c>
      <c r="Z52" s="312">
        <v>43</v>
      </c>
      <c r="AA52" s="622">
        <f t="shared" si="7"/>
        <v>246</v>
      </c>
      <c r="AB52" s="312">
        <v>51</v>
      </c>
      <c r="AC52" s="312">
        <v>10</v>
      </c>
      <c r="AD52" s="622">
        <f t="shared" si="8"/>
        <v>61</v>
      </c>
      <c r="AE52" s="312">
        <v>2</v>
      </c>
      <c r="AF52" s="312">
        <v>0</v>
      </c>
      <c r="AG52" s="622">
        <f t="shared" si="9"/>
        <v>2</v>
      </c>
      <c r="AH52" s="312">
        <v>1</v>
      </c>
      <c r="AI52" s="312">
        <v>0</v>
      </c>
      <c r="AJ52" s="622">
        <f t="shared" si="10"/>
        <v>1</v>
      </c>
      <c r="AK52" s="312">
        <v>19</v>
      </c>
      <c r="AL52" s="312">
        <v>0</v>
      </c>
      <c r="AM52" s="622">
        <f t="shared" si="11"/>
        <v>19</v>
      </c>
      <c r="AN52" s="312">
        <v>22</v>
      </c>
      <c r="AO52" s="312">
        <v>0</v>
      </c>
      <c r="AP52" s="622">
        <f t="shared" si="12"/>
        <v>22</v>
      </c>
      <c r="AQ52" s="312">
        <v>46</v>
      </c>
      <c r="AR52" s="312">
        <v>0</v>
      </c>
      <c r="AS52" s="622">
        <f t="shared" si="13"/>
        <v>46</v>
      </c>
      <c r="AT52" s="312">
        <v>5611</v>
      </c>
      <c r="AU52" s="312">
        <v>2805</v>
      </c>
      <c r="AV52" s="622">
        <f t="shared" si="14"/>
        <v>8416</v>
      </c>
      <c r="AW52" s="312">
        <v>142</v>
      </c>
      <c r="AX52" s="312">
        <v>72</v>
      </c>
      <c r="AY52" s="622">
        <f t="shared" si="15"/>
        <v>214</v>
      </c>
      <c r="AZ52" s="312">
        <v>17</v>
      </c>
      <c r="BA52" s="312">
        <v>8</v>
      </c>
      <c r="BB52" s="622">
        <f t="shared" si="16"/>
        <v>25</v>
      </c>
      <c r="BC52" s="312">
        <v>38</v>
      </c>
      <c r="BD52" s="312">
        <v>27</v>
      </c>
      <c r="BE52" s="622">
        <f t="shared" si="17"/>
        <v>65</v>
      </c>
      <c r="BF52" s="312">
        <v>426</v>
      </c>
      <c r="BG52" s="312">
        <v>18</v>
      </c>
      <c r="BH52" s="622">
        <f t="shared" si="18"/>
        <v>444</v>
      </c>
      <c r="BI52" s="312">
        <v>17</v>
      </c>
      <c r="BJ52" s="312">
        <v>1</v>
      </c>
      <c r="BK52" s="622">
        <f t="shared" si="19"/>
        <v>18</v>
      </c>
      <c r="BL52" s="312">
        <v>0</v>
      </c>
      <c r="BM52" s="312">
        <v>0</v>
      </c>
      <c r="BN52" s="622">
        <f t="shared" si="20"/>
        <v>0</v>
      </c>
      <c r="BO52" s="312">
        <v>2</v>
      </c>
      <c r="BP52" s="312">
        <v>0</v>
      </c>
      <c r="BQ52" s="622">
        <f t="shared" si="21"/>
        <v>2</v>
      </c>
      <c r="BR52" s="312">
        <v>0</v>
      </c>
      <c r="BS52" s="312">
        <v>6</v>
      </c>
      <c r="BT52" s="622">
        <f t="shared" si="22"/>
        <v>6</v>
      </c>
      <c r="BU52" s="312">
        <v>0</v>
      </c>
      <c r="BV52" s="312">
        <v>0</v>
      </c>
      <c r="BW52" s="622">
        <f t="shared" si="23"/>
        <v>0</v>
      </c>
      <c r="BX52" s="312">
        <v>0</v>
      </c>
      <c r="BY52" s="312">
        <v>0</v>
      </c>
      <c r="BZ52" s="622">
        <f t="shared" si="24"/>
        <v>0</v>
      </c>
      <c r="CA52" s="312">
        <v>2</v>
      </c>
      <c r="CB52" s="312">
        <v>0</v>
      </c>
      <c r="CC52" s="622">
        <f t="shared" si="25"/>
        <v>2</v>
      </c>
      <c r="CD52" s="312">
        <v>0</v>
      </c>
      <c r="CE52" s="312">
        <v>0</v>
      </c>
      <c r="CF52" s="622">
        <f t="shared" si="26"/>
        <v>0</v>
      </c>
      <c r="CG52" s="312">
        <v>0</v>
      </c>
      <c r="CH52" s="312">
        <v>0</v>
      </c>
      <c r="CI52" s="622">
        <f t="shared" si="27"/>
        <v>0</v>
      </c>
      <c r="CJ52" s="312">
        <v>4</v>
      </c>
      <c r="CK52" s="312">
        <v>0</v>
      </c>
      <c r="CL52" s="622">
        <f t="shared" si="28"/>
        <v>4</v>
      </c>
      <c r="CM52" s="312">
        <v>4</v>
      </c>
      <c r="CN52" s="312">
        <v>1</v>
      </c>
      <c r="CO52" s="622">
        <f t="shared" si="29"/>
        <v>5</v>
      </c>
      <c r="CP52" s="312">
        <v>0</v>
      </c>
      <c r="CQ52" s="312">
        <v>0</v>
      </c>
      <c r="CR52" s="622">
        <f t="shared" si="30"/>
        <v>0</v>
      </c>
      <c r="CS52" s="312">
        <v>0</v>
      </c>
      <c r="CT52" s="312">
        <v>0</v>
      </c>
      <c r="CU52" s="622">
        <f t="shared" si="31"/>
        <v>0</v>
      </c>
      <c r="CV52" s="312">
        <v>0</v>
      </c>
      <c r="CW52" s="312">
        <v>1</v>
      </c>
      <c r="CX52" s="622">
        <f t="shared" si="32"/>
        <v>1</v>
      </c>
      <c r="CY52" s="312">
        <v>0</v>
      </c>
      <c r="CZ52" s="312">
        <v>2</v>
      </c>
      <c r="DA52" s="622">
        <f t="shared" si="33"/>
        <v>2</v>
      </c>
      <c r="DB52" s="312">
        <v>11</v>
      </c>
      <c r="DC52" s="312">
        <v>0</v>
      </c>
      <c r="DD52" s="622">
        <f t="shared" si="34"/>
        <v>11</v>
      </c>
      <c r="DE52" s="312">
        <v>5</v>
      </c>
      <c r="DF52" s="312">
        <v>1</v>
      </c>
      <c r="DG52" s="622">
        <f t="shared" si="35"/>
        <v>6</v>
      </c>
      <c r="DH52" s="312">
        <v>0</v>
      </c>
      <c r="DI52" s="312">
        <v>0</v>
      </c>
      <c r="DJ52" s="622">
        <f t="shared" si="36"/>
        <v>0</v>
      </c>
      <c r="DK52" s="312">
        <v>0</v>
      </c>
      <c r="DL52" s="312">
        <v>0</v>
      </c>
      <c r="DM52" s="622">
        <f t="shared" si="37"/>
        <v>0</v>
      </c>
      <c r="DN52" s="312">
        <v>0</v>
      </c>
      <c r="DO52" s="312">
        <v>0</v>
      </c>
      <c r="DP52" s="622">
        <f t="shared" si="38"/>
        <v>0</v>
      </c>
      <c r="DQ52" s="312">
        <v>1</v>
      </c>
      <c r="DR52" s="312">
        <v>0</v>
      </c>
      <c r="DS52" s="622">
        <f t="shared" si="39"/>
        <v>1</v>
      </c>
      <c r="DT52" s="312">
        <v>0</v>
      </c>
      <c r="DU52" s="312">
        <v>0</v>
      </c>
      <c r="DV52" s="622">
        <f t="shared" si="40"/>
        <v>0</v>
      </c>
      <c r="DW52" s="312">
        <v>2</v>
      </c>
      <c r="DX52" s="312">
        <v>1</v>
      </c>
      <c r="DY52" s="622">
        <f t="shared" si="41"/>
        <v>3</v>
      </c>
      <c r="DZ52" s="312">
        <v>0</v>
      </c>
      <c r="EA52" s="312">
        <v>0</v>
      </c>
      <c r="EB52" s="622">
        <f t="shared" si="42"/>
        <v>0</v>
      </c>
      <c r="EC52" s="312">
        <v>18</v>
      </c>
      <c r="ED52" s="312">
        <v>3</v>
      </c>
      <c r="EE52" s="622">
        <f t="shared" si="43"/>
        <v>21</v>
      </c>
      <c r="EF52" s="312">
        <v>2</v>
      </c>
      <c r="EG52" s="312">
        <v>0</v>
      </c>
      <c r="EH52" s="622">
        <f t="shared" si="44"/>
        <v>2</v>
      </c>
      <c r="EI52" s="312">
        <v>0</v>
      </c>
      <c r="EJ52" s="312">
        <v>0</v>
      </c>
      <c r="EK52" s="622">
        <f t="shared" si="45"/>
        <v>0</v>
      </c>
      <c r="EL52" s="312">
        <v>0</v>
      </c>
      <c r="EM52" s="312">
        <v>0</v>
      </c>
      <c r="EN52" s="622">
        <f t="shared" si="46"/>
        <v>0</v>
      </c>
      <c r="EO52" s="312">
        <v>1</v>
      </c>
      <c r="EP52" s="312">
        <v>0</v>
      </c>
      <c r="EQ52" s="622">
        <f t="shared" si="47"/>
        <v>1</v>
      </c>
      <c r="ER52" s="312">
        <v>0</v>
      </c>
      <c r="ES52" s="312">
        <v>0</v>
      </c>
      <c r="ET52" s="622">
        <f t="shared" si="48"/>
        <v>0</v>
      </c>
      <c r="EU52" s="312">
        <v>0</v>
      </c>
      <c r="EV52" s="312">
        <v>0</v>
      </c>
      <c r="EW52" s="622">
        <f t="shared" si="49"/>
        <v>0</v>
      </c>
      <c r="EX52" s="312">
        <v>0</v>
      </c>
      <c r="EY52" s="312">
        <v>0</v>
      </c>
      <c r="EZ52" s="622">
        <f t="shared" si="50"/>
        <v>0</v>
      </c>
      <c r="FA52" s="312">
        <v>0</v>
      </c>
      <c r="FB52" s="312">
        <v>0</v>
      </c>
      <c r="FC52" s="622">
        <f t="shared" si="51"/>
        <v>0</v>
      </c>
      <c r="FD52" s="312">
        <v>0</v>
      </c>
      <c r="FE52" s="312">
        <v>0</v>
      </c>
      <c r="FF52" s="622">
        <f t="shared" si="52"/>
        <v>0</v>
      </c>
      <c r="FG52" s="312">
        <v>0</v>
      </c>
      <c r="FH52" s="312">
        <v>0</v>
      </c>
      <c r="FI52" s="622">
        <f t="shared" si="53"/>
        <v>0</v>
      </c>
      <c r="FJ52" s="312">
        <v>0</v>
      </c>
      <c r="FK52" s="312">
        <v>0</v>
      </c>
      <c r="FL52" s="622">
        <f t="shared" si="54"/>
        <v>0</v>
      </c>
      <c r="FM52" s="312">
        <v>0</v>
      </c>
      <c r="FN52" s="312">
        <v>0</v>
      </c>
      <c r="FO52" s="622">
        <f t="shared" si="55"/>
        <v>0</v>
      </c>
      <c r="FP52" s="312">
        <v>0</v>
      </c>
      <c r="FQ52" s="312">
        <v>0</v>
      </c>
      <c r="FR52" s="622">
        <f t="shared" si="56"/>
        <v>0</v>
      </c>
      <c r="FS52" s="312">
        <v>0</v>
      </c>
      <c r="FT52" s="312">
        <v>0</v>
      </c>
      <c r="FU52" s="622">
        <f t="shared" si="57"/>
        <v>0</v>
      </c>
      <c r="FV52" s="312">
        <v>0</v>
      </c>
      <c r="FW52" s="312">
        <v>0</v>
      </c>
      <c r="FX52" s="622">
        <f t="shared" si="58"/>
        <v>0</v>
      </c>
      <c r="FY52" s="312">
        <v>0</v>
      </c>
      <c r="FZ52" s="312">
        <v>0</v>
      </c>
      <c r="GA52" s="622">
        <f t="shared" si="59"/>
        <v>0</v>
      </c>
      <c r="GB52" s="312">
        <v>0</v>
      </c>
      <c r="GC52" s="312">
        <v>0</v>
      </c>
      <c r="GD52" s="622">
        <f t="shared" si="60"/>
        <v>0</v>
      </c>
      <c r="GE52" s="312">
        <v>0</v>
      </c>
      <c r="GF52" s="312">
        <v>0</v>
      </c>
      <c r="GG52" s="622">
        <f t="shared" si="61"/>
        <v>0</v>
      </c>
      <c r="GH52" s="312">
        <v>0</v>
      </c>
      <c r="GI52" s="312">
        <v>0</v>
      </c>
      <c r="GJ52" s="622">
        <f t="shared" si="62"/>
        <v>0</v>
      </c>
      <c r="GK52" s="312">
        <v>16</v>
      </c>
      <c r="GL52" s="312">
        <v>17</v>
      </c>
      <c r="GM52" s="622">
        <f t="shared" si="63"/>
        <v>33</v>
      </c>
      <c r="GN52" s="312">
        <v>98</v>
      </c>
      <c r="GO52" s="312">
        <v>285</v>
      </c>
      <c r="GP52" s="622">
        <f t="shared" si="64"/>
        <v>383</v>
      </c>
      <c r="GQ52" s="312">
        <v>4</v>
      </c>
      <c r="GR52" s="312">
        <v>0</v>
      </c>
      <c r="GS52" s="622">
        <f t="shared" si="65"/>
        <v>4</v>
      </c>
      <c r="GT52" s="312">
        <v>8</v>
      </c>
      <c r="GU52" s="312">
        <v>0</v>
      </c>
      <c r="GV52" s="622">
        <f t="shared" si="66"/>
        <v>8</v>
      </c>
      <c r="GW52" s="312">
        <v>1</v>
      </c>
      <c r="GX52" s="312">
        <v>2</v>
      </c>
      <c r="GY52" s="622">
        <f t="shared" si="67"/>
        <v>3</v>
      </c>
      <c r="GZ52" s="312">
        <v>3</v>
      </c>
      <c r="HA52" s="312">
        <v>5</v>
      </c>
      <c r="HB52" s="622">
        <f t="shared" si="68"/>
        <v>8</v>
      </c>
      <c r="HC52" s="312">
        <v>1</v>
      </c>
      <c r="HD52" s="312">
        <v>0</v>
      </c>
      <c r="HE52" s="622">
        <f t="shared" si="69"/>
        <v>1</v>
      </c>
      <c r="HF52" s="312">
        <v>8</v>
      </c>
      <c r="HG52" s="312">
        <v>2</v>
      </c>
      <c r="HH52" s="622">
        <f t="shared" si="70"/>
        <v>10</v>
      </c>
      <c r="HI52" s="312">
        <v>27</v>
      </c>
      <c r="HJ52" s="312">
        <v>70</v>
      </c>
      <c r="HK52" s="622">
        <f t="shared" si="71"/>
        <v>97</v>
      </c>
      <c r="HL52" s="312">
        <v>0</v>
      </c>
      <c r="HM52" s="312">
        <v>18</v>
      </c>
      <c r="HN52" s="622">
        <f t="shared" si="72"/>
        <v>18</v>
      </c>
      <c r="HO52" s="312">
        <v>4</v>
      </c>
      <c r="HP52" s="312">
        <v>41</v>
      </c>
      <c r="HQ52" s="622">
        <f t="shared" si="73"/>
        <v>45</v>
      </c>
      <c r="HR52" s="312">
        <v>0</v>
      </c>
      <c r="HS52" s="312">
        <v>4</v>
      </c>
      <c r="HT52" s="622">
        <f t="shared" si="74"/>
        <v>4</v>
      </c>
      <c r="HU52" s="312">
        <v>0</v>
      </c>
      <c r="HV52" s="312">
        <v>0</v>
      </c>
      <c r="HW52" s="622">
        <f t="shared" si="75"/>
        <v>0</v>
      </c>
      <c r="HX52" s="312">
        <v>0</v>
      </c>
      <c r="HY52" s="312">
        <v>0</v>
      </c>
      <c r="HZ52" s="622">
        <f t="shared" si="76"/>
        <v>0</v>
      </c>
      <c r="IA52" s="312">
        <v>0</v>
      </c>
      <c r="IB52" s="312">
        <v>0</v>
      </c>
      <c r="IC52" s="622">
        <f t="shared" si="77"/>
        <v>0</v>
      </c>
      <c r="ID52" s="312">
        <v>11</v>
      </c>
      <c r="IE52" s="312">
        <v>0</v>
      </c>
      <c r="IF52" s="622">
        <f t="shared" si="78"/>
        <v>11</v>
      </c>
      <c r="IG52" s="312">
        <v>1</v>
      </c>
      <c r="IH52" s="312">
        <v>1</v>
      </c>
      <c r="II52" s="622">
        <f t="shared" si="79"/>
        <v>2</v>
      </c>
      <c r="IJ52" s="312">
        <v>43</v>
      </c>
      <c r="IK52" s="312">
        <v>0</v>
      </c>
      <c r="IL52" s="622">
        <f t="shared" si="80"/>
        <v>43</v>
      </c>
      <c r="IM52" s="312">
        <v>0</v>
      </c>
      <c r="IN52" s="312">
        <v>0</v>
      </c>
      <c r="IO52" s="622">
        <f t="shared" si="81"/>
        <v>0</v>
      </c>
      <c r="IP52" s="312">
        <v>0</v>
      </c>
      <c r="IQ52" s="312">
        <v>1</v>
      </c>
      <c r="IR52" s="622">
        <f t="shared" si="82"/>
        <v>1</v>
      </c>
      <c r="IS52" s="312">
        <v>115</v>
      </c>
      <c r="IT52" s="312">
        <v>20</v>
      </c>
      <c r="IU52" s="622">
        <f t="shared" si="83"/>
        <v>135</v>
      </c>
      <c r="IV52" s="312">
        <v>1</v>
      </c>
      <c r="IW52" s="312">
        <v>1</v>
      </c>
      <c r="IX52" s="622">
        <f t="shared" si="84"/>
        <v>2</v>
      </c>
      <c r="IY52" s="312">
        <v>0</v>
      </c>
      <c r="IZ52" s="312">
        <v>0</v>
      </c>
      <c r="JA52" s="622">
        <f t="shared" si="85"/>
        <v>0</v>
      </c>
      <c r="JB52" s="312">
        <v>0</v>
      </c>
      <c r="JC52" s="312">
        <v>0</v>
      </c>
      <c r="JD52" s="622">
        <f t="shared" si="86"/>
        <v>0</v>
      </c>
      <c r="JE52" s="312">
        <v>2628</v>
      </c>
      <c r="JF52" s="312">
        <v>515</v>
      </c>
      <c r="JG52" s="622">
        <f t="shared" si="87"/>
        <v>3143</v>
      </c>
      <c r="JH52" s="312">
        <v>2</v>
      </c>
      <c r="JI52" s="312">
        <v>2</v>
      </c>
      <c r="JJ52" s="622">
        <f t="shared" si="88"/>
        <v>4</v>
      </c>
      <c r="JK52" s="312">
        <v>0</v>
      </c>
      <c r="JL52" s="312">
        <v>0</v>
      </c>
      <c r="JM52" s="622">
        <f t="shared" si="89"/>
        <v>0</v>
      </c>
      <c r="JN52" s="312">
        <v>0</v>
      </c>
      <c r="JO52" s="312">
        <v>0</v>
      </c>
      <c r="JP52" s="622">
        <f t="shared" si="90"/>
        <v>0</v>
      </c>
      <c r="JQ52" s="312">
        <v>0</v>
      </c>
      <c r="JR52" s="312">
        <v>0</v>
      </c>
      <c r="JS52" s="622">
        <f t="shared" si="91"/>
        <v>0</v>
      </c>
      <c r="JT52" s="312">
        <v>0</v>
      </c>
      <c r="JU52" s="312">
        <v>0</v>
      </c>
      <c r="JV52" s="622">
        <f t="shared" si="92"/>
        <v>0</v>
      </c>
      <c r="JW52" s="312">
        <v>0</v>
      </c>
      <c r="JX52" s="312">
        <v>0</v>
      </c>
      <c r="JY52" s="622">
        <f t="shared" si="93"/>
        <v>0</v>
      </c>
      <c r="JZ52" s="312">
        <v>0</v>
      </c>
      <c r="KA52" s="312">
        <v>0</v>
      </c>
      <c r="KB52" s="622">
        <f t="shared" si="94"/>
        <v>0</v>
      </c>
      <c r="KC52" s="312">
        <v>0</v>
      </c>
      <c r="KD52" s="312">
        <v>0</v>
      </c>
      <c r="KE52" s="622">
        <f t="shared" si="95"/>
        <v>0</v>
      </c>
      <c r="KF52" s="312">
        <v>0</v>
      </c>
      <c r="KG52" s="312">
        <v>0</v>
      </c>
      <c r="KH52" s="622">
        <f t="shared" si="96"/>
        <v>0</v>
      </c>
      <c r="KI52" s="312">
        <v>0</v>
      </c>
      <c r="KJ52" s="312">
        <v>0</v>
      </c>
      <c r="KK52" s="622">
        <f t="shared" si="97"/>
        <v>0</v>
      </c>
      <c r="KL52" s="622">
        <v>0</v>
      </c>
      <c r="KM52" s="622">
        <v>0</v>
      </c>
      <c r="KN52" s="622">
        <f t="shared" si="98"/>
        <v>0</v>
      </c>
      <c r="KO52" s="622">
        <v>0</v>
      </c>
      <c r="KP52" s="622">
        <v>0</v>
      </c>
      <c r="KQ52" s="622">
        <f t="shared" si="99"/>
        <v>0</v>
      </c>
      <c r="KR52" s="622">
        <v>0</v>
      </c>
      <c r="KS52" s="622">
        <v>0</v>
      </c>
      <c r="KT52" s="622">
        <f t="shared" si="100"/>
        <v>0</v>
      </c>
      <c r="KU52" s="622">
        <v>0</v>
      </c>
      <c r="KV52" s="622">
        <v>0</v>
      </c>
      <c r="KW52" s="622">
        <f t="shared" si="101"/>
        <v>0</v>
      </c>
      <c r="KX52" s="622">
        <v>0</v>
      </c>
      <c r="KY52" s="622">
        <v>0</v>
      </c>
      <c r="KZ52" s="622">
        <f t="shared" si="102"/>
        <v>0</v>
      </c>
      <c r="LA52" s="622">
        <v>0</v>
      </c>
      <c r="LB52" s="622">
        <v>0</v>
      </c>
      <c r="LC52" s="622">
        <f t="shared" si="103"/>
        <v>0</v>
      </c>
      <c r="LD52" s="622">
        <v>0</v>
      </c>
      <c r="LE52" s="622">
        <v>0</v>
      </c>
      <c r="LF52" s="622">
        <f t="shared" si="104"/>
        <v>0</v>
      </c>
      <c r="LG52" s="622">
        <v>0</v>
      </c>
      <c r="LH52" s="622">
        <v>0</v>
      </c>
      <c r="LI52" s="622">
        <f t="shared" si="105"/>
        <v>0</v>
      </c>
      <c r="LJ52" s="312">
        <v>0</v>
      </c>
      <c r="LK52" s="312">
        <v>0</v>
      </c>
      <c r="LL52" s="689">
        <f t="shared" si="106"/>
        <v>0</v>
      </c>
    </row>
    <row r="53" spans="1:324" x14ac:dyDescent="0.35">
      <c r="A53" s="688">
        <v>4</v>
      </c>
      <c r="B53" s="375" t="s">
        <v>301</v>
      </c>
      <c r="C53" s="431" t="s">
        <v>114</v>
      </c>
      <c r="D53" s="312">
        <v>5256</v>
      </c>
      <c r="E53" s="312">
        <v>4956</v>
      </c>
      <c r="F53" s="622">
        <f t="shared" si="0"/>
        <v>10212</v>
      </c>
      <c r="G53" s="312">
        <v>4</v>
      </c>
      <c r="H53" s="312">
        <v>8439</v>
      </c>
      <c r="I53" s="622">
        <f t="shared" si="1"/>
        <v>8443</v>
      </c>
      <c r="J53" s="312">
        <v>5763</v>
      </c>
      <c r="K53" s="312">
        <v>4901</v>
      </c>
      <c r="L53" s="622">
        <f t="shared" si="2"/>
        <v>10664</v>
      </c>
      <c r="M53" s="312">
        <v>365</v>
      </c>
      <c r="N53" s="312">
        <v>167</v>
      </c>
      <c r="O53" s="622">
        <f t="shared" si="3"/>
        <v>532</v>
      </c>
      <c r="P53" s="312">
        <v>390</v>
      </c>
      <c r="Q53" s="312">
        <v>366</v>
      </c>
      <c r="R53" s="622">
        <f t="shared" si="4"/>
        <v>756</v>
      </c>
      <c r="S53" s="312">
        <v>52</v>
      </c>
      <c r="T53" s="312">
        <v>6</v>
      </c>
      <c r="U53" s="622">
        <f t="shared" si="5"/>
        <v>58</v>
      </c>
      <c r="V53" s="312">
        <v>76</v>
      </c>
      <c r="W53" s="312">
        <v>10</v>
      </c>
      <c r="X53" s="622">
        <f t="shared" si="6"/>
        <v>86</v>
      </c>
      <c r="Y53" s="312">
        <v>90</v>
      </c>
      <c r="Z53" s="312">
        <v>26</v>
      </c>
      <c r="AA53" s="622">
        <f t="shared" si="7"/>
        <v>116</v>
      </c>
      <c r="AB53" s="312">
        <v>42</v>
      </c>
      <c r="AC53" s="312">
        <v>11</v>
      </c>
      <c r="AD53" s="622">
        <f t="shared" si="8"/>
        <v>53</v>
      </c>
      <c r="AE53" s="312">
        <v>7</v>
      </c>
      <c r="AF53" s="312">
        <v>0</v>
      </c>
      <c r="AG53" s="622">
        <f t="shared" si="9"/>
        <v>7</v>
      </c>
      <c r="AH53" s="312">
        <v>4</v>
      </c>
      <c r="AI53" s="312">
        <v>0</v>
      </c>
      <c r="AJ53" s="622">
        <f t="shared" si="10"/>
        <v>4</v>
      </c>
      <c r="AK53" s="312">
        <v>16</v>
      </c>
      <c r="AL53" s="312">
        <v>3</v>
      </c>
      <c r="AM53" s="622">
        <f t="shared" si="11"/>
        <v>19</v>
      </c>
      <c r="AN53" s="312">
        <v>8</v>
      </c>
      <c r="AO53" s="312">
        <v>3</v>
      </c>
      <c r="AP53" s="622">
        <f t="shared" si="12"/>
        <v>11</v>
      </c>
      <c r="AQ53" s="312">
        <v>64</v>
      </c>
      <c r="AR53" s="312">
        <v>0</v>
      </c>
      <c r="AS53" s="622">
        <f t="shared" si="13"/>
        <v>64</v>
      </c>
      <c r="AT53" s="312">
        <v>7256</v>
      </c>
      <c r="AU53" s="312">
        <v>3802</v>
      </c>
      <c r="AV53" s="622">
        <f t="shared" si="14"/>
        <v>11058</v>
      </c>
      <c r="AW53" s="312">
        <v>192</v>
      </c>
      <c r="AX53" s="312">
        <v>114</v>
      </c>
      <c r="AY53" s="622">
        <f t="shared" si="15"/>
        <v>306</v>
      </c>
      <c r="AZ53" s="312">
        <v>19</v>
      </c>
      <c r="BA53" s="312">
        <v>6</v>
      </c>
      <c r="BB53" s="622">
        <f t="shared" si="16"/>
        <v>25</v>
      </c>
      <c r="BC53" s="312">
        <v>32</v>
      </c>
      <c r="BD53" s="312">
        <v>24</v>
      </c>
      <c r="BE53" s="622">
        <f t="shared" si="17"/>
        <v>56</v>
      </c>
      <c r="BF53" s="312">
        <v>549</v>
      </c>
      <c r="BG53" s="312">
        <v>16</v>
      </c>
      <c r="BH53" s="622">
        <f t="shared" si="18"/>
        <v>565</v>
      </c>
      <c r="BI53" s="312">
        <v>20</v>
      </c>
      <c r="BJ53" s="312">
        <v>5</v>
      </c>
      <c r="BK53" s="622">
        <f t="shared" si="19"/>
        <v>25</v>
      </c>
      <c r="BL53" s="312">
        <v>0</v>
      </c>
      <c r="BM53" s="312">
        <v>0</v>
      </c>
      <c r="BN53" s="622">
        <f t="shared" si="20"/>
        <v>0</v>
      </c>
      <c r="BO53" s="312">
        <v>0</v>
      </c>
      <c r="BP53" s="312">
        <v>0</v>
      </c>
      <c r="BQ53" s="622">
        <f t="shared" si="21"/>
        <v>0</v>
      </c>
      <c r="BR53" s="312">
        <v>0</v>
      </c>
      <c r="BS53" s="312">
        <v>10</v>
      </c>
      <c r="BT53" s="622">
        <f t="shared" si="22"/>
        <v>10</v>
      </c>
      <c r="BU53" s="312">
        <v>1</v>
      </c>
      <c r="BV53" s="312">
        <v>0</v>
      </c>
      <c r="BW53" s="622">
        <f t="shared" si="23"/>
        <v>1</v>
      </c>
      <c r="BX53" s="312">
        <v>1</v>
      </c>
      <c r="BY53" s="312">
        <v>0</v>
      </c>
      <c r="BZ53" s="622">
        <f t="shared" si="24"/>
        <v>1</v>
      </c>
      <c r="CA53" s="312">
        <v>3</v>
      </c>
      <c r="CB53" s="312">
        <v>0</v>
      </c>
      <c r="CC53" s="622">
        <f t="shared" si="25"/>
        <v>3</v>
      </c>
      <c r="CD53" s="312">
        <v>2</v>
      </c>
      <c r="CE53" s="312">
        <v>0</v>
      </c>
      <c r="CF53" s="622">
        <f t="shared" si="26"/>
        <v>2</v>
      </c>
      <c r="CG53" s="312">
        <v>1</v>
      </c>
      <c r="CH53" s="312">
        <v>0</v>
      </c>
      <c r="CI53" s="622">
        <f t="shared" si="27"/>
        <v>1</v>
      </c>
      <c r="CJ53" s="312">
        <v>2</v>
      </c>
      <c r="CK53" s="312">
        <v>0</v>
      </c>
      <c r="CL53" s="622">
        <f t="shared" si="28"/>
        <v>2</v>
      </c>
      <c r="CM53" s="312">
        <v>0</v>
      </c>
      <c r="CN53" s="312">
        <v>2</v>
      </c>
      <c r="CO53" s="622">
        <f t="shared" si="29"/>
        <v>2</v>
      </c>
      <c r="CP53" s="312">
        <v>0</v>
      </c>
      <c r="CQ53" s="312">
        <v>0</v>
      </c>
      <c r="CR53" s="622">
        <f t="shared" si="30"/>
        <v>0</v>
      </c>
      <c r="CS53" s="312">
        <v>0</v>
      </c>
      <c r="CT53" s="312">
        <v>1</v>
      </c>
      <c r="CU53" s="622">
        <f t="shared" si="31"/>
        <v>1</v>
      </c>
      <c r="CV53" s="312">
        <v>0</v>
      </c>
      <c r="CW53" s="312">
        <v>1</v>
      </c>
      <c r="CX53" s="622">
        <f t="shared" si="32"/>
        <v>1</v>
      </c>
      <c r="CY53" s="312">
        <v>0</v>
      </c>
      <c r="CZ53" s="312">
        <v>1</v>
      </c>
      <c r="DA53" s="622">
        <f t="shared" si="33"/>
        <v>1</v>
      </c>
      <c r="DB53" s="312">
        <v>9</v>
      </c>
      <c r="DC53" s="312">
        <v>0</v>
      </c>
      <c r="DD53" s="622">
        <f t="shared" si="34"/>
        <v>9</v>
      </c>
      <c r="DE53" s="312">
        <v>17</v>
      </c>
      <c r="DF53" s="312">
        <v>3</v>
      </c>
      <c r="DG53" s="622">
        <f t="shared" si="35"/>
        <v>20</v>
      </c>
      <c r="DH53" s="312">
        <v>0</v>
      </c>
      <c r="DI53" s="312">
        <v>0</v>
      </c>
      <c r="DJ53" s="622">
        <f t="shared" si="36"/>
        <v>0</v>
      </c>
      <c r="DK53" s="312">
        <v>0</v>
      </c>
      <c r="DL53" s="312">
        <v>0</v>
      </c>
      <c r="DM53" s="622">
        <f t="shared" si="37"/>
        <v>0</v>
      </c>
      <c r="DN53" s="312">
        <v>0</v>
      </c>
      <c r="DO53" s="312">
        <v>0</v>
      </c>
      <c r="DP53" s="622">
        <f t="shared" si="38"/>
        <v>0</v>
      </c>
      <c r="DQ53" s="312">
        <v>0</v>
      </c>
      <c r="DR53" s="312">
        <v>0</v>
      </c>
      <c r="DS53" s="622">
        <f t="shared" si="39"/>
        <v>0</v>
      </c>
      <c r="DT53" s="312">
        <v>0</v>
      </c>
      <c r="DU53" s="312">
        <v>0</v>
      </c>
      <c r="DV53" s="622">
        <f t="shared" si="40"/>
        <v>0</v>
      </c>
      <c r="DW53" s="312">
        <v>13</v>
      </c>
      <c r="DX53" s="312">
        <v>2</v>
      </c>
      <c r="DY53" s="622">
        <f t="shared" si="41"/>
        <v>15</v>
      </c>
      <c r="DZ53" s="312">
        <v>0</v>
      </c>
      <c r="EA53" s="312">
        <v>0</v>
      </c>
      <c r="EB53" s="622">
        <f t="shared" si="42"/>
        <v>0</v>
      </c>
      <c r="EC53" s="312">
        <v>22</v>
      </c>
      <c r="ED53" s="312">
        <v>3</v>
      </c>
      <c r="EE53" s="622">
        <f t="shared" si="43"/>
        <v>25</v>
      </c>
      <c r="EF53" s="312">
        <v>5</v>
      </c>
      <c r="EG53" s="312">
        <v>0</v>
      </c>
      <c r="EH53" s="622">
        <f t="shared" si="44"/>
        <v>5</v>
      </c>
      <c r="EI53" s="312">
        <v>0</v>
      </c>
      <c r="EJ53" s="312">
        <v>0</v>
      </c>
      <c r="EK53" s="622">
        <f t="shared" si="45"/>
        <v>0</v>
      </c>
      <c r="EL53" s="312">
        <v>0</v>
      </c>
      <c r="EM53" s="312">
        <v>0</v>
      </c>
      <c r="EN53" s="622">
        <f t="shared" si="46"/>
        <v>0</v>
      </c>
      <c r="EO53" s="312">
        <v>0</v>
      </c>
      <c r="EP53" s="312">
        <v>0</v>
      </c>
      <c r="EQ53" s="622">
        <f t="shared" si="47"/>
        <v>0</v>
      </c>
      <c r="ER53" s="312">
        <v>0</v>
      </c>
      <c r="ES53" s="312">
        <v>0</v>
      </c>
      <c r="ET53" s="622">
        <f t="shared" si="48"/>
        <v>0</v>
      </c>
      <c r="EU53" s="312">
        <v>0</v>
      </c>
      <c r="EV53" s="312">
        <v>1</v>
      </c>
      <c r="EW53" s="622">
        <f t="shared" si="49"/>
        <v>1</v>
      </c>
      <c r="EX53" s="312">
        <v>0</v>
      </c>
      <c r="EY53" s="312">
        <v>0</v>
      </c>
      <c r="EZ53" s="622">
        <f t="shared" si="50"/>
        <v>0</v>
      </c>
      <c r="FA53" s="312">
        <v>0</v>
      </c>
      <c r="FB53" s="312">
        <v>0</v>
      </c>
      <c r="FC53" s="622">
        <f t="shared" si="51"/>
        <v>0</v>
      </c>
      <c r="FD53" s="312">
        <v>0</v>
      </c>
      <c r="FE53" s="312">
        <v>0</v>
      </c>
      <c r="FF53" s="622">
        <f t="shared" si="52"/>
        <v>0</v>
      </c>
      <c r="FG53" s="312">
        <v>0</v>
      </c>
      <c r="FH53" s="312">
        <v>0</v>
      </c>
      <c r="FI53" s="622">
        <f t="shared" si="53"/>
        <v>0</v>
      </c>
      <c r="FJ53" s="312">
        <v>0</v>
      </c>
      <c r="FK53" s="312">
        <v>0</v>
      </c>
      <c r="FL53" s="622">
        <f t="shared" si="54"/>
        <v>0</v>
      </c>
      <c r="FM53" s="312">
        <v>0</v>
      </c>
      <c r="FN53" s="312">
        <v>0</v>
      </c>
      <c r="FO53" s="622">
        <f t="shared" si="55"/>
        <v>0</v>
      </c>
      <c r="FP53" s="312">
        <v>0</v>
      </c>
      <c r="FQ53" s="312">
        <v>0</v>
      </c>
      <c r="FR53" s="622">
        <f t="shared" si="56"/>
        <v>0</v>
      </c>
      <c r="FS53" s="312">
        <v>0</v>
      </c>
      <c r="FT53" s="312">
        <v>0</v>
      </c>
      <c r="FU53" s="622">
        <f t="shared" si="57"/>
        <v>0</v>
      </c>
      <c r="FV53" s="312">
        <v>0</v>
      </c>
      <c r="FW53" s="312">
        <v>0</v>
      </c>
      <c r="FX53" s="622">
        <f t="shared" si="58"/>
        <v>0</v>
      </c>
      <c r="FY53" s="312">
        <v>0</v>
      </c>
      <c r="FZ53" s="312">
        <v>0</v>
      </c>
      <c r="GA53" s="622">
        <f t="shared" si="59"/>
        <v>0</v>
      </c>
      <c r="GB53" s="312">
        <v>0</v>
      </c>
      <c r="GC53" s="312">
        <v>0</v>
      </c>
      <c r="GD53" s="622">
        <f t="shared" si="60"/>
        <v>0</v>
      </c>
      <c r="GE53" s="312">
        <v>0</v>
      </c>
      <c r="GF53" s="312">
        <v>0</v>
      </c>
      <c r="GG53" s="622">
        <f t="shared" si="61"/>
        <v>0</v>
      </c>
      <c r="GH53" s="312">
        <v>0</v>
      </c>
      <c r="GI53" s="312">
        <v>0</v>
      </c>
      <c r="GJ53" s="622">
        <f t="shared" si="62"/>
        <v>0</v>
      </c>
      <c r="GK53" s="312">
        <v>20</v>
      </c>
      <c r="GL53" s="312">
        <v>31</v>
      </c>
      <c r="GM53" s="622">
        <f t="shared" si="63"/>
        <v>51</v>
      </c>
      <c r="GN53" s="312">
        <v>161</v>
      </c>
      <c r="GO53" s="312">
        <v>347</v>
      </c>
      <c r="GP53" s="622">
        <f t="shared" si="64"/>
        <v>508</v>
      </c>
      <c r="GQ53" s="312">
        <v>1</v>
      </c>
      <c r="GR53" s="312">
        <v>0</v>
      </c>
      <c r="GS53" s="622">
        <f t="shared" si="65"/>
        <v>1</v>
      </c>
      <c r="GT53" s="312">
        <v>16</v>
      </c>
      <c r="GU53" s="312">
        <v>3</v>
      </c>
      <c r="GV53" s="622">
        <f t="shared" si="66"/>
        <v>19</v>
      </c>
      <c r="GW53" s="312">
        <v>0</v>
      </c>
      <c r="GX53" s="312">
        <v>1</v>
      </c>
      <c r="GY53" s="622">
        <f t="shared" si="67"/>
        <v>1</v>
      </c>
      <c r="GZ53" s="312">
        <v>1</v>
      </c>
      <c r="HA53" s="312">
        <v>0</v>
      </c>
      <c r="HB53" s="622">
        <f t="shared" si="68"/>
        <v>1</v>
      </c>
      <c r="HC53" s="312">
        <v>0</v>
      </c>
      <c r="HD53" s="312">
        <v>0</v>
      </c>
      <c r="HE53" s="622">
        <f t="shared" si="69"/>
        <v>0</v>
      </c>
      <c r="HF53" s="312">
        <v>4</v>
      </c>
      <c r="HG53" s="312">
        <v>1</v>
      </c>
      <c r="HH53" s="622">
        <f t="shared" si="70"/>
        <v>5</v>
      </c>
      <c r="HI53" s="312">
        <v>23</v>
      </c>
      <c r="HJ53" s="312">
        <v>53</v>
      </c>
      <c r="HK53" s="622">
        <f t="shared" si="71"/>
        <v>76</v>
      </c>
      <c r="HL53" s="312">
        <v>0</v>
      </c>
      <c r="HM53" s="312">
        <v>23</v>
      </c>
      <c r="HN53" s="622">
        <f t="shared" si="72"/>
        <v>23</v>
      </c>
      <c r="HO53" s="312">
        <v>4</v>
      </c>
      <c r="HP53" s="312">
        <v>55</v>
      </c>
      <c r="HQ53" s="622">
        <f t="shared" si="73"/>
        <v>59</v>
      </c>
      <c r="HR53" s="312">
        <v>0</v>
      </c>
      <c r="HS53" s="312">
        <v>3</v>
      </c>
      <c r="HT53" s="622">
        <f t="shared" si="74"/>
        <v>3</v>
      </c>
      <c r="HU53" s="312">
        <v>0</v>
      </c>
      <c r="HV53" s="312">
        <v>2</v>
      </c>
      <c r="HW53" s="622">
        <f t="shared" si="75"/>
        <v>2</v>
      </c>
      <c r="HX53" s="312">
        <v>0</v>
      </c>
      <c r="HY53" s="312">
        <v>0</v>
      </c>
      <c r="HZ53" s="622">
        <f t="shared" si="76"/>
        <v>0</v>
      </c>
      <c r="IA53" s="312">
        <v>0</v>
      </c>
      <c r="IB53" s="312">
        <v>0</v>
      </c>
      <c r="IC53" s="622">
        <f t="shared" si="77"/>
        <v>0</v>
      </c>
      <c r="ID53" s="312">
        <v>12</v>
      </c>
      <c r="IE53" s="312">
        <v>0</v>
      </c>
      <c r="IF53" s="622">
        <f t="shared" si="78"/>
        <v>12</v>
      </c>
      <c r="IG53" s="312">
        <v>0</v>
      </c>
      <c r="IH53" s="312">
        <v>1</v>
      </c>
      <c r="II53" s="622">
        <f t="shared" si="79"/>
        <v>1</v>
      </c>
      <c r="IJ53" s="312">
        <v>53</v>
      </c>
      <c r="IK53" s="312">
        <v>0</v>
      </c>
      <c r="IL53" s="622">
        <f t="shared" si="80"/>
        <v>53</v>
      </c>
      <c r="IM53" s="312">
        <v>0</v>
      </c>
      <c r="IN53" s="312">
        <v>0</v>
      </c>
      <c r="IO53" s="622">
        <f t="shared" si="81"/>
        <v>0</v>
      </c>
      <c r="IP53" s="312">
        <v>0</v>
      </c>
      <c r="IQ53" s="312">
        <v>0</v>
      </c>
      <c r="IR53" s="622">
        <f t="shared" si="82"/>
        <v>0</v>
      </c>
      <c r="IS53" s="312">
        <v>120</v>
      </c>
      <c r="IT53" s="312">
        <v>15</v>
      </c>
      <c r="IU53" s="622">
        <f t="shared" si="83"/>
        <v>135</v>
      </c>
      <c r="IV53" s="312">
        <v>2</v>
      </c>
      <c r="IW53" s="312">
        <v>0</v>
      </c>
      <c r="IX53" s="622">
        <f t="shared" si="84"/>
        <v>2</v>
      </c>
      <c r="IY53" s="312">
        <v>0</v>
      </c>
      <c r="IZ53" s="312">
        <v>0</v>
      </c>
      <c r="JA53" s="622">
        <f t="shared" si="85"/>
        <v>0</v>
      </c>
      <c r="JB53" s="312">
        <v>0</v>
      </c>
      <c r="JC53" s="312">
        <v>1</v>
      </c>
      <c r="JD53" s="622">
        <f t="shared" si="86"/>
        <v>1</v>
      </c>
      <c r="JE53" s="312">
        <v>2978</v>
      </c>
      <c r="JF53" s="312">
        <v>584</v>
      </c>
      <c r="JG53" s="622">
        <f t="shared" si="87"/>
        <v>3562</v>
      </c>
      <c r="JH53" s="312">
        <v>2</v>
      </c>
      <c r="JI53" s="312">
        <v>0</v>
      </c>
      <c r="JJ53" s="622">
        <f t="shared" si="88"/>
        <v>2</v>
      </c>
      <c r="JK53" s="312">
        <v>0</v>
      </c>
      <c r="JL53" s="312">
        <v>0</v>
      </c>
      <c r="JM53" s="622">
        <f t="shared" si="89"/>
        <v>0</v>
      </c>
      <c r="JN53" s="312">
        <v>0</v>
      </c>
      <c r="JO53" s="312">
        <v>0</v>
      </c>
      <c r="JP53" s="622">
        <f t="shared" si="90"/>
        <v>0</v>
      </c>
      <c r="JQ53" s="312">
        <v>0</v>
      </c>
      <c r="JR53" s="312">
        <v>0</v>
      </c>
      <c r="JS53" s="622">
        <f t="shared" si="91"/>
        <v>0</v>
      </c>
      <c r="JT53" s="312">
        <v>0</v>
      </c>
      <c r="JU53" s="312">
        <v>0</v>
      </c>
      <c r="JV53" s="622">
        <f t="shared" si="92"/>
        <v>0</v>
      </c>
      <c r="JW53" s="312">
        <v>0</v>
      </c>
      <c r="JX53" s="312">
        <v>0</v>
      </c>
      <c r="JY53" s="622">
        <f t="shared" si="93"/>
        <v>0</v>
      </c>
      <c r="JZ53" s="312">
        <v>0</v>
      </c>
      <c r="KA53" s="312">
        <v>0</v>
      </c>
      <c r="KB53" s="622">
        <f t="shared" si="94"/>
        <v>0</v>
      </c>
      <c r="KC53" s="312">
        <v>0</v>
      </c>
      <c r="KD53" s="312">
        <v>0</v>
      </c>
      <c r="KE53" s="622">
        <f t="shared" si="95"/>
        <v>0</v>
      </c>
      <c r="KF53" s="312">
        <v>0</v>
      </c>
      <c r="KG53" s="312">
        <v>0</v>
      </c>
      <c r="KH53" s="622">
        <f t="shared" si="96"/>
        <v>0</v>
      </c>
      <c r="KI53" s="312">
        <v>0</v>
      </c>
      <c r="KJ53" s="312">
        <v>0</v>
      </c>
      <c r="KK53" s="622">
        <f t="shared" si="97"/>
        <v>0</v>
      </c>
      <c r="KL53" s="622">
        <v>0</v>
      </c>
      <c r="KM53" s="622">
        <v>0</v>
      </c>
      <c r="KN53" s="622">
        <f t="shared" si="98"/>
        <v>0</v>
      </c>
      <c r="KO53" s="622">
        <v>0</v>
      </c>
      <c r="KP53" s="622">
        <v>0</v>
      </c>
      <c r="KQ53" s="622">
        <f t="shared" si="99"/>
        <v>0</v>
      </c>
      <c r="KR53" s="622">
        <v>0</v>
      </c>
      <c r="KS53" s="622">
        <v>0</v>
      </c>
      <c r="KT53" s="622">
        <f t="shared" si="100"/>
        <v>0</v>
      </c>
      <c r="KU53" s="622">
        <v>0</v>
      </c>
      <c r="KV53" s="622">
        <v>0</v>
      </c>
      <c r="KW53" s="622">
        <f t="shared" si="101"/>
        <v>0</v>
      </c>
      <c r="KX53" s="622">
        <v>0</v>
      </c>
      <c r="KY53" s="622">
        <v>0</v>
      </c>
      <c r="KZ53" s="622">
        <f t="shared" si="102"/>
        <v>0</v>
      </c>
      <c r="LA53" s="622">
        <v>0</v>
      </c>
      <c r="LB53" s="622">
        <v>0</v>
      </c>
      <c r="LC53" s="622">
        <f t="shared" si="103"/>
        <v>0</v>
      </c>
      <c r="LD53" s="622">
        <v>0</v>
      </c>
      <c r="LE53" s="622">
        <v>0</v>
      </c>
      <c r="LF53" s="622">
        <f t="shared" si="104"/>
        <v>0</v>
      </c>
      <c r="LG53" s="622">
        <v>0</v>
      </c>
      <c r="LH53" s="622">
        <v>0</v>
      </c>
      <c r="LI53" s="622">
        <f t="shared" si="105"/>
        <v>0</v>
      </c>
      <c r="LJ53" s="312">
        <v>0</v>
      </c>
      <c r="LK53" s="312">
        <v>0</v>
      </c>
      <c r="LL53" s="689">
        <f t="shared" si="106"/>
        <v>0</v>
      </c>
    </row>
    <row r="54" spans="1:324" x14ac:dyDescent="0.35">
      <c r="A54" s="688">
        <v>4</v>
      </c>
      <c r="B54" s="375" t="s">
        <v>302</v>
      </c>
      <c r="C54" s="431" t="s">
        <v>116</v>
      </c>
      <c r="D54" s="312">
        <v>4482</v>
      </c>
      <c r="E54" s="312">
        <v>4089</v>
      </c>
      <c r="F54" s="622">
        <f t="shared" si="0"/>
        <v>8571</v>
      </c>
      <c r="G54" s="312">
        <v>3</v>
      </c>
      <c r="H54" s="312">
        <v>7571</v>
      </c>
      <c r="I54" s="622">
        <f t="shared" si="1"/>
        <v>7574</v>
      </c>
      <c r="J54" s="312">
        <v>5412</v>
      </c>
      <c r="K54" s="312">
        <v>4640</v>
      </c>
      <c r="L54" s="622">
        <f t="shared" si="2"/>
        <v>10052</v>
      </c>
      <c r="M54" s="312">
        <v>227</v>
      </c>
      <c r="N54" s="312">
        <v>96</v>
      </c>
      <c r="O54" s="622">
        <f t="shared" si="3"/>
        <v>323</v>
      </c>
      <c r="P54" s="312">
        <v>363</v>
      </c>
      <c r="Q54" s="312">
        <v>279</v>
      </c>
      <c r="R54" s="622">
        <f t="shared" si="4"/>
        <v>642</v>
      </c>
      <c r="S54" s="312">
        <v>56</v>
      </c>
      <c r="T54" s="312">
        <v>5</v>
      </c>
      <c r="U54" s="622">
        <f t="shared" si="5"/>
        <v>61</v>
      </c>
      <c r="V54" s="312">
        <v>55</v>
      </c>
      <c r="W54" s="312">
        <v>4</v>
      </c>
      <c r="X54" s="622">
        <f t="shared" si="6"/>
        <v>59</v>
      </c>
      <c r="Y54" s="312">
        <v>174</v>
      </c>
      <c r="Z54" s="312">
        <v>33</v>
      </c>
      <c r="AA54" s="622">
        <f t="shared" si="7"/>
        <v>207</v>
      </c>
      <c r="AB54" s="312">
        <v>37</v>
      </c>
      <c r="AC54" s="312">
        <v>4</v>
      </c>
      <c r="AD54" s="622">
        <f t="shared" si="8"/>
        <v>41</v>
      </c>
      <c r="AE54" s="312">
        <v>2</v>
      </c>
      <c r="AF54" s="312">
        <v>1</v>
      </c>
      <c r="AG54" s="622">
        <f t="shared" si="9"/>
        <v>3</v>
      </c>
      <c r="AH54" s="312">
        <v>1</v>
      </c>
      <c r="AI54" s="312">
        <v>0</v>
      </c>
      <c r="AJ54" s="622">
        <f t="shared" si="10"/>
        <v>1</v>
      </c>
      <c r="AK54" s="312">
        <v>65</v>
      </c>
      <c r="AL54" s="312">
        <v>6</v>
      </c>
      <c r="AM54" s="622">
        <f t="shared" si="11"/>
        <v>71</v>
      </c>
      <c r="AN54" s="312">
        <v>32</v>
      </c>
      <c r="AO54" s="312">
        <v>3</v>
      </c>
      <c r="AP54" s="622">
        <f t="shared" si="12"/>
        <v>35</v>
      </c>
      <c r="AQ54" s="312">
        <v>29</v>
      </c>
      <c r="AR54" s="312">
        <v>0</v>
      </c>
      <c r="AS54" s="622">
        <f t="shared" si="13"/>
        <v>29</v>
      </c>
      <c r="AT54" s="312">
        <v>6364</v>
      </c>
      <c r="AU54" s="312">
        <v>3304</v>
      </c>
      <c r="AV54" s="622">
        <f t="shared" si="14"/>
        <v>9668</v>
      </c>
      <c r="AW54" s="312">
        <v>125</v>
      </c>
      <c r="AX54" s="312">
        <v>73</v>
      </c>
      <c r="AY54" s="622">
        <f t="shared" si="15"/>
        <v>198</v>
      </c>
      <c r="AZ54" s="312">
        <v>12</v>
      </c>
      <c r="BA54" s="312">
        <v>3</v>
      </c>
      <c r="BB54" s="622">
        <f t="shared" si="16"/>
        <v>15</v>
      </c>
      <c r="BC54" s="312">
        <v>33</v>
      </c>
      <c r="BD54" s="312">
        <v>19</v>
      </c>
      <c r="BE54" s="622">
        <f t="shared" si="17"/>
        <v>52</v>
      </c>
      <c r="BF54" s="312">
        <v>317</v>
      </c>
      <c r="BG54" s="312">
        <v>16</v>
      </c>
      <c r="BH54" s="622">
        <f t="shared" si="18"/>
        <v>333</v>
      </c>
      <c r="BI54" s="312">
        <v>9</v>
      </c>
      <c r="BJ54" s="312">
        <v>1</v>
      </c>
      <c r="BK54" s="622">
        <f t="shared" si="19"/>
        <v>10</v>
      </c>
      <c r="BL54" s="312">
        <v>1</v>
      </c>
      <c r="BM54" s="312">
        <v>0</v>
      </c>
      <c r="BN54" s="622">
        <f t="shared" si="20"/>
        <v>1</v>
      </c>
      <c r="BO54" s="312">
        <v>0</v>
      </c>
      <c r="BP54" s="312">
        <v>0</v>
      </c>
      <c r="BQ54" s="622">
        <f t="shared" si="21"/>
        <v>0</v>
      </c>
      <c r="BR54" s="312">
        <v>1</v>
      </c>
      <c r="BS54" s="312">
        <v>2</v>
      </c>
      <c r="BT54" s="622">
        <f t="shared" si="22"/>
        <v>3</v>
      </c>
      <c r="BU54" s="312">
        <v>0</v>
      </c>
      <c r="BV54" s="312">
        <v>0</v>
      </c>
      <c r="BW54" s="622">
        <f t="shared" si="23"/>
        <v>0</v>
      </c>
      <c r="BX54" s="312">
        <v>1</v>
      </c>
      <c r="BY54" s="312">
        <v>0</v>
      </c>
      <c r="BZ54" s="622">
        <f t="shared" si="24"/>
        <v>1</v>
      </c>
      <c r="CA54" s="312">
        <v>2</v>
      </c>
      <c r="CB54" s="312">
        <v>0</v>
      </c>
      <c r="CC54" s="622">
        <f t="shared" si="25"/>
        <v>2</v>
      </c>
      <c r="CD54" s="312">
        <v>1</v>
      </c>
      <c r="CE54" s="312">
        <v>0</v>
      </c>
      <c r="CF54" s="622">
        <f t="shared" si="26"/>
        <v>1</v>
      </c>
      <c r="CG54" s="312">
        <v>0</v>
      </c>
      <c r="CH54" s="312">
        <v>0</v>
      </c>
      <c r="CI54" s="622">
        <f t="shared" si="27"/>
        <v>0</v>
      </c>
      <c r="CJ54" s="312">
        <v>1</v>
      </c>
      <c r="CK54" s="312">
        <v>0</v>
      </c>
      <c r="CL54" s="622">
        <f t="shared" si="28"/>
        <v>1</v>
      </c>
      <c r="CM54" s="312">
        <v>2</v>
      </c>
      <c r="CN54" s="312">
        <v>2</v>
      </c>
      <c r="CO54" s="622">
        <f t="shared" si="29"/>
        <v>4</v>
      </c>
      <c r="CP54" s="312">
        <v>0</v>
      </c>
      <c r="CQ54" s="312">
        <v>0</v>
      </c>
      <c r="CR54" s="622">
        <f t="shared" si="30"/>
        <v>0</v>
      </c>
      <c r="CS54" s="312">
        <v>0</v>
      </c>
      <c r="CT54" s="312">
        <v>0</v>
      </c>
      <c r="CU54" s="622">
        <f t="shared" si="31"/>
        <v>0</v>
      </c>
      <c r="CV54" s="312">
        <v>0</v>
      </c>
      <c r="CW54" s="312">
        <v>0</v>
      </c>
      <c r="CX54" s="622">
        <f t="shared" si="32"/>
        <v>0</v>
      </c>
      <c r="CY54" s="312">
        <v>0</v>
      </c>
      <c r="CZ54" s="312">
        <v>0</v>
      </c>
      <c r="DA54" s="622">
        <f t="shared" si="33"/>
        <v>0</v>
      </c>
      <c r="DB54" s="312">
        <v>4</v>
      </c>
      <c r="DC54" s="312">
        <v>0</v>
      </c>
      <c r="DD54" s="622">
        <f t="shared" si="34"/>
        <v>4</v>
      </c>
      <c r="DE54" s="312">
        <v>16</v>
      </c>
      <c r="DF54" s="312">
        <v>5</v>
      </c>
      <c r="DG54" s="622">
        <f t="shared" si="35"/>
        <v>21</v>
      </c>
      <c r="DH54" s="312">
        <v>0</v>
      </c>
      <c r="DI54" s="312">
        <v>0</v>
      </c>
      <c r="DJ54" s="622">
        <f t="shared" si="36"/>
        <v>0</v>
      </c>
      <c r="DK54" s="312">
        <v>0</v>
      </c>
      <c r="DL54" s="312">
        <v>0</v>
      </c>
      <c r="DM54" s="622">
        <f t="shared" si="37"/>
        <v>0</v>
      </c>
      <c r="DN54" s="312">
        <v>0</v>
      </c>
      <c r="DO54" s="312">
        <v>1</v>
      </c>
      <c r="DP54" s="622">
        <f t="shared" si="38"/>
        <v>1</v>
      </c>
      <c r="DQ54" s="312">
        <v>0</v>
      </c>
      <c r="DR54" s="312">
        <v>0</v>
      </c>
      <c r="DS54" s="622">
        <f t="shared" si="39"/>
        <v>0</v>
      </c>
      <c r="DT54" s="312">
        <v>0</v>
      </c>
      <c r="DU54" s="312">
        <v>0</v>
      </c>
      <c r="DV54" s="622">
        <f t="shared" si="40"/>
        <v>0</v>
      </c>
      <c r="DW54" s="312">
        <v>12</v>
      </c>
      <c r="DX54" s="312">
        <v>4</v>
      </c>
      <c r="DY54" s="622">
        <f t="shared" si="41"/>
        <v>16</v>
      </c>
      <c r="DZ54" s="312">
        <v>0</v>
      </c>
      <c r="EA54" s="312">
        <v>0</v>
      </c>
      <c r="EB54" s="622">
        <f t="shared" si="42"/>
        <v>0</v>
      </c>
      <c r="EC54" s="312">
        <v>12</v>
      </c>
      <c r="ED54" s="312">
        <v>2</v>
      </c>
      <c r="EE54" s="622">
        <f t="shared" si="43"/>
        <v>14</v>
      </c>
      <c r="EF54" s="312">
        <v>2</v>
      </c>
      <c r="EG54" s="312">
        <v>0</v>
      </c>
      <c r="EH54" s="622">
        <f t="shared" si="44"/>
        <v>2</v>
      </c>
      <c r="EI54" s="312">
        <v>0</v>
      </c>
      <c r="EJ54" s="312">
        <v>0</v>
      </c>
      <c r="EK54" s="622">
        <f t="shared" si="45"/>
        <v>0</v>
      </c>
      <c r="EL54" s="312">
        <v>0</v>
      </c>
      <c r="EM54" s="312">
        <v>0</v>
      </c>
      <c r="EN54" s="622">
        <f t="shared" si="46"/>
        <v>0</v>
      </c>
      <c r="EO54" s="312">
        <v>0</v>
      </c>
      <c r="EP54" s="312">
        <v>0</v>
      </c>
      <c r="EQ54" s="622">
        <f t="shared" si="47"/>
        <v>0</v>
      </c>
      <c r="ER54" s="312">
        <v>0</v>
      </c>
      <c r="ES54" s="312">
        <v>0</v>
      </c>
      <c r="ET54" s="622">
        <f t="shared" si="48"/>
        <v>0</v>
      </c>
      <c r="EU54" s="312">
        <v>0</v>
      </c>
      <c r="EV54" s="312">
        <v>0</v>
      </c>
      <c r="EW54" s="622">
        <f t="shared" si="49"/>
        <v>0</v>
      </c>
      <c r="EX54" s="312">
        <v>0</v>
      </c>
      <c r="EY54" s="312">
        <v>0</v>
      </c>
      <c r="EZ54" s="622">
        <f t="shared" si="50"/>
        <v>0</v>
      </c>
      <c r="FA54" s="312">
        <v>0</v>
      </c>
      <c r="FB54" s="312">
        <v>0</v>
      </c>
      <c r="FC54" s="622">
        <f t="shared" si="51"/>
        <v>0</v>
      </c>
      <c r="FD54" s="312">
        <v>0</v>
      </c>
      <c r="FE54" s="312">
        <v>0</v>
      </c>
      <c r="FF54" s="622">
        <f t="shared" si="52"/>
        <v>0</v>
      </c>
      <c r="FG54" s="312">
        <v>0</v>
      </c>
      <c r="FH54" s="312">
        <v>0</v>
      </c>
      <c r="FI54" s="622">
        <f t="shared" si="53"/>
        <v>0</v>
      </c>
      <c r="FJ54" s="312">
        <v>0</v>
      </c>
      <c r="FK54" s="312">
        <v>0</v>
      </c>
      <c r="FL54" s="622">
        <f t="shared" si="54"/>
        <v>0</v>
      </c>
      <c r="FM54" s="312">
        <v>0</v>
      </c>
      <c r="FN54" s="312">
        <v>0</v>
      </c>
      <c r="FO54" s="622">
        <f t="shared" si="55"/>
        <v>0</v>
      </c>
      <c r="FP54" s="312">
        <v>0</v>
      </c>
      <c r="FQ54" s="312">
        <v>0</v>
      </c>
      <c r="FR54" s="622">
        <f t="shared" si="56"/>
        <v>0</v>
      </c>
      <c r="FS54" s="312">
        <v>0</v>
      </c>
      <c r="FT54" s="312">
        <v>0</v>
      </c>
      <c r="FU54" s="622">
        <f t="shared" si="57"/>
        <v>0</v>
      </c>
      <c r="FV54" s="312">
        <v>0</v>
      </c>
      <c r="FW54" s="312">
        <v>0</v>
      </c>
      <c r="FX54" s="622">
        <f t="shared" si="58"/>
        <v>0</v>
      </c>
      <c r="FY54" s="312">
        <v>0</v>
      </c>
      <c r="FZ54" s="312">
        <v>0</v>
      </c>
      <c r="GA54" s="622">
        <f t="shared" si="59"/>
        <v>0</v>
      </c>
      <c r="GB54" s="312">
        <v>0</v>
      </c>
      <c r="GC54" s="312">
        <v>0</v>
      </c>
      <c r="GD54" s="622">
        <f t="shared" si="60"/>
        <v>0</v>
      </c>
      <c r="GE54" s="312">
        <v>0</v>
      </c>
      <c r="GF54" s="312">
        <v>0</v>
      </c>
      <c r="GG54" s="622">
        <f t="shared" si="61"/>
        <v>0</v>
      </c>
      <c r="GH54" s="312">
        <v>1</v>
      </c>
      <c r="GI54" s="312">
        <v>0</v>
      </c>
      <c r="GJ54" s="622">
        <f t="shared" si="62"/>
        <v>1</v>
      </c>
      <c r="GK54" s="312">
        <v>22</v>
      </c>
      <c r="GL54" s="312">
        <v>19</v>
      </c>
      <c r="GM54" s="622">
        <f t="shared" si="63"/>
        <v>41</v>
      </c>
      <c r="GN54" s="312">
        <v>78</v>
      </c>
      <c r="GO54" s="312">
        <v>265</v>
      </c>
      <c r="GP54" s="622">
        <f t="shared" si="64"/>
        <v>343</v>
      </c>
      <c r="GQ54" s="312">
        <v>1</v>
      </c>
      <c r="GR54" s="312">
        <v>0</v>
      </c>
      <c r="GS54" s="622">
        <f t="shared" si="65"/>
        <v>1</v>
      </c>
      <c r="GT54" s="312">
        <v>9</v>
      </c>
      <c r="GU54" s="312">
        <v>2</v>
      </c>
      <c r="GV54" s="622">
        <f t="shared" si="66"/>
        <v>11</v>
      </c>
      <c r="GW54" s="312">
        <v>1</v>
      </c>
      <c r="GX54" s="312">
        <v>2</v>
      </c>
      <c r="GY54" s="622">
        <f t="shared" si="67"/>
        <v>3</v>
      </c>
      <c r="GZ54" s="312">
        <v>1</v>
      </c>
      <c r="HA54" s="312">
        <v>0</v>
      </c>
      <c r="HB54" s="622">
        <f t="shared" si="68"/>
        <v>1</v>
      </c>
      <c r="HC54" s="312">
        <v>2</v>
      </c>
      <c r="HD54" s="312">
        <v>0</v>
      </c>
      <c r="HE54" s="622">
        <f t="shared" si="69"/>
        <v>2</v>
      </c>
      <c r="HF54" s="312">
        <v>6</v>
      </c>
      <c r="HG54" s="312">
        <v>2</v>
      </c>
      <c r="HH54" s="622">
        <f t="shared" si="70"/>
        <v>8</v>
      </c>
      <c r="HI54" s="312">
        <v>25</v>
      </c>
      <c r="HJ54" s="312">
        <v>39</v>
      </c>
      <c r="HK54" s="622">
        <f t="shared" si="71"/>
        <v>64</v>
      </c>
      <c r="HL54" s="312">
        <v>0</v>
      </c>
      <c r="HM54" s="312">
        <v>29</v>
      </c>
      <c r="HN54" s="622">
        <f t="shared" si="72"/>
        <v>29</v>
      </c>
      <c r="HO54" s="312">
        <v>3</v>
      </c>
      <c r="HP54" s="312">
        <v>34</v>
      </c>
      <c r="HQ54" s="622">
        <f t="shared" si="73"/>
        <v>37</v>
      </c>
      <c r="HR54" s="312">
        <v>0</v>
      </c>
      <c r="HS54" s="312">
        <v>5</v>
      </c>
      <c r="HT54" s="622">
        <f t="shared" si="74"/>
        <v>5</v>
      </c>
      <c r="HU54" s="312">
        <v>0</v>
      </c>
      <c r="HV54" s="312">
        <v>1</v>
      </c>
      <c r="HW54" s="622">
        <f t="shared" si="75"/>
        <v>1</v>
      </c>
      <c r="HX54" s="312">
        <v>0</v>
      </c>
      <c r="HY54" s="312">
        <v>0</v>
      </c>
      <c r="HZ54" s="622">
        <f t="shared" si="76"/>
        <v>0</v>
      </c>
      <c r="IA54" s="312">
        <v>0</v>
      </c>
      <c r="IB54" s="312">
        <v>1</v>
      </c>
      <c r="IC54" s="622">
        <f t="shared" si="77"/>
        <v>1</v>
      </c>
      <c r="ID54" s="312">
        <v>13</v>
      </c>
      <c r="IE54" s="312">
        <v>2</v>
      </c>
      <c r="IF54" s="622">
        <f t="shared" si="78"/>
        <v>15</v>
      </c>
      <c r="IG54" s="312">
        <v>1</v>
      </c>
      <c r="IH54" s="312">
        <v>0</v>
      </c>
      <c r="II54" s="622">
        <f t="shared" si="79"/>
        <v>1</v>
      </c>
      <c r="IJ54" s="312">
        <v>40</v>
      </c>
      <c r="IK54" s="312">
        <v>0</v>
      </c>
      <c r="IL54" s="622">
        <f t="shared" si="80"/>
        <v>40</v>
      </c>
      <c r="IM54" s="312">
        <v>0</v>
      </c>
      <c r="IN54" s="312">
        <v>0</v>
      </c>
      <c r="IO54" s="622">
        <f t="shared" si="81"/>
        <v>0</v>
      </c>
      <c r="IP54" s="312">
        <v>0</v>
      </c>
      <c r="IQ54" s="312">
        <v>0</v>
      </c>
      <c r="IR54" s="622">
        <f t="shared" si="82"/>
        <v>0</v>
      </c>
      <c r="IS54" s="312">
        <v>116</v>
      </c>
      <c r="IT54" s="312">
        <v>26</v>
      </c>
      <c r="IU54" s="622">
        <f t="shared" si="83"/>
        <v>142</v>
      </c>
      <c r="IV54" s="312">
        <v>2</v>
      </c>
      <c r="IW54" s="312">
        <v>0</v>
      </c>
      <c r="IX54" s="622">
        <f t="shared" si="84"/>
        <v>2</v>
      </c>
      <c r="IY54" s="312">
        <v>0</v>
      </c>
      <c r="IZ54" s="312">
        <v>0</v>
      </c>
      <c r="JA54" s="622">
        <f t="shared" si="85"/>
        <v>0</v>
      </c>
      <c r="JB54" s="312">
        <v>0</v>
      </c>
      <c r="JC54" s="312">
        <v>0</v>
      </c>
      <c r="JD54" s="622">
        <f t="shared" si="86"/>
        <v>0</v>
      </c>
      <c r="JE54" s="312">
        <v>2889</v>
      </c>
      <c r="JF54" s="312">
        <v>576</v>
      </c>
      <c r="JG54" s="622">
        <f t="shared" si="87"/>
        <v>3465</v>
      </c>
      <c r="JH54" s="312">
        <v>1</v>
      </c>
      <c r="JI54" s="312">
        <v>2</v>
      </c>
      <c r="JJ54" s="622">
        <f t="shared" si="88"/>
        <v>3</v>
      </c>
      <c r="JK54" s="312">
        <v>0</v>
      </c>
      <c r="JL54" s="312">
        <v>0</v>
      </c>
      <c r="JM54" s="622">
        <f t="shared" si="89"/>
        <v>0</v>
      </c>
      <c r="JN54" s="312">
        <v>0</v>
      </c>
      <c r="JO54" s="312">
        <v>0</v>
      </c>
      <c r="JP54" s="622">
        <f t="shared" si="90"/>
        <v>0</v>
      </c>
      <c r="JQ54" s="312">
        <v>0</v>
      </c>
      <c r="JR54" s="312">
        <v>0</v>
      </c>
      <c r="JS54" s="622">
        <f t="shared" si="91"/>
        <v>0</v>
      </c>
      <c r="JT54" s="312">
        <v>0</v>
      </c>
      <c r="JU54" s="312">
        <v>0</v>
      </c>
      <c r="JV54" s="622">
        <f t="shared" si="92"/>
        <v>0</v>
      </c>
      <c r="JW54" s="312">
        <v>0</v>
      </c>
      <c r="JX54" s="312">
        <v>0</v>
      </c>
      <c r="JY54" s="622">
        <f t="shared" si="93"/>
        <v>0</v>
      </c>
      <c r="JZ54" s="312">
        <v>0</v>
      </c>
      <c r="KA54" s="312">
        <v>0</v>
      </c>
      <c r="KB54" s="622">
        <f t="shared" si="94"/>
        <v>0</v>
      </c>
      <c r="KC54" s="312">
        <v>0</v>
      </c>
      <c r="KD54" s="312">
        <v>0</v>
      </c>
      <c r="KE54" s="622">
        <f t="shared" si="95"/>
        <v>0</v>
      </c>
      <c r="KF54" s="312">
        <v>0</v>
      </c>
      <c r="KG54" s="312">
        <v>0</v>
      </c>
      <c r="KH54" s="622">
        <f t="shared" si="96"/>
        <v>0</v>
      </c>
      <c r="KI54" s="312">
        <v>0</v>
      </c>
      <c r="KJ54" s="312">
        <v>0</v>
      </c>
      <c r="KK54" s="622">
        <f t="shared" si="97"/>
        <v>0</v>
      </c>
      <c r="KL54" s="622">
        <v>0</v>
      </c>
      <c r="KM54" s="622">
        <v>0</v>
      </c>
      <c r="KN54" s="622">
        <f t="shared" si="98"/>
        <v>0</v>
      </c>
      <c r="KO54" s="622">
        <v>0</v>
      </c>
      <c r="KP54" s="622">
        <v>0</v>
      </c>
      <c r="KQ54" s="622">
        <f t="shared" si="99"/>
        <v>0</v>
      </c>
      <c r="KR54" s="622">
        <v>0</v>
      </c>
      <c r="KS54" s="622">
        <v>0</v>
      </c>
      <c r="KT54" s="622">
        <f t="shared" si="100"/>
        <v>0</v>
      </c>
      <c r="KU54" s="622">
        <v>0</v>
      </c>
      <c r="KV54" s="622">
        <v>0</v>
      </c>
      <c r="KW54" s="622">
        <f t="shared" si="101"/>
        <v>0</v>
      </c>
      <c r="KX54" s="622">
        <v>0</v>
      </c>
      <c r="KY54" s="622">
        <v>0</v>
      </c>
      <c r="KZ54" s="622">
        <f t="shared" si="102"/>
        <v>0</v>
      </c>
      <c r="LA54" s="622">
        <v>0</v>
      </c>
      <c r="LB54" s="622">
        <v>0</v>
      </c>
      <c r="LC54" s="622">
        <f t="shared" si="103"/>
        <v>0</v>
      </c>
      <c r="LD54" s="622">
        <v>0</v>
      </c>
      <c r="LE54" s="622">
        <v>0</v>
      </c>
      <c r="LF54" s="622">
        <f t="shared" si="104"/>
        <v>0</v>
      </c>
      <c r="LG54" s="622">
        <v>0</v>
      </c>
      <c r="LH54" s="622">
        <v>0</v>
      </c>
      <c r="LI54" s="622">
        <f t="shared" si="105"/>
        <v>0</v>
      </c>
      <c r="LJ54" s="312">
        <v>0</v>
      </c>
      <c r="LK54" s="312">
        <v>0</v>
      </c>
      <c r="LL54" s="689">
        <f t="shared" si="106"/>
        <v>0</v>
      </c>
    </row>
    <row r="55" spans="1:324" x14ac:dyDescent="0.35">
      <c r="A55" s="688">
        <v>4</v>
      </c>
      <c r="B55" s="375" t="s">
        <v>303</v>
      </c>
      <c r="C55" s="431" t="s">
        <v>118</v>
      </c>
      <c r="D55" s="312">
        <v>4320</v>
      </c>
      <c r="E55" s="312">
        <v>4132</v>
      </c>
      <c r="F55" s="622">
        <f t="shared" si="0"/>
        <v>8452</v>
      </c>
      <c r="G55" s="312">
        <v>3</v>
      </c>
      <c r="H55" s="312">
        <v>6810</v>
      </c>
      <c r="I55" s="622">
        <f t="shared" si="1"/>
        <v>6813</v>
      </c>
      <c r="J55" s="312">
        <v>4646</v>
      </c>
      <c r="K55" s="312">
        <v>4261</v>
      </c>
      <c r="L55" s="622">
        <f t="shared" si="2"/>
        <v>8907</v>
      </c>
      <c r="M55" s="312">
        <v>139</v>
      </c>
      <c r="N55" s="312">
        <v>56</v>
      </c>
      <c r="O55" s="622">
        <f t="shared" si="3"/>
        <v>195</v>
      </c>
      <c r="P55" s="312">
        <v>410</v>
      </c>
      <c r="Q55" s="312">
        <v>226</v>
      </c>
      <c r="R55" s="622">
        <f t="shared" si="4"/>
        <v>636</v>
      </c>
      <c r="S55" s="312">
        <v>88</v>
      </c>
      <c r="T55" s="312">
        <v>6</v>
      </c>
      <c r="U55" s="622">
        <f t="shared" si="5"/>
        <v>94</v>
      </c>
      <c r="V55" s="312">
        <v>40</v>
      </c>
      <c r="W55" s="312">
        <v>3</v>
      </c>
      <c r="X55" s="622">
        <f t="shared" si="6"/>
        <v>43</v>
      </c>
      <c r="Y55" s="312">
        <v>128</v>
      </c>
      <c r="Z55" s="312">
        <v>16</v>
      </c>
      <c r="AA55" s="622">
        <f t="shared" si="7"/>
        <v>144</v>
      </c>
      <c r="AB55" s="312">
        <v>61</v>
      </c>
      <c r="AC55" s="312">
        <v>6</v>
      </c>
      <c r="AD55" s="622">
        <f t="shared" si="8"/>
        <v>67</v>
      </c>
      <c r="AE55" s="312">
        <v>2</v>
      </c>
      <c r="AF55" s="312">
        <v>0</v>
      </c>
      <c r="AG55" s="622">
        <f t="shared" si="9"/>
        <v>2</v>
      </c>
      <c r="AH55" s="312">
        <v>2</v>
      </c>
      <c r="AI55" s="312">
        <v>0</v>
      </c>
      <c r="AJ55" s="622">
        <f t="shared" si="10"/>
        <v>2</v>
      </c>
      <c r="AK55" s="312">
        <v>19</v>
      </c>
      <c r="AL55" s="312">
        <v>5</v>
      </c>
      <c r="AM55" s="622">
        <f t="shared" si="11"/>
        <v>24</v>
      </c>
      <c r="AN55" s="312">
        <v>23</v>
      </c>
      <c r="AO55" s="312">
        <v>0</v>
      </c>
      <c r="AP55" s="622">
        <f t="shared" si="12"/>
        <v>23</v>
      </c>
      <c r="AQ55" s="312">
        <v>28</v>
      </c>
      <c r="AR55" s="312">
        <v>0</v>
      </c>
      <c r="AS55" s="622">
        <f t="shared" si="13"/>
        <v>28</v>
      </c>
      <c r="AT55" s="312">
        <v>5560</v>
      </c>
      <c r="AU55" s="312">
        <v>2468</v>
      </c>
      <c r="AV55" s="622">
        <f t="shared" si="14"/>
        <v>8028</v>
      </c>
      <c r="AW55" s="312">
        <v>146</v>
      </c>
      <c r="AX55" s="312">
        <v>73</v>
      </c>
      <c r="AY55" s="622">
        <f t="shared" si="15"/>
        <v>219</v>
      </c>
      <c r="AZ55" s="312">
        <v>2</v>
      </c>
      <c r="BA55" s="312">
        <v>3</v>
      </c>
      <c r="BB55" s="622">
        <f t="shared" si="16"/>
        <v>5</v>
      </c>
      <c r="BC55" s="312">
        <v>34</v>
      </c>
      <c r="BD55" s="312">
        <v>12</v>
      </c>
      <c r="BE55" s="622">
        <f t="shared" si="17"/>
        <v>46</v>
      </c>
      <c r="BF55" s="312">
        <v>449</v>
      </c>
      <c r="BG55" s="312">
        <v>12</v>
      </c>
      <c r="BH55" s="622">
        <f t="shared" si="18"/>
        <v>461</v>
      </c>
      <c r="BI55" s="312">
        <v>16</v>
      </c>
      <c r="BJ55" s="312">
        <v>0</v>
      </c>
      <c r="BK55" s="622">
        <f t="shared" si="19"/>
        <v>16</v>
      </c>
      <c r="BL55" s="312">
        <v>0</v>
      </c>
      <c r="BM55" s="312">
        <v>0</v>
      </c>
      <c r="BN55" s="622">
        <f t="shared" si="20"/>
        <v>0</v>
      </c>
      <c r="BO55" s="312">
        <v>4</v>
      </c>
      <c r="BP55" s="312">
        <v>0</v>
      </c>
      <c r="BQ55" s="622">
        <f t="shared" si="21"/>
        <v>4</v>
      </c>
      <c r="BR55" s="312">
        <v>1</v>
      </c>
      <c r="BS55" s="312">
        <v>11</v>
      </c>
      <c r="BT55" s="622">
        <f t="shared" si="22"/>
        <v>12</v>
      </c>
      <c r="BU55" s="312">
        <v>0</v>
      </c>
      <c r="BV55" s="312">
        <v>0</v>
      </c>
      <c r="BW55" s="622">
        <f t="shared" si="23"/>
        <v>0</v>
      </c>
      <c r="BX55" s="312">
        <v>1</v>
      </c>
      <c r="BY55" s="312">
        <v>0</v>
      </c>
      <c r="BZ55" s="622">
        <f t="shared" si="24"/>
        <v>1</v>
      </c>
      <c r="CA55" s="312">
        <v>3</v>
      </c>
      <c r="CB55" s="312">
        <v>0</v>
      </c>
      <c r="CC55" s="622">
        <f t="shared" si="25"/>
        <v>3</v>
      </c>
      <c r="CD55" s="312">
        <v>2</v>
      </c>
      <c r="CE55" s="312">
        <v>0</v>
      </c>
      <c r="CF55" s="622">
        <f t="shared" si="26"/>
        <v>2</v>
      </c>
      <c r="CG55" s="312">
        <v>0</v>
      </c>
      <c r="CH55" s="312">
        <v>0</v>
      </c>
      <c r="CI55" s="622">
        <f t="shared" si="27"/>
        <v>0</v>
      </c>
      <c r="CJ55" s="312">
        <v>1</v>
      </c>
      <c r="CK55" s="312">
        <v>0</v>
      </c>
      <c r="CL55" s="622">
        <f t="shared" si="28"/>
        <v>1</v>
      </c>
      <c r="CM55" s="312">
        <v>1</v>
      </c>
      <c r="CN55" s="312">
        <v>1</v>
      </c>
      <c r="CO55" s="622">
        <f t="shared" si="29"/>
        <v>2</v>
      </c>
      <c r="CP55" s="312">
        <v>0</v>
      </c>
      <c r="CQ55" s="312">
        <v>0</v>
      </c>
      <c r="CR55" s="622">
        <f t="shared" si="30"/>
        <v>0</v>
      </c>
      <c r="CS55" s="312">
        <v>0</v>
      </c>
      <c r="CT55" s="312">
        <v>2</v>
      </c>
      <c r="CU55" s="622">
        <f t="shared" si="31"/>
        <v>2</v>
      </c>
      <c r="CV55" s="312">
        <v>0</v>
      </c>
      <c r="CW55" s="312">
        <v>0</v>
      </c>
      <c r="CX55" s="622">
        <f t="shared" si="32"/>
        <v>0</v>
      </c>
      <c r="CY55" s="312">
        <v>0</v>
      </c>
      <c r="CZ55" s="312">
        <v>0</v>
      </c>
      <c r="DA55" s="622">
        <f t="shared" si="33"/>
        <v>0</v>
      </c>
      <c r="DB55" s="312">
        <v>9</v>
      </c>
      <c r="DC55" s="312">
        <v>0</v>
      </c>
      <c r="DD55" s="622">
        <f t="shared" si="34"/>
        <v>9</v>
      </c>
      <c r="DE55" s="312">
        <v>8</v>
      </c>
      <c r="DF55" s="312">
        <v>3</v>
      </c>
      <c r="DG55" s="622">
        <f t="shared" si="35"/>
        <v>11</v>
      </c>
      <c r="DH55" s="312">
        <v>1</v>
      </c>
      <c r="DI55" s="312">
        <v>0</v>
      </c>
      <c r="DJ55" s="622">
        <f t="shared" si="36"/>
        <v>1</v>
      </c>
      <c r="DK55" s="312">
        <v>0</v>
      </c>
      <c r="DL55" s="312">
        <v>0</v>
      </c>
      <c r="DM55" s="622">
        <f t="shared" si="37"/>
        <v>0</v>
      </c>
      <c r="DN55" s="312">
        <v>0</v>
      </c>
      <c r="DO55" s="312">
        <v>0</v>
      </c>
      <c r="DP55" s="622">
        <f t="shared" si="38"/>
        <v>0</v>
      </c>
      <c r="DQ55" s="312">
        <v>0</v>
      </c>
      <c r="DR55" s="312">
        <v>0</v>
      </c>
      <c r="DS55" s="622">
        <f t="shared" si="39"/>
        <v>0</v>
      </c>
      <c r="DT55" s="312">
        <v>0</v>
      </c>
      <c r="DU55" s="312">
        <v>0</v>
      </c>
      <c r="DV55" s="622">
        <f t="shared" si="40"/>
        <v>0</v>
      </c>
      <c r="DW55" s="312">
        <v>2</v>
      </c>
      <c r="DX55" s="312">
        <v>5</v>
      </c>
      <c r="DY55" s="622">
        <f t="shared" si="41"/>
        <v>7</v>
      </c>
      <c r="DZ55" s="312">
        <v>0</v>
      </c>
      <c r="EA55" s="312">
        <v>0</v>
      </c>
      <c r="EB55" s="622">
        <f t="shared" si="42"/>
        <v>0</v>
      </c>
      <c r="EC55" s="312">
        <v>12</v>
      </c>
      <c r="ED55" s="312">
        <v>0</v>
      </c>
      <c r="EE55" s="622">
        <f t="shared" si="43"/>
        <v>12</v>
      </c>
      <c r="EF55" s="312">
        <v>3</v>
      </c>
      <c r="EG55" s="312">
        <v>0</v>
      </c>
      <c r="EH55" s="622">
        <f t="shared" si="44"/>
        <v>3</v>
      </c>
      <c r="EI55" s="312">
        <v>0</v>
      </c>
      <c r="EJ55" s="312">
        <v>1</v>
      </c>
      <c r="EK55" s="622">
        <f t="shared" si="45"/>
        <v>1</v>
      </c>
      <c r="EL55" s="312">
        <v>0</v>
      </c>
      <c r="EM55" s="312">
        <v>0</v>
      </c>
      <c r="EN55" s="622">
        <f t="shared" si="46"/>
        <v>0</v>
      </c>
      <c r="EO55" s="312">
        <v>0</v>
      </c>
      <c r="EP55" s="312">
        <v>0</v>
      </c>
      <c r="EQ55" s="622">
        <f t="shared" si="47"/>
        <v>0</v>
      </c>
      <c r="ER55" s="312">
        <v>0</v>
      </c>
      <c r="ES55" s="312">
        <v>0</v>
      </c>
      <c r="ET55" s="622">
        <f t="shared" si="48"/>
        <v>0</v>
      </c>
      <c r="EU55" s="312">
        <v>0</v>
      </c>
      <c r="EV55" s="312">
        <v>0</v>
      </c>
      <c r="EW55" s="622">
        <f t="shared" si="49"/>
        <v>0</v>
      </c>
      <c r="EX55" s="312">
        <v>0</v>
      </c>
      <c r="EY55" s="312">
        <v>0</v>
      </c>
      <c r="EZ55" s="622">
        <f t="shared" si="50"/>
        <v>0</v>
      </c>
      <c r="FA55" s="312">
        <v>0</v>
      </c>
      <c r="FB55" s="312">
        <v>0</v>
      </c>
      <c r="FC55" s="622">
        <f t="shared" si="51"/>
        <v>0</v>
      </c>
      <c r="FD55" s="312">
        <v>0</v>
      </c>
      <c r="FE55" s="312">
        <v>0</v>
      </c>
      <c r="FF55" s="622">
        <f t="shared" si="52"/>
        <v>0</v>
      </c>
      <c r="FG55" s="312">
        <v>0</v>
      </c>
      <c r="FH55" s="312">
        <v>0</v>
      </c>
      <c r="FI55" s="622">
        <f t="shared" si="53"/>
        <v>0</v>
      </c>
      <c r="FJ55" s="312">
        <v>0</v>
      </c>
      <c r="FK55" s="312">
        <v>0</v>
      </c>
      <c r="FL55" s="622">
        <f t="shared" si="54"/>
        <v>0</v>
      </c>
      <c r="FM55" s="312">
        <v>0</v>
      </c>
      <c r="FN55" s="312">
        <v>0</v>
      </c>
      <c r="FO55" s="622">
        <f t="shared" si="55"/>
        <v>0</v>
      </c>
      <c r="FP55" s="312">
        <v>0</v>
      </c>
      <c r="FQ55" s="312">
        <v>0</v>
      </c>
      <c r="FR55" s="622">
        <f t="shared" si="56"/>
        <v>0</v>
      </c>
      <c r="FS55" s="312">
        <v>0</v>
      </c>
      <c r="FT55" s="312">
        <v>0</v>
      </c>
      <c r="FU55" s="622">
        <f t="shared" si="57"/>
        <v>0</v>
      </c>
      <c r="FV55" s="312">
        <v>0</v>
      </c>
      <c r="FW55" s="312">
        <v>0</v>
      </c>
      <c r="FX55" s="622">
        <f t="shared" si="58"/>
        <v>0</v>
      </c>
      <c r="FY55" s="312">
        <v>0</v>
      </c>
      <c r="FZ55" s="312">
        <v>0</v>
      </c>
      <c r="GA55" s="622">
        <f t="shared" si="59"/>
        <v>0</v>
      </c>
      <c r="GB55" s="312">
        <v>0</v>
      </c>
      <c r="GC55" s="312">
        <v>0</v>
      </c>
      <c r="GD55" s="622">
        <f t="shared" si="60"/>
        <v>0</v>
      </c>
      <c r="GE55" s="312">
        <v>0</v>
      </c>
      <c r="GF55" s="312">
        <v>0</v>
      </c>
      <c r="GG55" s="622">
        <f t="shared" si="61"/>
        <v>0</v>
      </c>
      <c r="GH55" s="312">
        <v>2</v>
      </c>
      <c r="GI55" s="312">
        <v>0</v>
      </c>
      <c r="GJ55" s="622">
        <f t="shared" si="62"/>
        <v>2</v>
      </c>
      <c r="GK55" s="312">
        <v>33</v>
      </c>
      <c r="GL55" s="312">
        <v>20</v>
      </c>
      <c r="GM55" s="622">
        <f t="shared" si="63"/>
        <v>53</v>
      </c>
      <c r="GN55" s="312">
        <v>173</v>
      </c>
      <c r="GO55" s="312">
        <v>376</v>
      </c>
      <c r="GP55" s="622">
        <f t="shared" si="64"/>
        <v>549</v>
      </c>
      <c r="GQ55" s="312">
        <v>7</v>
      </c>
      <c r="GR55" s="312">
        <v>1</v>
      </c>
      <c r="GS55" s="622">
        <f t="shared" si="65"/>
        <v>8</v>
      </c>
      <c r="GT55" s="312">
        <v>9</v>
      </c>
      <c r="GU55" s="312">
        <v>3</v>
      </c>
      <c r="GV55" s="622">
        <f t="shared" si="66"/>
        <v>12</v>
      </c>
      <c r="GW55" s="312">
        <v>0</v>
      </c>
      <c r="GX55" s="312">
        <v>0</v>
      </c>
      <c r="GY55" s="622">
        <f t="shared" si="67"/>
        <v>0</v>
      </c>
      <c r="GZ55" s="312">
        <v>1</v>
      </c>
      <c r="HA55" s="312">
        <v>1</v>
      </c>
      <c r="HB55" s="622">
        <f t="shared" si="68"/>
        <v>2</v>
      </c>
      <c r="HC55" s="312">
        <v>0</v>
      </c>
      <c r="HD55" s="312">
        <v>0</v>
      </c>
      <c r="HE55" s="622">
        <f t="shared" si="69"/>
        <v>0</v>
      </c>
      <c r="HF55" s="312">
        <v>4</v>
      </c>
      <c r="HG55" s="312">
        <v>0</v>
      </c>
      <c r="HH55" s="622">
        <f t="shared" si="70"/>
        <v>4</v>
      </c>
      <c r="HI55" s="312">
        <v>7</v>
      </c>
      <c r="HJ55" s="312">
        <v>43</v>
      </c>
      <c r="HK55" s="622">
        <f t="shared" si="71"/>
        <v>50</v>
      </c>
      <c r="HL55" s="312">
        <v>0</v>
      </c>
      <c r="HM55" s="312">
        <v>31</v>
      </c>
      <c r="HN55" s="622">
        <f t="shared" si="72"/>
        <v>31</v>
      </c>
      <c r="HO55" s="312">
        <v>14</v>
      </c>
      <c r="HP55" s="312">
        <v>46</v>
      </c>
      <c r="HQ55" s="622">
        <f t="shared" si="73"/>
        <v>60</v>
      </c>
      <c r="HR55" s="312">
        <v>1</v>
      </c>
      <c r="HS55" s="312">
        <v>5</v>
      </c>
      <c r="HT55" s="622">
        <f t="shared" si="74"/>
        <v>6</v>
      </c>
      <c r="HU55" s="312">
        <v>0</v>
      </c>
      <c r="HV55" s="312">
        <v>1</v>
      </c>
      <c r="HW55" s="622">
        <f t="shared" si="75"/>
        <v>1</v>
      </c>
      <c r="HX55" s="312">
        <v>0</v>
      </c>
      <c r="HY55" s="312">
        <v>0</v>
      </c>
      <c r="HZ55" s="622">
        <f t="shared" si="76"/>
        <v>0</v>
      </c>
      <c r="IA55" s="312">
        <v>0</v>
      </c>
      <c r="IB55" s="312">
        <v>0</v>
      </c>
      <c r="IC55" s="622">
        <f t="shared" si="77"/>
        <v>0</v>
      </c>
      <c r="ID55" s="312">
        <v>4</v>
      </c>
      <c r="IE55" s="312">
        <v>0</v>
      </c>
      <c r="IF55" s="622">
        <f t="shared" si="78"/>
        <v>4</v>
      </c>
      <c r="IG55" s="312">
        <v>0</v>
      </c>
      <c r="IH55" s="312">
        <v>0</v>
      </c>
      <c r="II55" s="622">
        <f t="shared" si="79"/>
        <v>0</v>
      </c>
      <c r="IJ55" s="312">
        <v>37</v>
      </c>
      <c r="IK55" s="312">
        <v>0</v>
      </c>
      <c r="IL55" s="622">
        <f t="shared" si="80"/>
        <v>37</v>
      </c>
      <c r="IM55" s="312">
        <v>1</v>
      </c>
      <c r="IN55" s="312">
        <v>0</v>
      </c>
      <c r="IO55" s="622">
        <f t="shared" si="81"/>
        <v>1</v>
      </c>
      <c r="IP55" s="312">
        <v>0</v>
      </c>
      <c r="IQ55" s="312">
        <v>0</v>
      </c>
      <c r="IR55" s="622">
        <f t="shared" si="82"/>
        <v>0</v>
      </c>
      <c r="IS55" s="312">
        <v>99</v>
      </c>
      <c r="IT55" s="312">
        <v>30</v>
      </c>
      <c r="IU55" s="622">
        <f t="shared" si="83"/>
        <v>129</v>
      </c>
      <c r="IV55" s="312">
        <v>0</v>
      </c>
      <c r="IW55" s="312">
        <v>0</v>
      </c>
      <c r="IX55" s="622">
        <f t="shared" si="84"/>
        <v>0</v>
      </c>
      <c r="IY55" s="312">
        <v>0</v>
      </c>
      <c r="IZ55" s="312">
        <v>0</v>
      </c>
      <c r="JA55" s="622">
        <f t="shared" si="85"/>
        <v>0</v>
      </c>
      <c r="JB55" s="312">
        <v>0</v>
      </c>
      <c r="JC55" s="312">
        <v>0</v>
      </c>
      <c r="JD55" s="622">
        <f t="shared" si="86"/>
        <v>0</v>
      </c>
      <c r="JE55" s="312">
        <v>2116</v>
      </c>
      <c r="JF55" s="312">
        <v>313</v>
      </c>
      <c r="JG55" s="622">
        <f t="shared" si="87"/>
        <v>2429</v>
      </c>
      <c r="JH55" s="312">
        <v>1</v>
      </c>
      <c r="JI55" s="312">
        <v>0</v>
      </c>
      <c r="JJ55" s="622">
        <f t="shared" si="88"/>
        <v>1</v>
      </c>
      <c r="JK55" s="312">
        <v>0</v>
      </c>
      <c r="JL55" s="312">
        <v>0</v>
      </c>
      <c r="JM55" s="622">
        <f t="shared" si="89"/>
        <v>0</v>
      </c>
      <c r="JN55" s="312">
        <v>0</v>
      </c>
      <c r="JO55" s="312">
        <v>0</v>
      </c>
      <c r="JP55" s="622">
        <f t="shared" si="90"/>
        <v>0</v>
      </c>
      <c r="JQ55" s="312">
        <v>0</v>
      </c>
      <c r="JR55" s="312">
        <v>0</v>
      </c>
      <c r="JS55" s="622">
        <f t="shared" si="91"/>
        <v>0</v>
      </c>
      <c r="JT55" s="312">
        <v>0</v>
      </c>
      <c r="JU55" s="312">
        <v>0</v>
      </c>
      <c r="JV55" s="622">
        <f t="shared" si="92"/>
        <v>0</v>
      </c>
      <c r="JW55" s="312">
        <v>0</v>
      </c>
      <c r="JX55" s="312">
        <v>0</v>
      </c>
      <c r="JY55" s="622">
        <f t="shared" si="93"/>
        <v>0</v>
      </c>
      <c r="JZ55" s="312">
        <v>0</v>
      </c>
      <c r="KA55" s="312">
        <v>0</v>
      </c>
      <c r="KB55" s="622">
        <f t="shared" si="94"/>
        <v>0</v>
      </c>
      <c r="KC55" s="312">
        <v>0</v>
      </c>
      <c r="KD55" s="312">
        <v>0</v>
      </c>
      <c r="KE55" s="622">
        <f t="shared" si="95"/>
        <v>0</v>
      </c>
      <c r="KF55" s="312">
        <v>0</v>
      </c>
      <c r="KG55" s="312">
        <v>0</v>
      </c>
      <c r="KH55" s="622">
        <f t="shared" si="96"/>
        <v>0</v>
      </c>
      <c r="KI55" s="312">
        <v>0</v>
      </c>
      <c r="KJ55" s="312">
        <v>0</v>
      </c>
      <c r="KK55" s="622">
        <f t="shared" si="97"/>
        <v>0</v>
      </c>
      <c r="KL55" s="622">
        <v>0</v>
      </c>
      <c r="KM55" s="622">
        <v>0</v>
      </c>
      <c r="KN55" s="622">
        <f t="shared" si="98"/>
        <v>0</v>
      </c>
      <c r="KO55" s="622">
        <v>0</v>
      </c>
      <c r="KP55" s="622">
        <v>0</v>
      </c>
      <c r="KQ55" s="622">
        <f t="shared" si="99"/>
        <v>0</v>
      </c>
      <c r="KR55" s="622">
        <v>0</v>
      </c>
      <c r="KS55" s="622">
        <v>0</v>
      </c>
      <c r="KT55" s="622">
        <f t="shared" si="100"/>
        <v>0</v>
      </c>
      <c r="KU55" s="622">
        <v>0</v>
      </c>
      <c r="KV55" s="622">
        <v>0</v>
      </c>
      <c r="KW55" s="622">
        <f t="shared" si="101"/>
        <v>0</v>
      </c>
      <c r="KX55" s="622">
        <v>0</v>
      </c>
      <c r="KY55" s="622">
        <v>0</v>
      </c>
      <c r="KZ55" s="622">
        <f t="shared" si="102"/>
        <v>0</v>
      </c>
      <c r="LA55" s="622">
        <v>0</v>
      </c>
      <c r="LB55" s="622">
        <v>0</v>
      </c>
      <c r="LC55" s="622">
        <f t="shared" si="103"/>
        <v>0</v>
      </c>
      <c r="LD55" s="622">
        <v>0</v>
      </c>
      <c r="LE55" s="622">
        <v>0</v>
      </c>
      <c r="LF55" s="622">
        <f t="shared" si="104"/>
        <v>0</v>
      </c>
      <c r="LG55" s="622">
        <v>0</v>
      </c>
      <c r="LH55" s="622">
        <v>0</v>
      </c>
      <c r="LI55" s="622">
        <f t="shared" si="105"/>
        <v>0</v>
      </c>
      <c r="LJ55" s="312">
        <v>0</v>
      </c>
      <c r="LK55" s="312">
        <v>0</v>
      </c>
      <c r="LL55" s="689">
        <f t="shared" si="106"/>
        <v>0</v>
      </c>
    </row>
    <row r="56" spans="1:324" ht="15" thickBot="1" x14ac:dyDescent="0.4">
      <c r="A56" s="690">
        <v>4</v>
      </c>
      <c r="B56" s="379" t="s">
        <v>304</v>
      </c>
      <c r="C56" s="434" t="s">
        <v>120</v>
      </c>
      <c r="D56" s="318">
        <v>4513</v>
      </c>
      <c r="E56" s="318">
        <v>4277</v>
      </c>
      <c r="F56" s="691">
        <f t="shared" si="0"/>
        <v>8790</v>
      </c>
      <c r="G56" s="318">
        <v>5</v>
      </c>
      <c r="H56" s="318">
        <v>7759</v>
      </c>
      <c r="I56" s="691">
        <f t="shared" si="1"/>
        <v>7764</v>
      </c>
      <c r="J56" s="318">
        <v>6220</v>
      </c>
      <c r="K56" s="318">
        <v>5306</v>
      </c>
      <c r="L56" s="691">
        <f t="shared" si="2"/>
        <v>11526</v>
      </c>
      <c r="M56" s="318">
        <v>317</v>
      </c>
      <c r="N56" s="318">
        <v>80</v>
      </c>
      <c r="O56" s="691">
        <f t="shared" si="3"/>
        <v>397</v>
      </c>
      <c r="P56" s="318">
        <v>447</v>
      </c>
      <c r="Q56" s="318">
        <v>316</v>
      </c>
      <c r="R56" s="691">
        <f t="shared" si="4"/>
        <v>763</v>
      </c>
      <c r="S56" s="318">
        <v>448</v>
      </c>
      <c r="T56" s="318">
        <v>65</v>
      </c>
      <c r="U56" s="691">
        <f t="shared" si="5"/>
        <v>513</v>
      </c>
      <c r="V56" s="318">
        <v>116</v>
      </c>
      <c r="W56" s="318">
        <v>16</v>
      </c>
      <c r="X56" s="691">
        <f t="shared" si="6"/>
        <v>132</v>
      </c>
      <c r="Y56" s="318">
        <v>190</v>
      </c>
      <c r="Z56" s="318">
        <v>50</v>
      </c>
      <c r="AA56" s="691">
        <f t="shared" si="7"/>
        <v>240</v>
      </c>
      <c r="AB56" s="318">
        <v>63</v>
      </c>
      <c r="AC56" s="318">
        <v>7</v>
      </c>
      <c r="AD56" s="691">
        <f t="shared" si="8"/>
        <v>70</v>
      </c>
      <c r="AE56" s="318">
        <v>11</v>
      </c>
      <c r="AF56" s="318">
        <v>0</v>
      </c>
      <c r="AG56" s="691">
        <f t="shared" si="9"/>
        <v>11</v>
      </c>
      <c r="AH56" s="318">
        <v>0</v>
      </c>
      <c r="AI56" s="318">
        <v>0</v>
      </c>
      <c r="AJ56" s="691">
        <f t="shared" si="10"/>
        <v>0</v>
      </c>
      <c r="AK56" s="318">
        <v>89</v>
      </c>
      <c r="AL56" s="318">
        <v>13</v>
      </c>
      <c r="AM56" s="691">
        <f t="shared" si="11"/>
        <v>102</v>
      </c>
      <c r="AN56" s="318">
        <v>25</v>
      </c>
      <c r="AO56" s="318">
        <v>0</v>
      </c>
      <c r="AP56" s="691">
        <f t="shared" si="12"/>
        <v>25</v>
      </c>
      <c r="AQ56" s="318">
        <v>48</v>
      </c>
      <c r="AR56" s="318">
        <v>0</v>
      </c>
      <c r="AS56" s="691">
        <f t="shared" si="13"/>
        <v>48</v>
      </c>
      <c r="AT56" s="318">
        <v>6547</v>
      </c>
      <c r="AU56" s="318">
        <v>3238</v>
      </c>
      <c r="AV56" s="691">
        <f t="shared" si="14"/>
        <v>9785</v>
      </c>
      <c r="AW56" s="318">
        <v>137</v>
      </c>
      <c r="AX56" s="318">
        <v>76</v>
      </c>
      <c r="AY56" s="691">
        <f t="shared" si="15"/>
        <v>213</v>
      </c>
      <c r="AZ56" s="318">
        <v>8</v>
      </c>
      <c r="BA56" s="318">
        <v>7</v>
      </c>
      <c r="BB56" s="691">
        <f t="shared" si="16"/>
        <v>15</v>
      </c>
      <c r="BC56" s="318">
        <v>35</v>
      </c>
      <c r="BD56" s="318">
        <v>18</v>
      </c>
      <c r="BE56" s="691">
        <f t="shared" si="17"/>
        <v>53</v>
      </c>
      <c r="BF56" s="318">
        <v>425</v>
      </c>
      <c r="BG56" s="318">
        <v>10</v>
      </c>
      <c r="BH56" s="691">
        <f t="shared" si="18"/>
        <v>435</v>
      </c>
      <c r="BI56" s="318">
        <v>18</v>
      </c>
      <c r="BJ56" s="318">
        <v>1</v>
      </c>
      <c r="BK56" s="691">
        <f t="shared" si="19"/>
        <v>19</v>
      </c>
      <c r="BL56" s="318">
        <v>0</v>
      </c>
      <c r="BM56" s="318">
        <v>0</v>
      </c>
      <c r="BN56" s="691">
        <f t="shared" si="20"/>
        <v>0</v>
      </c>
      <c r="BO56" s="318">
        <v>1</v>
      </c>
      <c r="BP56" s="318">
        <v>0</v>
      </c>
      <c r="BQ56" s="691">
        <f t="shared" si="21"/>
        <v>1</v>
      </c>
      <c r="BR56" s="318">
        <v>0</v>
      </c>
      <c r="BS56" s="318">
        <v>4</v>
      </c>
      <c r="BT56" s="691">
        <f t="shared" si="22"/>
        <v>4</v>
      </c>
      <c r="BU56" s="318">
        <v>1</v>
      </c>
      <c r="BV56" s="318">
        <v>0</v>
      </c>
      <c r="BW56" s="691">
        <f t="shared" si="23"/>
        <v>1</v>
      </c>
      <c r="BX56" s="318">
        <v>0</v>
      </c>
      <c r="BY56" s="318">
        <v>0</v>
      </c>
      <c r="BZ56" s="691">
        <f t="shared" si="24"/>
        <v>0</v>
      </c>
      <c r="CA56" s="318">
        <v>1</v>
      </c>
      <c r="CB56" s="318">
        <v>0</v>
      </c>
      <c r="CC56" s="691">
        <f t="shared" si="25"/>
        <v>1</v>
      </c>
      <c r="CD56" s="318">
        <v>0</v>
      </c>
      <c r="CE56" s="318">
        <v>0</v>
      </c>
      <c r="CF56" s="691">
        <f t="shared" si="26"/>
        <v>0</v>
      </c>
      <c r="CG56" s="318">
        <v>1</v>
      </c>
      <c r="CH56" s="318">
        <v>0</v>
      </c>
      <c r="CI56" s="691">
        <f t="shared" si="27"/>
        <v>1</v>
      </c>
      <c r="CJ56" s="318">
        <v>0</v>
      </c>
      <c r="CK56" s="318">
        <v>0</v>
      </c>
      <c r="CL56" s="691">
        <f t="shared" si="28"/>
        <v>0</v>
      </c>
      <c r="CM56" s="318">
        <v>1</v>
      </c>
      <c r="CN56" s="318">
        <v>3</v>
      </c>
      <c r="CO56" s="691">
        <f t="shared" si="29"/>
        <v>4</v>
      </c>
      <c r="CP56" s="318">
        <v>0</v>
      </c>
      <c r="CQ56" s="318">
        <v>0</v>
      </c>
      <c r="CR56" s="691">
        <f t="shared" si="30"/>
        <v>0</v>
      </c>
      <c r="CS56" s="318">
        <v>0</v>
      </c>
      <c r="CT56" s="318">
        <v>0</v>
      </c>
      <c r="CU56" s="691">
        <f t="shared" si="31"/>
        <v>0</v>
      </c>
      <c r="CV56" s="318">
        <v>0</v>
      </c>
      <c r="CW56" s="318">
        <v>0</v>
      </c>
      <c r="CX56" s="691">
        <f t="shared" si="32"/>
        <v>0</v>
      </c>
      <c r="CY56" s="318">
        <v>0</v>
      </c>
      <c r="CZ56" s="318">
        <v>0</v>
      </c>
      <c r="DA56" s="691">
        <f t="shared" si="33"/>
        <v>0</v>
      </c>
      <c r="DB56" s="318">
        <v>8</v>
      </c>
      <c r="DC56" s="318">
        <v>0</v>
      </c>
      <c r="DD56" s="691">
        <f t="shared" si="34"/>
        <v>8</v>
      </c>
      <c r="DE56" s="318">
        <v>11</v>
      </c>
      <c r="DF56" s="318">
        <v>2</v>
      </c>
      <c r="DG56" s="691">
        <f t="shared" si="35"/>
        <v>13</v>
      </c>
      <c r="DH56" s="318">
        <v>0</v>
      </c>
      <c r="DI56" s="318">
        <v>0</v>
      </c>
      <c r="DJ56" s="691">
        <f t="shared" si="36"/>
        <v>0</v>
      </c>
      <c r="DK56" s="318">
        <v>0</v>
      </c>
      <c r="DL56" s="318">
        <v>0</v>
      </c>
      <c r="DM56" s="691">
        <f t="shared" si="37"/>
        <v>0</v>
      </c>
      <c r="DN56" s="318">
        <v>0</v>
      </c>
      <c r="DO56" s="318">
        <v>0</v>
      </c>
      <c r="DP56" s="691">
        <f t="shared" si="38"/>
        <v>0</v>
      </c>
      <c r="DQ56" s="318">
        <v>0</v>
      </c>
      <c r="DR56" s="318">
        <v>0</v>
      </c>
      <c r="DS56" s="691">
        <f t="shared" si="39"/>
        <v>0</v>
      </c>
      <c r="DT56" s="318">
        <v>0</v>
      </c>
      <c r="DU56" s="318">
        <v>0</v>
      </c>
      <c r="DV56" s="691">
        <f t="shared" si="40"/>
        <v>0</v>
      </c>
      <c r="DW56" s="318">
        <v>3</v>
      </c>
      <c r="DX56" s="318">
        <v>2</v>
      </c>
      <c r="DY56" s="691">
        <f t="shared" si="41"/>
        <v>5</v>
      </c>
      <c r="DZ56" s="318">
        <v>0</v>
      </c>
      <c r="EA56" s="318">
        <v>0</v>
      </c>
      <c r="EB56" s="691">
        <f t="shared" si="42"/>
        <v>0</v>
      </c>
      <c r="EC56" s="318">
        <v>16</v>
      </c>
      <c r="ED56" s="318">
        <v>5</v>
      </c>
      <c r="EE56" s="691">
        <f t="shared" si="43"/>
        <v>21</v>
      </c>
      <c r="EF56" s="318">
        <v>2</v>
      </c>
      <c r="EG56" s="318">
        <v>2</v>
      </c>
      <c r="EH56" s="691">
        <f t="shared" si="44"/>
        <v>4</v>
      </c>
      <c r="EI56" s="318">
        <v>0</v>
      </c>
      <c r="EJ56" s="318">
        <v>1</v>
      </c>
      <c r="EK56" s="691">
        <f t="shared" si="45"/>
        <v>1</v>
      </c>
      <c r="EL56" s="318">
        <v>0</v>
      </c>
      <c r="EM56" s="318">
        <v>0</v>
      </c>
      <c r="EN56" s="691">
        <f t="shared" si="46"/>
        <v>0</v>
      </c>
      <c r="EO56" s="318">
        <v>0</v>
      </c>
      <c r="EP56" s="318">
        <v>0</v>
      </c>
      <c r="EQ56" s="691">
        <f t="shared" si="47"/>
        <v>0</v>
      </c>
      <c r="ER56" s="318">
        <v>0</v>
      </c>
      <c r="ES56" s="318">
        <v>0</v>
      </c>
      <c r="ET56" s="691">
        <f t="shared" si="48"/>
        <v>0</v>
      </c>
      <c r="EU56" s="318">
        <v>0</v>
      </c>
      <c r="EV56" s="318">
        <v>0</v>
      </c>
      <c r="EW56" s="691">
        <f t="shared" si="49"/>
        <v>0</v>
      </c>
      <c r="EX56" s="318">
        <v>0</v>
      </c>
      <c r="EY56" s="318">
        <v>0</v>
      </c>
      <c r="EZ56" s="691">
        <f t="shared" si="50"/>
        <v>0</v>
      </c>
      <c r="FA56" s="318">
        <v>0</v>
      </c>
      <c r="FB56" s="318">
        <v>0</v>
      </c>
      <c r="FC56" s="691">
        <f t="shared" si="51"/>
        <v>0</v>
      </c>
      <c r="FD56" s="318">
        <v>0</v>
      </c>
      <c r="FE56" s="318">
        <v>0</v>
      </c>
      <c r="FF56" s="691">
        <f t="shared" si="52"/>
        <v>0</v>
      </c>
      <c r="FG56" s="318">
        <v>0</v>
      </c>
      <c r="FH56" s="318">
        <v>0</v>
      </c>
      <c r="FI56" s="691">
        <f t="shared" si="53"/>
        <v>0</v>
      </c>
      <c r="FJ56" s="318">
        <v>0</v>
      </c>
      <c r="FK56" s="318">
        <v>0</v>
      </c>
      <c r="FL56" s="691">
        <f t="shared" si="54"/>
        <v>0</v>
      </c>
      <c r="FM56" s="318">
        <v>0</v>
      </c>
      <c r="FN56" s="318">
        <v>0</v>
      </c>
      <c r="FO56" s="691">
        <f t="shared" si="55"/>
        <v>0</v>
      </c>
      <c r="FP56" s="318">
        <v>0</v>
      </c>
      <c r="FQ56" s="318">
        <v>0</v>
      </c>
      <c r="FR56" s="691">
        <f t="shared" si="56"/>
        <v>0</v>
      </c>
      <c r="FS56" s="318">
        <v>0</v>
      </c>
      <c r="FT56" s="318">
        <v>0</v>
      </c>
      <c r="FU56" s="691">
        <f t="shared" si="57"/>
        <v>0</v>
      </c>
      <c r="FV56" s="318">
        <v>0</v>
      </c>
      <c r="FW56" s="318">
        <v>0</v>
      </c>
      <c r="FX56" s="691">
        <f t="shared" si="58"/>
        <v>0</v>
      </c>
      <c r="FY56" s="318">
        <v>0</v>
      </c>
      <c r="FZ56" s="318">
        <v>0</v>
      </c>
      <c r="GA56" s="691">
        <f t="shared" si="59"/>
        <v>0</v>
      </c>
      <c r="GB56" s="318">
        <v>0</v>
      </c>
      <c r="GC56" s="318">
        <v>0</v>
      </c>
      <c r="GD56" s="691">
        <f t="shared" si="60"/>
        <v>0</v>
      </c>
      <c r="GE56" s="318">
        <v>0</v>
      </c>
      <c r="GF56" s="318">
        <v>0</v>
      </c>
      <c r="GG56" s="691">
        <f t="shared" si="61"/>
        <v>0</v>
      </c>
      <c r="GH56" s="318">
        <v>0</v>
      </c>
      <c r="GI56" s="318">
        <v>0</v>
      </c>
      <c r="GJ56" s="691">
        <f t="shared" si="62"/>
        <v>0</v>
      </c>
      <c r="GK56" s="318">
        <v>36</v>
      </c>
      <c r="GL56" s="318">
        <v>36</v>
      </c>
      <c r="GM56" s="691">
        <f t="shared" si="63"/>
        <v>72</v>
      </c>
      <c r="GN56" s="318">
        <v>164</v>
      </c>
      <c r="GO56" s="318">
        <v>401</v>
      </c>
      <c r="GP56" s="691">
        <f t="shared" si="64"/>
        <v>565</v>
      </c>
      <c r="GQ56" s="318">
        <v>5</v>
      </c>
      <c r="GR56" s="318">
        <v>0</v>
      </c>
      <c r="GS56" s="691">
        <f t="shared" si="65"/>
        <v>5</v>
      </c>
      <c r="GT56" s="318">
        <v>7</v>
      </c>
      <c r="GU56" s="318">
        <v>0</v>
      </c>
      <c r="GV56" s="691">
        <f t="shared" si="66"/>
        <v>7</v>
      </c>
      <c r="GW56" s="318">
        <v>0</v>
      </c>
      <c r="GX56" s="318">
        <v>0</v>
      </c>
      <c r="GY56" s="691">
        <f t="shared" si="67"/>
        <v>0</v>
      </c>
      <c r="GZ56" s="318">
        <v>2</v>
      </c>
      <c r="HA56" s="318">
        <v>0</v>
      </c>
      <c r="HB56" s="691">
        <f t="shared" si="68"/>
        <v>2</v>
      </c>
      <c r="HC56" s="318">
        <v>1</v>
      </c>
      <c r="HD56" s="318">
        <v>0</v>
      </c>
      <c r="HE56" s="691">
        <f t="shared" si="69"/>
        <v>1</v>
      </c>
      <c r="HF56" s="318">
        <v>2</v>
      </c>
      <c r="HG56" s="318">
        <v>0</v>
      </c>
      <c r="HH56" s="691">
        <f t="shared" si="70"/>
        <v>2</v>
      </c>
      <c r="HI56" s="318">
        <v>6</v>
      </c>
      <c r="HJ56" s="318">
        <v>40</v>
      </c>
      <c r="HK56" s="691">
        <f t="shared" si="71"/>
        <v>46</v>
      </c>
      <c r="HL56" s="318">
        <v>0</v>
      </c>
      <c r="HM56" s="318">
        <v>37</v>
      </c>
      <c r="HN56" s="691">
        <f t="shared" si="72"/>
        <v>37</v>
      </c>
      <c r="HO56" s="318">
        <v>6</v>
      </c>
      <c r="HP56" s="318">
        <v>62</v>
      </c>
      <c r="HQ56" s="691">
        <f t="shared" si="73"/>
        <v>68</v>
      </c>
      <c r="HR56" s="318">
        <v>2</v>
      </c>
      <c r="HS56" s="318">
        <v>8</v>
      </c>
      <c r="HT56" s="691">
        <f t="shared" si="74"/>
        <v>10</v>
      </c>
      <c r="HU56" s="318">
        <v>0</v>
      </c>
      <c r="HV56" s="318">
        <v>3</v>
      </c>
      <c r="HW56" s="691">
        <f t="shared" si="75"/>
        <v>3</v>
      </c>
      <c r="HX56" s="318">
        <v>0</v>
      </c>
      <c r="HY56" s="318">
        <v>1</v>
      </c>
      <c r="HZ56" s="691">
        <f t="shared" si="76"/>
        <v>1</v>
      </c>
      <c r="IA56" s="318">
        <v>0</v>
      </c>
      <c r="IB56" s="318">
        <v>0</v>
      </c>
      <c r="IC56" s="691">
        <f t="shared" si="77"/>
        <v>0</v>
      </c>
      <c r="ID56" s="318">
        <v>10</v>
      </c>
      <c r="IE56" s="318">
        <v>0</v>
      </c>
      <c r="IF56" s="691">
        <f t="shared" si="78"/>
        <v>10</v>
      </c>
      <c r="IG56" s="318">
        <v>0</v>
      </c>
      <c r="IH56" s="318">
        <v>0</v>
      </c>
      <c r="II56" s="691">
        <f t="shared" si="79"/>
        <v>0</v>
      </c>
      <c r="IJ56" s="318">
        <v>23</v>
      </c>
      <c r="IK56" s="318">
        <v>0</v>
      </c>
      <c r="IL56" s="691">
        <f t="shared" si="80"/>
        <v>23</v>
      </c>
      <c r="IM56" s="318">
        <v>0</v>
      </c>
      <c r="IN56" s="318">
        <v>0</v>
      </c>
      <c r="IO56" s="691">
        <f t="shared" si="81"/>
        <v>0</v>
      </c>
      <c r="IP56" s="318">
        <v>0</v>
      </c>
      <c r="IQ56" s="318">
        <v>0</v>
      </c>
      <c r="IR56" s="691">
        <f t="shared" si="82"/>
        <v>0</v>
      </c>
      <c r="IS56" s="318">
        <v>88</v>
      </c>
      <c r="IT56" s="318">
        <v>20</v>
      </c>
      <c r="IU56" s="691">
        <f t="shared" si="83"/>
        <v>108</v>
      </c>
      <c r="IV56" s="318">
        <v>0</v>
      </c>
      <c r="IW56" s="318">
        <v>0</v>
      </c>
      <c r="IX56" s="691">
        <f t="shared" si="84"/>
        <v>0</v>
      </c>
      <c r="IY56" s="318">
        <v>0</v>
      </c>
      <c r="IZ56" s="318">
        <v>0</v>
      </c>
      <c r="JA56" s="691">
        <f t="shared" si="85"/>
        <v>0</v>
      </c>
      <c r="JB56" s="318">
        <v>0</v>
      </c>
      <c r="JC56" s="318">
        <v>6</v>
      </c>
      <c r="JD56" s="691">
        <f t="shared" si="86"/>
        <v>6</v>
      </c>
      <c r="JE56" s="318">
        <v>2045</v>
      </c>
      <c r="JF56" s="318">
        <v>426</v>
      </c>
      <c r="JG56" s="691">
        <f t="shared" si="87"/>
        <v>2471</v>
      </c>
      <c r="JH56" s="318">
        <v>3</v>
      </c>
      <c r="JI56" s="318">
        <v>2</v>
      </c>
      <c r="JJ56" s="691">
        <f t="shared" si="88"/>
        <v>5</v>
      </c>
      <c r="JK56" s="318">
        <v>0</v>
      </c>
      <c r="JL56" s="318">
        <v>0</v>
      </c>
      <c r="JM56" s="691">
        <f t="shared" si="89"/>
        <v>0</v>
      </c>
      <c r="JN56" s="318">
        <v>0</v>
      </c>
      <c r="JO56" s="318">
        <v>0</v>
      </c>
      <c r="JP56" s="691">
        <f t="shared" si="90"/>
        <v>0</v>
      </c>
      <c r="JQ56" s="318">
        <v>0</v>
      </c>
      <c r="JR56" s="318">
        <v>0</v>
      </c>
      <c r="JS56" s="691">
        <f t="shared" si="91"/>
        <v>0</v>
      </c>
      <c r="JT56" s="318">
        <v>0</v>
      </c>
      <c r="JU56" s="318">
        <v>0</v>
      </c>
      <c r="JV56" s="691">
        <f t="shared" si="92"/>
        <v>0</v>
      </c>
      <c r="JW56" s="318">
        <v>0</v>
      </c>
      <c r="JX56" s="318">
        <v>0</v>
      </c>
      <c r="JY56" s="691">
        <f t="shared" si="93"/>
        <v>0</v>
      </c>
      <c r="JZ56" s="318">
        <v>0</v>
      </c>
      <c r="KA56" s="318">
        <v>0</v>
      </c>
      <c r="KB56" s="691">
        <f t="shared" si="94"/>
        <v>0</v>
      </c>
      <c r="KC56" s="318">
        <v>0</v>
      </c>
      <c r="KD56" s="318">
        <v>0</v>
      </c>
      <c r="KE56" s="691">
        <f t="shared" si="95"/>
        <v>0</v>
      </c>
      <c r="KF56" s="318">
        <v>0</v>
      </c>
      <c r="KG56" s="318">
        <v>0</v>
      </c>
      <c r="KH56" s="691">
        <f t="shared" si="96"/>
        <v>0</v>
      </c>
      <c r="KI56" s="318">
        <v>0</v>
      </c>
      <c r="KJ56" s="318">
        <v>0</v>
      </c>
      <c r="KK56" s="691">
        <f t="shared" si="97"/>
        <v>0</v>
      </c>
      <c r="KL56" s="691">
        <v>0</v>
      </c>
      <c r="KM56" s="691">
        <v>0</v>
      </c>
      <c r="KN56" s="691">
        <f t="shared" si="98"/>
        <v>0</v>
      </c>
      <c r="KO56" s="691">
        <v>0</v>
      </c>
      <c r="KP56" s="691">
        <v>0</v>
      </c>
      <c r="KQ56" s="691">
        <f t="shared" si="99"/>
        <v>0</v>
      </c>
      <c r="KR56" s="691">
        <v>0</v>
      </c>
      <c r="KS56" s="691">
        <v>0</v>
      </c>
      <c r="KT56" s="691">
        <f t="shared" si="100"/>
        <v>0</v>
      </c>
      <c r="KU56" s="691">
        <v>0</v>
      </c>
      <c r="KV56" s="691">
        <v>0</v>
      </c>
      <c r="KW56" s="691">
        <f t="shared" si="101"/>
        <v>0</v>
      </c>
      <c r="KX56" s="691">
        <v>0</v>
      </c>
      <c r="KY56" s="691">
        <v>0</v>
      </c>
      <c r="KZ56" s="691">
        <f t="shared" si="102"/>
        <v>0</v>
      </c>
      <c r="LA56" s="691">
        <v>0</v>
      </c>
      <c r="LB56" s="691">
        <v>0</v>
      </c>
      <c r="LC56" s="691">
        <f t="shared" si="103"/>
        <v>0</v>
      </c>
      <c r="LD56" s="691">
        <v>0</v>
      </c>
      <c r="LE56" s="691">
        <v>0</v>
      </c>
      <c r="LF56" s="691">
        <f t="shared" si="104"/>
        <v>0</v>
      </c>
      <c r="LG56" s="691">
        <v>0</v>
      </c>
      <c r="LH56" s="691">
        <v>0</v>
      </c>
      <c r="LI56" s="691">
        <f t="shared" si="105"/>
        <v>0</v>
      </c>
      <c r="LJ56" s="318">
        <v>0</v>
      </c>
      <c r="LK56" s="318">
        <v>0</v>
      </c>
      <c r="LL56" s="692">
        <f t="shared" si="106"/>
        <v>0</v>
      </c>
    </row>
    <row r="57" spans="1:324" x14ac:dyDescent="0.35">
      <c r="A57" s="693">
        <v>3</v>
      </c>
      <c r="B57" s="383" t="s">
        <v>305</v>
      </c>
      <c r="C57" s="437" t="s">
        <v>123</v>
      </c>
      <c r="D57" s="324">
        <v>13785</v>
      </c>
      <c r="E57" s="324">
        <v>13191</v>
      </c>
      <c r="F57" s="694">
        <f t="shared" si="0"/>
        <v>26976</v>
      </c>
      <c r="G57" s="324">
        <v>9</v>
      </c>
      <c r="H57" s="324">
        <v>22814</v>
      </c>
      <c r="I57" s="694">
        <f t="shared" si="1"/>
        <v>22823</v>
      </c>
      <c r="J57" s="324">
        <v>15030</v>
      </c>
      <c r="K57" s="324">
        <v>13054</v>
      </c>
      <c r="L57" s="694">
        <f t="shared" si="2"/>
        <v>28084</v>
      </c>
      <c r="M57" s="324">
        <v>572</v>
      </c>
      <c r="N57" s="324">
        <v>198</v>
      </c>
      <c r="O57" s="694">
        <f t="shared" si="3"/>
        <v>770</v>
      </c>
      <c r="P57" s="324">
        <v>1070</v>
      </c>
      <c r="Q57" s="324">
        <v>898</v>
      </c>
      <c r="R57" s="694">
        <f t="shared" si="4"/>
        <v>1968</v>
      </c>
      <c r="S57" s="324">
        <v>1118</v>
      </c>
      <c r="T57" s="324">
        <v>157</v>
      </c>
      <c r="U57" s="694">
        <f t="shared" si="5"/>
        <v>1275</v>
      </c>
      <c r="V57" s="324">
        <v>464</v>
      </c>
      <c r="W57" s="324">
        <v>58</v>
      </c>
      <c r="X57" s="694">
        <f t="shared" si="6"/>
        <v>522</v>
      </c>
      <c r="Y57" s="324">
        <v>378</v>
      </c>
      <c r="Z57" s="324">
        <v>124</v>
      </c>
      <c r="AA57" s="694">
        <f t="shared" si="7"/>
        <v>502</v>
      </c>
      <c r="AB57" s="324">
        <v>208</v>
      </c>
      <c r="AC57" s="324">
        <v>40</v>
      </c>
      <c r="AD57" s="694">
        <f t="shared" si="8"/>
        <v>248</v>
      </c>
      <c r="AE57" s="324">
        <v>5</v>
      </c>
      <c r="AF57" s="324">
        <v>2</v>
      </c>
      <c r="AG57" s="694">
        <f t="shared" si="9"/>
        <v>7</v>
      </c>
      <c r="AH57" s="324">
        <v>2</v>
      </c>
      <c r="AI57" s="324">
        <v>0</v>
      </c>
      <c r="AJ57" s="694">
        <f t="shared" si="10"/>
        <v>2</v>
      </c>
      <c r="AK57" s="324">
        <v>19</v>
      </c>
      <c r="AL57" s="324">
        <v>8</v>
      </c>
      <c r="AM57" s="694">
        <f t="shared" si="11"/>
        <v>27</v>
      </c>
      <c r="AN57" s="324">
        <v>40</v>
      </c>
      <c r="AO57" s="324">
        <v>0</v>
      </c>
      <c r="AP57" s="694">
        <f t="shared" si="12"/>
        <v>40</v>
      </c>
      <c r="AQ57" s="324">
        <v>42</v>
      </c>
      <c r="AR57" s="324">
        <v>0</v>
      </c>
      <c r="AS57" s="694">
        <f t="shared" si="13"/>
        <v>42</v>
      </c>
      <c r="AT57" s="324">
        <v>16435</v>
      </c>
      <c r="AU57" s="324">
        <v>8091</v>
      </c>
      <c r="AV57" s="694">
        <f t="shared" si="14"/>
        <v>24526</v>
      </c>
      <c r="AW57" s="324">
        <v>414</v>
      </c>
      <c r="AX57" s="324">
        <v>230</v>
      </c>
      <c r="AY57" s="694">
        <f t="shared" si="15"/>
        <v>644</v>
      </c>
      <c r="AZ57" s="324">
        <v>12</v>
      </c>
      <c r="BA57" s="324">
        <v>5</v>
      </c>
      <c r="BB57" s="694">
        <f t="shared" si="16"/>
        <v>17</v>
      </c>
      <c r="BC57" s="324">
        <v>147</v>
      </c>
      <c r="BD57" s="324">
        <v>89</v>
      </c>
      <c r="BE57" s="694">
        <f t="shared" si="17"/>
        <v>236</v>
      </c>
      <c r="BF57" s="324">
        <v>1607</v>
      </c>
      <c r="BG57" s="324">
        <v>65</v>
      </c>
      <c r="BH57" s="694">
        <f t="shared" si="18"/>
        <v>1672</v>
      </c>
      <c r="BI57" s="324">
        <v>91</v>
      </c>
      <c r="BJ57" s="324">
        <v>14</v>
      </c>
      <c r="BK57" s="694">
        <f t="shared" si="19"/>
        <v>105</v>
      </c>
      <c r="BL57" s="324">
        <v>1</v>
      </c>
      <c r="BM57" s="324">
        <v>0</v>
      </c>
      <c r="BN57" s="694">
        <f t="shared" si="20"/>
        <v>1</v>
      </c>
      <c r="BO57" s="324">
        <v>3</v>
      </c>
      <c r="BP57" s="324">
        <v>1</v>
      </c>
      <c r="BQ57" s="694">
        <f t="shared" si="21"/>
        <v>4</v>
      </c>
      <c r="BR57" s="324">
        <v>0</v>
      </c>
      <c r="BS57" s="324">
        <v>30</v>
      </c>
      <c r="BT57" s="694">
        <f t="shared" si="22"/>
        <v>30</v>
      </c>
      <c r="BU57" s="324">
        <v>0</v>
      </c>
      <c r="BV57" s="324">
        <v>0</v>
      </c>
      <c r="BW57" s="694">
        <f t="shared" si="23"/>
        <v>0</v>
      </c>
      <c r="BX57" s="324">
        <v>1</v>
      </c>
      <c r="BY57" s="324">
        <v>0</v>
      </c>
      <c r="BZ57" s="694">
        <f t="shared" si="24"/>
        <v>1</v>
      </c>
      <c r="CA57" s="324">
        <v>10</v>
      </c>
      <c r="CB57" s="324">
        <v>0</v>
      </c>
      <c r="CC57" s="694">
        <f t="shared" si="25"/>
        <v>10</v>
      </c>
      <c r="CD57" s="324">
        <v>6</v>
      </c>
      <c r="CE57" s="324">
        <v>0</v>
      </c>
      <c r="CF57" s="694">
        <f t="shared" si="26"/>
        <v>6</v>
      </c>
      <c r="CG57" s="324">
        <v>0</v>
      </c>
      <c r="CH57" s="324">
        <v>0</v>
      </c>
      <c r="CI57" s="694">
        <f t="shared" si="27"/>
        <v>0</v>
      </c>
      <c r="CJ57" s="324">
        <v>2</v>
      </c>
      <c r="CK57" s="324">
        <v>0</v>
      </c>
      <c r="CL57" s="694">
        <f t="shared" si="28"/>
        <v>2</v>
      </c>
      <c r="CM57" s="324">
        <v>6</v>
      </c>
      <c r="CN57" s="324">
        <v>2</v>
      </c>
      <c r="CO57" s="694">
        <f t="shared" si="29"/>
        <v>8</v>
      </c>
      <c r="CP57" s="324">
        <v>0</v>
      </c>
      <c r="CQ57" s="324">
        <v>0</v>
      </c>
      <c r="CR57" s="694">
        <f t="shared" si="30"/>
        <v>0</v>
      </c>
      <c r="CS57" s="324">
        <v>0</v>
      </c>
      <c r="CT57" s="324">
        <v>0</v>
      </c>
      <c r="CU57" s="694">
        <f t="shared" si="31"/>
        <v>0</v>
      </c>
      <c r="CV57" s="324">
        <v>0</v>
      </c>
      <c r="CW57" s="324">
        <v>0</v>
      </c>
      <c r="CX57" s="694">
        <f t="shared" si="32"/>
        <v>0</v>
      </c>
      <c r="CY57" s="324">
        <v>1</v>
      </c>
      <c r="CZ57" s="324">
        <v>3</v>
      </c>
      <c r="DA57" s="694">
        <f t="shared" si="33"/>
        <v>4</v>
      </c>
      <c r="DB57" s="324">
        <v>24</v>
      </c>
      <c r="DC57" s="324">
        <v>0</v>
      </c>
      <c r="DD57" s="694">
        <f t="shared" si="34"/>
        <v>24</v>
      </c>
      <c r="DE57" s="324">
        <v>20</v>
      </c>
      <c r="DF57" s="324">
        <v>8</v>
      </c>
      <c r="DG57" s="694">
        <f t="shared" si="35"/>
        <v>28</v>
      </c>
      <c r="DH57" s="324">
        <v>2</v>
      </c>
      <c r="DI57" s="324">
        <v>0</v>
      </c>
      <c r="DJ57" s="694">
        <f t="shared" si="36"/>
        <v>2</v>
      </c>
      <c r="DK57" s="324">
        <v>0</v>
      </c>
      <c r="DL57" s="324">
        <v>0</v>
      </c>
      <c r="DM57" s="694">
        <f t="shared" si="37"/>
        <v>0</v>
      </c>
      <c r="DN57" s="324">
        <v>2</v>
      </c>
      <c r="DO57" s="324">
        <v>0</v>
      </c>
      <c r="DP57" s="694">
        <f t="shared" si="38"/>
        <v>2</v>
      </c>
      <c r="DQ57" s="324">
        <v>0</v>
      </c>
      <c r="DR57" s="324">
        <v>0</v>
      </c>
      <c r="DS57" s="694">
        <f t="shared" si="39"/>
        <v>0</v>
      </c>
      <c r="DT57" s="324">
        <v>1</v>
      </c>
      <c r="DU57" s="324">
        <v>0</v>
      </c>
      <c r="DV57" s="694">
        <f t="shared" si="40"/>
        <v>1</v>
      </c>
      <c r="DW57" s="324">
        <v>14</v>
      </c>
      <c r="DX57" s="324">
        <v>5</v>
      </c>
      <c r="DY57" s="694">
        <f t="shared" si="41"/>
        <v>19</v>
      </c>
      <c r="DZ57" s="324">
        <v>0</v>
      </c>
      <c r="EA57" s="324">
        <v>0</v>
      </c>
      <c r="EB57" s="694">
        <f t="shared" si="42"/>
        <v>0</v>
      </c>
      <c r="EC57" s="324">
        <v>39</v>
      </c>
      <c r="ED57" s="324">
        <v>6</v>
      </c>
      <c r="EE57" s="694">
        <f t="shared" si="43"/>
        <v>45</v>
      </c>
      <c r="EF57" s="324">
        <v>8</v>
      </c>
      <c r="EG57" s="324">
        <v>1</v>
      </c>
      <c r="EH57" s="694">
        <f t="shared" si="44"/>
        <v>9</v>
      </c>
      <c r="EI57" s="324">
        <v>2</v>
      </c>
      <c r="EJ57" s="324">
        <v>0</v>
      </c>
      <c r="EK57" s="694">
        <f t="shared" si="45"/>
        <v>2</v>
      </c>
      <c r="EL57" s="324">
        <v>0</v>
      </c>
      <c r="EM57" s="324">
        <v>0</v>
      </c>
      <c r="EN57" s="694">
        <f t="shared" si="46"/>
        <v>0</v>
      </c>
      <c r="EO57" s="324">
        <v>1</v>
      </c>
      <c r="EP57" s="324">
        <v>0</v>
      </c>
      <c r="EQ57" s="694">
        <f t="shared" si="47"/>
        <v>1</v>
      </c>
      <c r="ER57" s="324">
        <v>0</v>
      </c>
      <c r="ES57" s="324">
        <v>0</v>
      </c>
      <c r="ET57" s="694">
        <f t="shared" si="48"/>
        <v>0</v>
      </c>
      <c r="EU57" s="324">
        <v>0</v>
      </c>
      <c r="EV57" s="324">
        <v>0</v>
      </c>
      <c r="EW57" s="694">
        <f t="shared" si="49"/>
        <v>0</v>
      </c>
      <c r="EX57" s="324">
        <v>0</v>
      </c>
      <c r="EY57" s="324">
        <v>0</v>
      </c>
      <c r="EZ57" s="694">
        <f t="shared" si="50"/>
        <v>0</v>
      </c>
      <c r="FA57" s="324">
        <v>0</v>
      </c>
      <c r="FB57" s="324">
        <v>0</v>
      </c>
      <c r="FC57" s="694">
        <f t="shared" si="51"/>
        <v>0</v>
      </c>
      <c r="FD57" s="324">
        <v>2</v>
      </c>
      <c r="FE57" s="324">
        <v>0</v>
      </c>
      <c r="FF57" s="694">
        <f t="shared" si="52"/>
        <v>2</v>
      </c>
      <c r="FG57" s="324">
        <v>0</v>
      </c>
      <c r="FH57" s="324">
        <v>0</v>
      </c>
      <c r="FI57" s="694">
        <f t="shared" si="53"/>
        <v>0</v>
      </c>
      <c r="FJ57" s="324">
        <v>0</v>
      </c>
      <c r="FK57" s="324">
        <v>0</v>
      </c>
      <c r="FL57" s="694">
        <f t="shared" si="54"/>
        <v>0</v>
      </c>
      <c r="FM57" s="324">
        <v>0</v>
      </c>
      <c r="FN57" s="324">
        <v>0</v>
      </c>
      <c r="FO57" s="694">
        <f t="shared" si="55"/>
        <v>0</v>
      </c>
      <c r="FP57" s="324">
        <v>0</v>
      </c>
      <c r="FQ57" s="324">
        <v>0</v>
      </c>
      <c r="FR57" s="694">
        <f t="shared" si="56"/>
        <v>0</v>
      </c>
      <c r="FS57" s="324">
        <v>0</v>
      </c>
      <c r="FT57" s="324">
        <v>0</v>
      </c>
      <c r="FU57" s="694">
        <f t="shared" si="57"/>
        <v>0</v>
      </c>
      <c r="FV57" s="324">
        <v>0</v>
      </c>
      <c r="FW57" s="324">
        <v>0</v>
      </c>
      <c r="FX57" s="694">
        <f t="shared" si="58"/>
        <v>0</v>
      </c>
      <c r="FY57" s="324">
        <v>0</v>
      </c>
      <c r="FZ57" s="324">
        <v>0</v>
      </c>
      <c r="GA57" s="694">
        <f t="shared" si="59"/>
        <v>0</v>
      </c>
      <c r="GB57" s="324">
        <v>0</v>
      </c>
      <c r="GC57" s="324">
        <v>0</v>
      </c>
      <c r="GD57" s="694">
        <f t="shared" si="60"/>
        <v>0</v>
      </c>
      <c r="GE57" s="324">
        <v>0</v>
      </c>
      <c r="GF57" s="324">
        <v>0</v>
      </c>
      <c r="GG57" s="694">
        <f t="shared" si="61"/>
        <v>0</v>
      </c>
      <c r="GH57" s="324">
        <v>2</v>
      </c>
      <c r="GI57" s="324">
        <v>1</v>
      </c>
      <c r="GJ57" s="694">
        <f t="shared" si="62"/>
        <v>3</v>
      </c>
      <c r="GK57" s="324">
        <v>69</v>
      </c>
      <c r="GL57" s="324">
        <v>64</v>
      </c>
      <c r="GM57" s="694">
        <f t="shared" si="63"/>
        <v>133</v>
      </c>
      <c r="GN57" s="324">
        <v>349</v>
      </c>
      <c r="GO57" s="324">
        <v>804</v>
      </c>
      <c r="GP57" s="694">
        <f t="shared" si="64"/>
        <v>1153</v>
      </c>
      <c r="GQ57" s="324">
        <v>16</v>
      </c>
      <c r="GR57" s="324">
        <v>0</v>
      </c>
      <c r="GS57" s="694">
        <f t="shared" si="65"/>
        <v>16</v>
      </c>
      <c r="GT57" s="324">
        <v>27</v>
      </c>
      <c r="GU57" s="324">
        <v>6</v>
      </c>
      <c r="GV57" s="694">
        <f t="shared" si="66"/>
        <v>33</v>
      </c>
      <c r="GW57" s="324">
        <v>2</v>
      </c>
      <c r="GX57" s="324">
        <v>8</v>
      </c>
      <c r="GY57" s="694">
        <f t="shared" si="67"/>
        <v>10</v>
      </c>
      <c r="GZ57" s="324">
        <v>8</v>
      </c>
      <c r="HA57" s="324">
        <v>2</v>
      </c>
      <c r="HB57" s="694">
        <f t="shared" si="68"/>
        <v>10</v>
      </c>
      <c r="HC57" s="324">
        <v>2</v>
      </c>
      <c r="HD57" s="324">
        <v>2</v>
      </c>
      <c r="HE57" s="694">
        <f t="shared" si="69"/>
        <v>4</v>
      </c>
      <c r="HF57" s="324">
        <v>11</v>
      </c>
      <c r="HG57" s="324">
        <v>5</v>
      </c>
      <c r="HH57" s="694">
        <f t="shared" si="70"/>
        <v>16</v>
      </c>
      <c r="HI57" s="324">
        <v>59</v>
      </c>
      <c r="HJ57" s="324">
        <v>219</v>
      </c>
      <c r="HK57" s="694">
        <f t="shared" si="71"/>
        <v>278</v>
      </c>
      <c r="HL57" s="324">
        <v>0</v>
      </c>
      <c r="HM57" s="324">
        <v>89</v>
      </c>
      <c r="HN57" s="694">
        <f t="shared" si="72"/>
        <v>89</v>
      </c>
      <c r="HO57" s="324">
        <v>28</v>
      </c>
      <c r="HP57" s="324">
        <v>150</v>
      </c>
      <c r="HQ57" s="694">
        <f t="shared" si="73"/>
        <v>178</v>
      </c>
      <c r="HR57" s="324">
        <v>1</v>
      </c>
      <c r="HS57" s="324">
        <v>15</v>
      </c>
      <c r="HT57" s="694">
        <f t="shared" si="74"/>
        <v>16</v>
      </c>
      <c r="HU57" s="324">
        <v>1</v>
      </c>
      <c r="HV57" s="324">
        <v>7</v>
      </c>
      <c r="HW57" s="694">
        <f t="shared" si="75"/>
        <v>8</v>
      </c>
      <c r="HX57" s="324">
        <v>0</v>
      </c>
      <c r="HY57" s="324">
        <v>1</v>
      </c>
      <c r="HZ57" s="694">
        <f t="shared" si="76"/>
        <v>1</v>
      </c>
      <c r="IA57" s="324">
        <v>0</v>
      </c>
      <c r="IB57" s="324">
        <v>0</v>
      </c>
      <c r="IC57" s="694">
        <f t="shared" si="77"/>
        <v>0</v>
      </c>
      <c r="ID57" s="324">
        <v>22</v>
      </c>
      <c r="IE57" s="324">
        <v>0</v>
      </c>
      <c r="IF57" s="694">
        <f t="shared" si="78"/>
        <v>22</v>
      </c>
      <c r="IG57" s="324">
        <v>1</v>
      </c>
      <c r="IH57" s="324">
        <v>0</v>
      </c>
      <c r="II57" s="694">
        <f t="shared" si="79"/>
        <v>1</v>
      </c>
      <c r="IJ57" s="324">
        <v>193</v>
      </c>
      <c r="IK57" s="324">
        <v>0</v>
      </c>
      <c r="IL57" s="694">
        <f t="shared" si="80"/>
        <v>193</v>
      </c>
      <c r="IM57" s="324">
        <v>0</v>
      </c>
      <c r="IN57" s="324">
        <v>0</v>
      </c>
      <c r="IO57" s="694">
        <f t="shared" si="81"/>
        <v>0</v>
      </c>
      <c r="IP57" s="324">
        <v>0</v>
      </c>
      <c r="IQ57" s="324">
        <v>0</v>
      </c>
      <c r="IR57" s="694">
        <f t="shared" si="82"/>
        <v>0</v>
      </c>
      <c r="IS57" s="324">
        <v>615</v>
      </c>
      <c r="IT57" s="324">
        <v>160</v>
      </c>
      <c r="IU57" s="694">
        <f t="shared" si="83"/>
        <v>775</v>
      </c>
      <c r="IV57" s="324">
        <v>2</v>
      </c>
      <c r="IW57" s="324">
        <v>0</v>
      </c>
      <c r="IX57" s="694">
        <f t="shared" si="84"/>
        <v>2</v>
      </c>
      <c r="IY57" s="324">
        <v>0</v>
      </c>
      <c r="IZ57" s="324">
        <v>0</v>
      </c>
      <c r="JA57" s="694">
        <f t="shared" si="85"/>
        <v>0</v>
      </c>
      <c r="JB57" s="324">
        <v>0</v>
      </c>
      <c r="JC57" s="324">
        <v>1</v>
      </c>
      <c r="JD57" s="694">
        <f t="shared" si="86"/>
        <v>1</v>
      </c>
      <c r="JE57" s="324">
        <v>8601</v>
      </c>
      <c r="JF57" s="324">
        <v>1824</v>
      </c>
      <c r="JG57" s="694">
        <f t="shared" si="87"/>
        <v>10425</v>
      </c>
      <c r="JH57" s="324">
        <v>3</v>
      </c>
      <c r="JI57" s="324">
        <v>3</v>
      </c>
      <c r="JJ57" s="694">
        <f t="shared" si="88"/>
        <v>6</v>
      </c>
      <c r="JK57" s="324">
        <v>0</v>
      </c>
      <c r="JL57" s="324">
        <v>0</v>
      </c>
      <c r="JM57" s="694">
        <f t="shared" si="89"/>
        <v>0</v>
      </c>
      <c r="JN57" s="324">
        <v>2</v>
      </c>
      <c r="JO57" s="324">
        <v>0</v>
      </c>
      <c r="JP57" s="694">
        <f t="shared" si="90"/>
        <v>2</v>
      </c>
      <c r="JQ57" s="324">
        <v>1</v>
      </c>
      <c r="JR57" s="324">
        <v>0</v>
      </c>
      <c r="JS57" s="694">
        <f t="shared" si="91"/>
        <v>1</v>
      </c>
      <c r="JT57" s="324">
        <v>0</v>
      </c>
      <c r="JU57" s="324">
        <v>0</v>
      </c>
      <c r="JV57" s="694">
        <f t="shared" si="92"/>
        <v>0</v>
      </c>
      <c r="JW57" s="324">
        <v>1</v>
      </c>
      <c r="JX57" s="324">
        <v>0</v>
      </c>
      <c r="JY57" s="694">
        <f t="shared" si="93"/>
        <v>1</v>
      </c>
      <c r="JZ57" s="324">
        <v>0</v>
      </c>
      <c r="KA57" s="324">
        <v>0</v>
      </c>
      <c r="KB57" s="694">
        <f t="shared" si="94"/>
        <v>0</v>
      </c>
      <c r="KC57" s="324">
        <v>0</v>
      </c>
      <c r="KD57" s="324">
        <v>0</v>
      </c>
      <c r="KE57" s="694">
        <f t="shared" si="95"/>
        <v>0</v>
      </c>
      <c r="KF57" s="324">
        <v>1</v>
      </c>
      <c r="KG57" s="324">
        <v>0</v>
      </c>
      <c r="KH57" s="694">
        <f t="shared" si="96"/>
        <v>1</v>
      </c>
      <c r="KI57" s="324">
        <v>0</v>
      </c>
      <c r="KJ57" s="324">
        <v>0</v>
      </c>
      <c r="KK57" s="694">
        <f t="shared" si="97"/>
        <v>0</v>
      </c>
      <c r="KL57" s="694">
        <v>0</v>
      </c>
      <c r="KM57" s="694">
        <v>0</v>
      </c>
      <c r="KN57" s="694">
        <f t="shared" si="98"/>
        <v>0</v>
      </c>
      <c r="KO57" s="694">
        <v>0</v>
      </c>
      <c r="KP57" s="694">
        <v>0</v>
      </c>
      <c r="KQ57" s="694">
        <f t="shared" si="99"/>
        <v>0</v>
      </c>
      <c r="KR57" s="694">
        <v>0</v>
      </c>
      <c r="KS57" s="694">
        <v>0</v>
      </c>
      <c r="KT57" s="694">
        <f t="shared" si="100"/>
        <v>0</v>
      </c>
      <c r="KU57" s="694">
        <v>0</v>
      </c>
      <c r="KV57" s="694">
        <v>0</v>
      </c>
      <c r="KW57" s="694">
        <f t="shared" si="101"/>
        <v>0</v>
      </c>
      <c r="KX57" s="694">
        <v>0</v>
      </c>
      <c r="KY57" s="694">
        <v>0</v>
      </c>
      <c r="KZ57" s="694">
        <f t="shared" si="102"/>
        <v>0</v>
      </c>
      <c r="LA57" s="694">
        <v>0</v>
      </c>
      <c r="LB57" s="694">
        <v>0</v>
      </c>
      <c r="LC57" s="694">
        <f t="shared" si="103"/>
        <v>0</v>
      </c>
      <c r="LD57" s="694">
        <v>0</v>
      </c>
      <c r="LE57" s="694">
        <v>0</v>
      </c>
      <c r="LF57" s="694">
        <f t="shared" si="104"/>
        <v>0</v>
      </c>
      <c r="LG57" s="694">
        <v>0</v>
      </c>
      <c r="LH57" s="694">
        <v>0</v>
      </c>
      <c r="LI57" s="694">
        <f t="shared" si="105"/>
        <v>0</v>
      </c>
      <c r="LJ57" s="324">
        <v>0</v>
      </c>
      <c r="LK57" s="324">
        <v>0</v>
      </c>
      <c r="LL57" s="695">
        <f t="shared" si="106"/>
        <v>0</v>
      </c>
    </row>
    <row r="58" spans="1:324" x14ac:dyDescent="0.35">
      <c r="A58" s="696">
        <v>4</v>
      </c>
      <c r="B58" s="387" t="s">
        <v>306</v>
      </c>
      <c r="C58" s="440" t="s">
        <v>123</v>
      </c>
      <c r="D58" s="330">
        <v>3433</v>
      </c>
      <c r="E58" s="330">
        <v>3275</v>
      </c>
      <c r="F58" s="629">
        <f t="shared" si="0"/>
        <v>6708</v>
      </c>
      <c r="G58" s="330">
        <v>1</v>
      </c>
      <c r="H58" s="330">
        <v>5890</v>
      </c>
      <c r="I58" s="629">
        <f t="shared" si="1"/>
        <v>5891</v>
      </c>
      <c r="J58" s="330">
        <v>3933</v>
      </c>
      <c r="K58" s="330">
        <v>3385</v>
      </c>
      <c r="L58" s="629">
        <f t="shared" si="2"/>
        <v>7318</v>
      </c>
      <c r="M58" s="330">
        <v>186</v>
      </c>
      <c r="N58" s="330">
        <v>79</v>
      </c>
      <c r="O58" s="629">
        <f t="shared" si="3"/>
        <v>265</v>
      </c>
      <c r="P58" s="330">
        <v>339</v>
      </c>
      <c r="Q58" s="330">
        <v>318</v>
      </c>
      <c r="R58" s="629">
        <f t="shared" si="4"/>
        <v>657</v>
      </c>
      <c r="S58" s="330">
        <v>90</v>
      </c>
      <c r="T58" s="330">
        <v>8</v>
      </c>
      <c r="U58" s="629">
        <f t="shared" si="5"/>
        <v>98</v>
      </c>
      <c r="V58" s="330">
        <v>59</v>
      </c>
      <c r="W58" s="330">
        <v>9</v>
      </c>
      <c r="X58" s="629">
        <f t="shared" si="6"/>
        <v>68</v>
      </c>
      <c r="Y58" s="330">
        <v>65</v>
      </c>
      <c r="Z58" s="330">
        <v>16</v>
      </c>
      <c r="AA58" s="629">
        <f t="shared" si="7"/>
        <v>81</v>
      </c>
      <c r="AB58" s="330">
        <v>44</v>
      </c>
      <c r="AC58" s="330">
        <v>10</v>
      </c>
      <c r="AD58" s="629">
        <f t="shared" si="8"/>
        <v>54</v>
      </c>
      <c r="AE58" s="330">
        <v>2</v>
      </c>
      <c r="AF58" s="330">
        <v>1</v>
      </c>
      <c r="AG58" s="629">
        <f t="shared" si="9"/>
        <v>3</v>
      </c>
      <c r="AH58" s="330">
        <v>1</v>
      </c>
      <c r="AI58" s="330">
        <v>0</v>
      </c>
      <c r="AJ58" s="629">
        <f t="shared" si="10"/>
        <v>1</v>
      </c>
      <c r="AK58" s="330">
        <v>1</v>
      </c>
      <c r="AL58" s="330">
        <v>1</v>
      </c>
      <c r="AM58" s="629">
        <f t="shared" si="11"/>
        <v>2</v>
      </c>
      <c r="AN58" s="330">
        <v>8</v>
      </c>
      <c r="AO58" s="330">
        <v>0</v>
      </c>
      <c r="AP58" s="629">
        <f t="shared" si="12"/>
        <v>8</v>
      </c>
      <c r="AQ58" s="330">
        <v>9</v>
      </c>
      <c r="AR58" s="330">
        <v>0</v>
      </c>
      <c r="AS58" s="629">
        <f t="shared" si="13"/>
        <v>9</v>
      </c>
      <c r="AT58" s="330">
        <v>4459</v>
      </c>
      <c r="AU58" s="330">
        <v>2286</v>
      </c>
      <c r="AV58" s="629">
        <f t="shared" si="14"/>
        <v>6745</v>
      </c>
      <c r="AW58" s="330">
        <v>106</v>
      </c>
      <c r="AX58" s="330">
        <v>53</v>
      </c>
      <c r="AY58" s="629">
        <f t="shared" si="15"/>
        <v>159</v>
      </c>
      <c r="AZ58" s="330">
        <v>4</v>
      </c>
      <c r="BA58" s="330">
        <v>1</v>
      </c>
      <c r="BB58" s="629">
        <f t="shared" si="16"/>
        <v>5</v>
      </c>
      <c r="BC58" s="330">
        <v>38</v>
      </c>
      <c r="BD58" s="330">
        <v>25</v>
      </c>
      <c r="BE58" s="629">
        <f t="shared" si="17"/>
        <v>63</v>
      </c>
      <c r="BF58" s="330">
        <v>326</v>
      </c>
      <c r="BG58" s="330">
        <v>18</v>
      </c>
      <c r="BH58" s="629">
        <f t="shared" si="18"/>
        <v>344</v>
      </c>
      <c r="BI58" s="330">
        <v>31</v>
      </c>
      <c r="BJ58" s="330">
        <v>8</v>
      </c>
      <c r="BK58" s="629">
        <f t="shared" si="19"/>
        <v>39</v>
      </c>
      <c r="BL58" s="330">
        <v>1</v>
      </c>
      <c r="BM58" s="330">
        <v>0</v>
      </c>
      <c r="BN58" s="629">
        <f t="shared" si="20"/>
        <v>1</v>
      </c>
      <c r="BO58" s="330">
        <v>0</v>
      </c>
      <c r="BP58" s="330">
        <v>0</v>
      </c>
      <c r="BQ58" s="629">
        <f t="shared" si="21"/>
        <v>0</v>
      </c>
      <c r="BR58" s="330">
        <v>0</v>
      </c>
      <c r="BS58" s="330">
        <v>7</v>
      </c>
      <c r="BT58" s="629">
        <f t="shared" si="22"/>
        <v>7</v>
      </c>
      <c r="BU58" s="330">
        <v>0</v>
      </c>
      <c r="BV58" s="330">
        <v>0</v>
      </c>
      <c r="BW58" s="629">
        <f t="shared" si="23"/>
        <v>0</v>
      </c>
      <c r="BX58" s="330">
        <v>1</v>
      </c>
      <c r="BY58" s="330">
        <v>0</v>
      </c>
      <c r="BZ58" s="629">
        <f t="shared" si="24"/>
        <v>1</v>
      </c>
      <c r="CA58" s="330">
        <v>1</v>
      </c>
      <c r="CB58" s="330">
        <v>0</v>
      </c>
      <c r="CC58" s="629">
        <f t="shared" si="25"/>
        <v>1</v>
      </c>
      <c r="CD58" s="330">
        <v>1</v>
      </c>
      <c r="CE58" s="330">
        <v>0</v>
      </c>
      <c r="CF58" s="629">
        <f t="shared" si="26"/>
        <v>1</v>
      </c>
      <c r="CG58" s="330">
        <v>0</v>
      </c>
      <c r="CH58" s="330">
        <v>0</v>
      </c>
      <c r="CI58" s="629">
        <f t="shared" si="27"/>
        <v>0</v>
      </c>
      <c r="CJ58" s="330">
        <v>0</v>
      </c>
      <c r="CK58" s="330">
        <v>0</v>
      </c>
      <c r="CL58" s="629">
        <f t="shared" si="28"/>
        <v>0</v>
      </c>
      <c r="CM58" s="330">
        <v>1</v>
      </c>
      <c r="CN58" s="330">
        <v>0</v>
      </c>
      <c r="CO58" s="629">
        <f t="shared" si="29"/>
        <v>1</v>
      </c>
      <c r="CP58" s="330">
        <v>0</v>
      </c>
      <c r="CQ58" s="330">
        <v>0</v>
      </c>
      <c r="CR58" s="629">
        <f t="shared" si="30"/>
        <v>0</v>
      </c>
      <c r="CS58" s="330">
        <v>0</v>
      </c>
      <c r="CT58" s="330">
        <v>0</v>
      </c>
      <c r="CU58" s="629">
        <f t="shared" si="31"/>
        <v>0</v>
      </c>
      <c r="CV58" s="330">
        <v>0</v>
      </c>
      <c r="CW58" s="330">
        <v>0</v>
      </c>
      <c r="CX58" s="629">
        <f t="shared" si="32"/>
        <v>0</v>
      </c>
      <c r="CY58" s="330">
        <v>0</v>
      </c>
      <c r="CZ58" s="330">
        <v>1</v>
      </c>
      <c r="DA58" s="629">
        <f t="shared" si="33"/>
        <v>1</v>
      </c>
      <c r="DB58" s="330">
        <v>2</v>
      </c>
      <c r="DC58" s="330">
        <v>0</v>
      </c>
      <c r="DD58" s="629">
        <f t="shared" si="34"/>
        <v>2</v>
      </c>
      <c r="DE58" s="330">
        <v>8</v>
      </c>
      <c r="DF58" s="330">
        <v>0</v>
      </c>
      <c r="DG58" s="629">
        <f t="shared" si="35"/>
        <v>8</v>
      </c>
      <c r="DH58" s="330">
        <v>1</v>
      </c>
      <c r="DI58" s="330">
        <v>0</v>
      </c>
      <c r="DJ58" s="629">
        <f t="shared" si="36"/>
        <v>1</v>
      </c>
      <c r="DK58" s="330">
        <v>0</v>
      </c>
      <c r="DL58" s="330">
        <v>0</v>
      </c>
      <c r="DM58" s="629">
        <f t="shared" si="37"/>
        <v>0</v>
      </c>
      <c r="DN58" s="330">
        <v>2</v>
      </c>
      <c r="DO58" s="330">
        <v>0</v>
      </c>
      <c r="DP58" s="629">
        <f t="shared" si="38"/>
        <v>2</v>
      </c>
      <c r="DQ58" s="330">
        <v>0</v>
      </c>
      <c r="DR58" s="330">
        <v>0</v>
      </c>
      <c r="DS58" s="629">
        <f t="shared" si="39"/>
        <v>0</v>
      </c>
      <c r="DT58" s="330">
        <v>0</v>
      </c>
      <c r="DU58" s="330">
        <v>0</v>
      </c>
      <c r="DV58" s="629">
        <f t="shared" si="40"/>
        <v>0</v>
      </c>
      <c r="DW58" s="330">
        <v>8</v>
      </c>
      <c r="DX58" s="330">
        <v>1</v>
      </c>
      <c r="DY58" s="629">
        <f t="shared" si="41"/>
        <v>9</v>
      </c>
      <c r="DZ58" s="330">
        <v>0</v>
      </c>
      <c r="EA58" s="330">
        <v>0</v>
      </c>
      <c r="EB58" s="629">
        <f t="shared" si="42"/>
        <v>0</v>
      </c>
      <c r="EC58" s="330">
        <v>9</v>
      </c>
      <c r="ED58" s="330">
        <v>3</v>
      </c>
      <c r="EE58" s="629">
        <f t="shared" si="43"/>
        <v>12</v>
      </c>
      <c r="EF58" s="330">
        <v>2</v>
      </c>
      <c r="EG58" s="330">
        <v>0</v>
      </c>
      <c r="EH58" s="629">
        <f t="shared" si="44"/>
        <v>2</v>
      </c>
      <c r="EI58" s="330">
        <v>0</v>
      </c>
      <c r="EJ58" s="330">
        <v>0</v>
      </c>
      <c r="EK58" s="629">
        <f t="shared" si="45"/>
        <v>0</v>
      </c>
      <c r="EL58" s="330">
        <v>0</v>
      </c>
      <c r="EM58" s="330">
        <v>0</v>
      </c>
      <c r="EN58" s="629">
        <f t="shared" si="46"/>
        <v>0</v>
      </c>
      <c r="EO58" s="330">
        <v>1</v>
      </c>
      <c r="EP58" s="330">
        <v>0</v>
      </c>
      <c r="EQ58" s="629">
        <f t="shared" si="47"/>
        <v>1</v>
      </c>
      <c r="ER58" s="330">
        <v>0</v>
      </c>
      <c r="ES58" s="330">
        <v>0</v>
      </c>
      <c r="ET58" s="629">
        <f t="shared" si="48"/>
        <v>0</v>
      </c>
      <c r="EU58" s="330">
        <v>0</v>
      </c>
      <c r="EV58" s="330">
        <v>0</v>
      </c>
      <c r="EW58" s="629">
        <f t="shared" si="49"/>
        <v>0</v>
      </c>
      <c r="EX58" s="330">
        <v>0</v>
      </c>
      <c r="EY58" s="330">
        <v>0</v>
      </c>
      <c r="EZ58" s="629">
        <f t="shared" si="50"/>
        <v>0</v>
      </c>
      <c r="FA58" s="330">
        <v>0</v>
      </c>
      <c r="FB58" s="330">
        <v>0</v>
      </c>
      <c r="FC58" s="629">
        <f t="shared" si="51"/>
        <v>0</v>
      </c>
      <c r="FD58" s="330">
        <v>0</v>
      </c>
      <c r="FE58" s="330">
        <v>0</v>
      </c>
      <c r="FF58" s="629">
        <f t="shared" si="52"/>
        <v>0</v>
      </c>
      <c r="FG58" s="330">
        <v>0</v>
      </c>
      <c r="FH58" s="330">
        <v>0</v>
      </c>
      <c r="FI58" s="629">
        <f t="shared" si="53"/>
        <v>0</v>
      </c>
      <c r="FJ58" s="330">
        <v>0</v>
      </c>
      <c r="FK58" s="330">
        <v>0</v>
      </c>
      <c r="FL58" s="629">
        <f t="shared" si="54"/>
        <v>0</v>
      </c>
      <c r="FM58" s="330">
        <v>0</v>
      </c>
      <c r="FN58" s="330">
        <v>0</v>
      </c>
      <c r="FO58" s="629">
        <f t="shared" si="55"/>
        <v>0</v>
      </c>
      <c r="FP58" s="330">
        <v>0</v>
      </c>
      <c r="FQ58" s="330">
        <v>0</v>
      </c>
      <c r="FR58" s="629">
        <f t="shared" si="56"/>
        <v>0</v>
      </c>
      <c r="FS58" s="330">
        <v>0</v>
      </c>
      <c r="FT58" s="330">
        <v>0</v>
      </c>
      <c r="FU58" s="629">
        <f t="shared" si="57"/>
        <v>0</v>
      </c>
      <c r="FV58" s="330">
        <v>0</v>
      </c>
      <c r="FW58" s="330">
        <v>0</v>
      </c>
      <c r="FX58" s="629">
        <f t="shared" si="58"/>
        <v>0</v>
      </c>
      <c r="FY58" s="330">
        <v>0</v>
      </c>
      <c r="FZ58" s="330">
        <v>0</v>
      </c>
      <c r="GA58" s="629">
        <f t="shared" si="59"/>
        <v>0</v>
      </c>
      <c r="GB58" s="330">
        <v>0</v>
      </c>
      <c r="GC58" s="330">
        <v>0</v>
      </c>
      <c r="GD58" s="629">
        <f t="shared" si="60"/>
        <v>0</v>
      </c>
      <c r="GE58" s="330">
        <v>0</v>
      </c>
      <c r="GF58" s="330">
        <v>0</v>
      </c>
      <c r="GG58" s="629">
        <f t="shared" si="61"/>
        <v>0</v>
      </c>
      <c r="GH58" s="330">
        <v>0</v>
      </c>
      <c r="GI58" s="330">
        <v>0</v>
      </c>
      <c r="GJ58" s="629">
        <f t="shared" si="62"/>
        <v>0</v>
      </c>
      <c r="GK58" s="330">
        <v>24</v>
      </c>
      <c r="GL58" s="330">
        <v>23</v>
      </c>
      <c r="GM58" s="629">
        <f t="shared" si="63"/>
        <v>47</v>
      </c>
      <c r="GN58" s="330">
        <v>67</v>
      </c>
      <c r="GO58" s="330">
        <v>205</v>
      </c>
      <c r="GP58" s="629">
        <f t="shared" si="64"/>
        <v>272</v>
      </c>
      <c r="GQ58" s="330">
        <v>4</v>
      </c>
      <c r="GR58" s="330">
        <v>0</v>
      </c>
      <c r="GS58" s="629">
        <f t="shared" si="65"/>
        <v>4</v>
      </c>
      <c r="GT58" s="330">
        <v>5</v>
      </c>
      <c r="GU58" s="330">
        <v>0</v>
      </c>
      <c r="GV58" s="629">
        <f t="shared" si="66"/>
        <v>5</v>
      </c>
      <c r="GW58" s="330">
        <v>1</v>
      </c>
      <c r="GX58" s="330">
        <v>1</v>
      </c>
      <c r="GY58" s="629">
        <f t="shared" si="67"/>
        <v>2</v>
      </c>
      <c r="GZ58" s="330">
        <v>1</v>
      </c>
      <c r="HA58" s="330">
        <v>1</v>
      </c>
      <c r="HB58" s="629">
        <f t="shared" si="68"/>
        <v>2</v>
      </c>
      <c r="HC58" s="330">
        <v>0</v>
      </c>
      <c r="HD58" s="330">
        <v>0</v>
      </c>
      <c r="HE58" s="629">
        <f t="shared" si="69"/>
        <v>0</v>
      </c>
      <c r="HF58" s="330">
        <v>5</v>
      </c>
      <c r="HG58" s="330">
        <v>0</v>
      </c>
      <c r="HH58" s="629">
        <f t="shared" si="70"/>
        <v>5</v>
      </c>
      <c r="HI58" s="330">
        <v>13</v>
      </c>
      <c r="HJ58" s="330">
        <v>59</v>
      </c>
      <c r="HK58" s="629">
        <f t="shared" si="71"/>
        <v>72</v>
      </c>
      <c r="HL58" s="330">
        <v>0</v>
      </c>
      <c r="HM58" s="330">
        <v>16</v>
      </c>
      <c r="HN58" s="629">
        <f t="shared" si="72"/>
        <v>16</v>
      </c>
      <c r="HO58" s="330">
        <v>5</v>
      </c>
      <c r="HP58" s="330">
        <v>35</v>
      </c>
      <c r="HQ58" s="629">
        <f t="shared" si="73"/>
        <v>40</v>
      </c>
      <c r="HR58" s="330">
        <v>0</v>
      </c>
      <c r="HS58" s="330">
        <v>2</v>
      </c>
      <c r="HT58" s="629">
        <f t="shared" si="74"/>
        <v>2</v>
      </c>
      <c r="HU58" s="330">
        <v>0</v>
      </c>
      <c r="HV58" s="330">
        <v>1</v>
      </c>
      <c r="HW58" s="629">
        <f t="shared" si="75"/>
        <v>1</v>
      </c>
      <c r="HX58" s="330">
        <v>0</v>
      </c>
      <c r="HY58" s="330">
        <v>0</v>
      </c>
      <c r="HZ58" s="629">
        <f t="shared" si="76"/>
        <v>0</v>
      </c>
      <c r="IA58" s="330">
        <v>0</v>
      </c>
      <c r="IB58" s="330">
        <v>0</v>
      </c>
      <c r="IC58" s="629">
        <f t="shared" si="77"/>
        <v>0</v>
      </c>
      <c r="ID58" s="330">
        <v>9</v>
      </c>
      <c r="IE58" s="330">
        <v>0</v>
      </c>
      <c r="IF58" s="629">
        <f t="shared" si="78"/>
        <v>9</v>
      </c>
      <c r="IG58" s="330">
        <v>0</v>
      </c>
      <c r="IH58" s="330">
        <v>0</v>
      </c>
      <c r="II58" s="629">
        <f t="shared" si="79"/>
        <v>0</v>
      </c>
      <c r="IJ58" s="330">
        <v>40</v>
      </c>
      <c r="IK58" s="330">
        <v>0</v>
      </c>
      <c r="IL58" s="629">
        <f t="shared" si="80"/>
        <v>40</v>
      </c>
      <c r="IM58" s="330">
        <v>0</v>
      </c>
      <c r="IN58" s="330">
        <v>0</v>
      </c>
      <c r="IO58" s="629">
        <f t="shared" si="81"/>
        <v>0</v>
      </c>
      <c r="IP58" s="330">
        <v>0</v>
      </c>
      <c r="IQ58" s="330">
        <v>0</v>
      </c>
      <c r="IR58" s="629">
        <f t="shared" si="82"/>
        <v>0</v>
      </c>
      <c r="IS58" s="330">
        <v>211</v>
      </c>
      <c r="IT58" s="330">
        <v>57</v>
      </c>
      <c r="IU58" s="629">
        <f t="shared" si="83"/>
        <v>268</v>
      </c>
      <c r="IV58" s="330">
        <v>1</v>
      </c>
      <c r="IW58" s="330">
        <v>0</v>
      </c>
      <c r="IX58" s="629">
        <f t="shared" si="84"/>
        <v>1</v>
      </c>
      <c r="IY58" s="330">
        <v>0</v>
      </c>
      <c r="IZ58" s="330">
        <v>0</v>
      </c>
      <c r="JA58" s="629">
        <f t="shared" si="85"/>
        <v>0</v>
      </c>
      <c r="JB58" s="330">
        <v>0</v>
      </c>
      <c r="JC58" s="330">
        <v>0</v>
      </c>
      <c r="JD58" s="629">
        <f t="shared" si="86"/>
        <v>0</v>
      </c>
      <c r="JE58" s="330">
        <v>2428</v>
      </c>
      <c r="JF58" s="330">
        <v>552</v>
      </c>
      <c r="JG58" s="629">
        <f t="shared" si="87"/>
        <v>2980</v>
      </c>
      <c r="JH58" s="330">
        <v>0</v>
      </c>
      <c r="JI58" s="330">
        <v>2</v>
      </c>
      <c r="JJ58" s="629">
        <f t="shared" si="88"/>
        <v>2</v>
      </c>
      <c r="JK58" s="330">
        <v>0</v>
      </c>
      <c r="JL58" s="330">
        <v>0</v>
      </c>
      <c r="JM58" s="629">
        <f t="shared" si="89"/>
        <v>0</v>
      </c>
      <c r="JN58" s="330">
        <v>0</v>
      </c>
      <c r="JO58" s="330">
        <v>0</v>
      </c>
      <c r="JP58" s="629">
        <f t="shared" si="90"/>
        <v>0</v>
      </c>
      <c r="JQ58" s="330">
        <v>1</v>
      </c>
      <c r="JR58" s="330">
        <v>0</v>
      </c>
      <c r="JS58" s="629">
        <f t="shared" si="91"/>
        <v>1</v>
      </c>
      <c r="JT58" s="330">
        <v>0</v>
      </c>
      <c r="JU58" s="330">
        <v>0</v>
      </c>
      <c r="JV58" s="629">
        <f t="shared" si="92"/>
        <v>0</v>
      </c>
      <c r="JW58" s="330">
        <v>1</v>
      </c>
      <c r="JX58" s="330">
        <v>0</v>
      </c>
      <c r="JY58" s="629">
        <f t="shared" si="93"/>
        <v>1</v>
      </c>
      <c r="JZ58" s="330">
        <v>0</v>
      </c>
      <c r="KA58" s="330">
        <v>0</v>
      </c>
      <c r="KB58" s="629">
        <f t="shared" si="94"/>
        <v>0</v>
      </c>
      <c r="KC58" s="330">
        <v>0</v>
      </c>
      <c r="KD58" s="330">
        <v>0</v>
      </c>
      <c r="KE58" s="629">
        <f t="shared" si="95"/>
        <v>0</v>
      </c>
      <c r="KF58" s="330">
        <v>1</v>
      </c>
      <c r="KG58" s="330">
        <v>0</v>
      </c>
      <c r="KH58" s="629">
        <f t="shared" si="96"/>
        <v>1</v>
      </c>
      <c r="KI58" s="330">
        <v>0</v>
      </c>
      <c r="KJ58" s="330">
        <v>0</v>
      </c>
      <c r="KK58" s="629">
        <f t="shared" si="97"/>
        <v>0</v>
      </c>
      <c r="KL58" s="629">
        <v>0</v>
      </c>
      <c r="KM58" s="629">
        <v>0</v>
      </c>
      <c r="KN58" s="629">
        <f t="shared" si="98"/>
        <v>0</v>
      </c>
      <c r="KO58" s="629">
        <v>0</v>
      </c>
      <c r="KP58" s="629">
        <v>0</v>
      </c>
      <c r="KQ58" s="629">
        <f t="shared" si="99"/>
        <v>0</v>
      </c>
      <c r="KR58" s="629">
        <v>0</v>
      </c>
      <c r="KS58" s="629">
        <v>0</v>
      </c>
      <c r="KT58" s="629">
        <f t="shared" si="100"/>
        <v>0</v>
      </c>
      <c r="KU58" s="629">
        <v>0</v>
      </c>
      <c r="KV58" s="629">
        <v>0</v>
      </c>
      <c r="KW58" s="629">
        <f t="shared" si="101"/>
        <v>0</v>
      </c>
      <c r="KX58" s="629">
        <v>0</v>
      </c>
      <c r="KY58" s="629">
        <v>0</v>
      </c>
      <c r="KZ58" s="629">
        <f t="shared" si="102"/>
        <v>0</v>
      </c>
      <c r="LA58" s="629">
        <v>0</v>
      </c>
      <c r="LB58" s="629">
        <v>0</v>
      </c>
      <c r="LC58" s="629">
        <f t="shared" si="103"/>
        <v>0</v>
      </c>
      <c r="LD58" s="629">
        <v>0</v>
      </c>
      <c r="LE58" s="629">
        <v>0</v>
      </c>
      <c r="LF58" s="629">
        <f t="shared" si="104"/>
        <v>0</v>
      </c>
      <c r="LG58" s="629">
        <v>0</v>
      </c>
      <c r="LH58" s="629">
        <v>0</v>
      </c>
      <c r="LI58" s="629">
        <f t="shared" si="105"/>
        <v>0</v>
      </c>
      <c r="LJ58" s="330">
        <v>0</v>
      </c>
      <c r="LK58" s="330">
        <v>0</v>
      </c>
      <c r="LL58" s="697">
        <f t="shared" si="106"/>
        <v>0</v>
      </c>
    </row>
    <row r="59" spans="1:324" x14ac:dyDescent="0.35">
      <c r="A59" s="696">
        <v>4</v>
      </c>
      <c r="B59" s="387" t="s">
        <v>307</v>
      </c>
      <c r="C59" s="440" t="s">
        <v>125</v>
      </c>
      <c r="D59" s="330">
        <v>1803</v>
      </c>
      <c r="E59" s="330">
        <v>1815</v>
      </c>
      <c r="F59" s="629">
        <f t="shared" si="0"/>
        <v>3618</v>
      </c>
      <c r="G59" s="330">
        <v>1</v>
      </c>
      <c r="H59" s="330">
        <v>2867</v>
      </c>
      <c r="I59" s="629">
        <f t="shared" si="1"/>
        <v>2868</v>
      </c>
      <c r="J59" s="330">
        <v>2036</v>
      </c>
      <c r="K59" s="330">
        <v>1871</v>
      </c>
      <c r="L59" s="629">
        <f t="shared" si="2"/>
        <v>3907</v>
      </c>
      <c r="M59" s="330">
        <v>97</v>
      </c>
      <c r="N59" s="330">
        <v>41</v>
      </c>
      <c r="O59" s="629">
        <f t="shared" si="3"/>
        <v>138</v>
      </c>
      <c r="P59" s="330">
        <v>136</v>
      </c>
      <c r="Q59" s="330">
        <v>105</v>
      </c>
      <c r="R59" s="629">
        <f t="shared" si="4"/>
        <v>241</v>
      </c>
      <c r="S59" s="330">
        <v>109</v>
      </c>
      <c r="T59" s="330">
        <v>12</v>
      </c>
      <c r="U59" s="629">
        <f t="shared" si="5"/>
        <v>121</v>
      </c>
      <c r="V59" s="330">
        <v>35</v>
      </c>
      <c r="W59" s="330">
        <v>6</v>
      </c>
      <c r="X59" s="629">
        <f t="shared" si="6"/>
        <v>41</v>
      </c>
      <c r="Y59" s="330">
        <v>29</v>
      </c>
      <c r="Z59" s="330">
        <v>10</v>
      </c>
      <c r="AA59" s="629">
        <f t="shared" si="7"/>
        <v>39</v>
      </c>
      <c r="AB59" s="330">
        <v>35</v>
      </c>
      <c r="AC59" s="330">
        <v>2</v>
      </c>
      <c r="AD59" s="629">
        <f t="shared" si="8"/>
        <v>37</v>
      </c>
      <c r="AE59" s="330">
        <v>1</v>
      </c>
      <c r="AF59" s="330">
        <v>0</v>
      </c>
      <c r="AG59" s="629">
        <f t="shared" si="9"/>
        <v>1</v>
      </c>
      <c r="AH59" s="330">
        <v>0</v>
      </c>
      <c r="AI59" s="330">
        <v>0</v>
      </c>
      <c r="AJ59" s="629">
        <f t="shared" si="10"/>
        <v>0</v>
      </c>
      <c r="AK59" s="330">
        <v>0</v>
      </c>
      <c r="AL59" s="330">
        <v>2</v>
      </c>
      <c r="AM59" s="629">
        <f t="shared" si="11"/>
        <v>2</v>
      </c>
      <c r="AN59" s="330">
        <v>2</v>
      </c>
      <c r="AO59" s="330">
        <v>0</v>
      </c>
      <c r="AP59" s="629">
        <f t="shared" si="12"/>
        <v>2</v>
      </c>
      <c r="AQ59" s="330">
        <v>1</v>
      </c>
      <c r="AR59" s="330">
        <v>0</v>
      </c>
      <c r="AS59" s="629">
        <f t="shared" si="13"/>
        <v>1</v>
      </c>
      <c r="AT59" s="330">
        <v>2428</v>
      </c>
      <c r="AU59" s="330">
        <v>1453</v>
      </c>
      <c r="AV59" s="629">
        <f t="shared" si="14"/>
        <v>3881</v>
      </c>
      <c r="AW59" s="330">
        <v>153</v>
      </c>
      <c r="AX59" s="330">
        <v>75</v>
      </c>
      <c r="AY59" s="629">
        <f t="shared" si="15"/>
        <v>228</v>
      </c>
      <c r="AZ59" s="330">
        <v>1</v>
      </c>
      <c r="BA59" s="330">
        <v>1</v>
      </c>
      <c r="BB59" s="629">
        <f t="shared" si="16"/>
        <v>2</v>
      </c>
      <c r="BC59" s="330">
        <v>17</v>
      </c>
      <c r="BD59" s="330">
        <v>10</v>
      </c>
      <c r="BE59" s="629">
        <f t="shared" si="17"/>
        <v>27</v>
      </c>
      <c r="BF59" s="330">
        <v>182</v>
      </c>
      <c r="BG59" s="330">
        <v>12</v>
      </c>
      <c r="BH59" s="629">
        <f t="shared" si="18"/>
        <v>194</v>
      </c>
      <c r="BI59" s="330">
        <v>21</v>
      </c>
      <c r="BJ59" s="330">
        <v>2</v>
      </c>
      <c r="BK59" s="629">
        <f t="shared" si="19"/>
        <v>23</v>
      </c>
      <c r="BL59" s="330">
        <v>0</v>
      </c>
      <c r="BM59" s="330">
        <v>0</v>
      </c>
      <c r="BN59" s="629">
        <f t="shared" si="20"/>
        <v>0</v>
      </c>
      <c r="BO59" s="330">
        <v>1</v>
      </c>
      <c r="BP59" s="330">
        <v>0</v>
      </c>
      <c r="BQ59" s="629">
        <f t="shared" si="21"/>
        <v>1</v>
      </c>
      <c r="BR59" s="330">
        <v>0</v>
      </c>
      <c r="BS59" s="330">
        <v>9</v>
      </c>
      <c r="BT59" s="629">
        <f t="shared" si="22"/>
        <v>9</v>
      </c>
      <c r="BU59" s="330">
        <v>0</v>
      </c>
      <c r="BV59" s="330">
        <v>0</v>
      </c>
      <c r="BW59" s="629">
        <f t="shared" si="23"/>
        <v>0</v>
      </c>
      <c r="BX59" s="330">
        <v>0</v>
      </c>
      <c r="BY59" s="330">
        <v>0</v>
      </c>
      <c r="BZ59" s="629">
        <f t="shared" si="24"/>
        <v>0</v>
      </c>
      <c r="CA59" s="330">
        <v>4</v>
      </c>
      <c r="CB59" s="330">
        <v>0</v>
      </c>
      <c r="CC59" s="629">
        <f t="shared" si="25"/>
        <v>4</v>
      </c>
      <c r="CD59" s="330">
        <v>1</v>
      </c>
      <c r="CE59" s="330">
        <v>0</v>
      </c>
      <c r="CF59" s="629">
        <f t="shared" si="26"/>
        <v>1</v>
      </c>
      <c r="CG59" s="330">
        <v>0</v>
      </c>
      <c r="CH59" s="330">
        <v>0</v>
      </c>
      <c r="CI59" s="629">
        <f t="shared" si="27"/>
        <v>0</v>
      </c>
      <c r="CJ59" s="330">
        <v>1</v>
      </c>
      <c r="CK59" s="330">
        <v>0</v>
      </c>
      <c r="CL59" s="629">
        <f t="shared" si="28"/>
        <v>1</v>
      </c>
      <c r="CM59" s="330">
        <v>1</v>
      </c>
      <c r="CN59" s="330">
        <v>0</v>
      </c>
      <c r="CO59" s="629">
        <f t="shared" si="29"/>
        <v>1</v>
      </c>
      <c r="CP59" s="330">
        <v>0</v>
      </c>
      <c r="CQ59" s="330">
        <v>0</v>
      </c>
      <c r="CR59" s="629">
        <f t="shared" si="30"/>
        <v>0</v>
      </c>
      <c r="CS59" s="330">
        <v>0</v>
      </c>
      <c r="CT59" s="330">
        <v>0</v>
      </c>
      <c r="CU59" s="629">
        <f t="shared" si="31"/>
        <v>0</v>
      </c>
      <c r="CV59" s="330">
        <v>0</v>
      </c>
      <c r="CW59" s="330">
        <v>0</v>
      </c>
      <c r="CX59" s="629">
        <f t="shared" si="32"/>
        <v>0</v>
      </c>
      <c r="CY59" s="330">
        <v>0</v>
      </c>
      <c r="CZ59" s="330">
        <v>0</v>
      </c>
      <c r="DA59" s="629">
        <f t="shared" si="33"/>
        <v>0</v>
      </c>
      <c r="DB59" s="330">
        <v>3</v>
      </c>
      <c r="DC59" s="330">
        <v>0</v>
      </c>
      <c r="DD59" s="629">
        <f t="shared" si="34"/>
        <v>3</v>
      </c>
      <c r="DE59" s="330">
        <v>3</v>
      </c>
      <c r="DF59" s="330">
        <v>0</v>
      </c>
      <c r="DG59" s="629">
        <f t="shared" si="35"/>
        <v>3</v>
      </c>
      <c r="DH59" s="330">
        <v>1</v>
      </c>
      <c r="DI59" s="330">
        <v>0</v>
      </c>
      <c r="DJ59" s="629">
        <f t="shared" si="36"/>
        <v>1</v>
      </c>
      <c r="DK59" s="330">
        <v>0</v>
      </c>
      <c r="DL59" s="330">
        <v>0</v>
      </c>
      <c r="DM59" s="629">
        <f t="shared" si="37"/>
        <v>0</v>
      </c>
      <c r="DN59" s="330">
        <v>0</v>
      </c>
      <c r="DO59" s="330">
        <v>0</v>
      </c>
      <c r="DP59" s="629">
        <f t="shared" si="38"/>
        <v>0</v>
      </c>
      <c r="DQ59" s="330">
        <v>0</v>
      </c>
      <c r="DR59" s="330">
        <v>0</v>
      </c>
      <c r="DS59" s="629">
        <f t="shared" si="39"/>
        <v>0</v>
      </c>
      <c r="DT59" s="330">
        <v>1</v>
      </c>
      <c r="DU59" s="330">
        <v>0</v>
      </c>
      <c r="DV59" s="629">
        <f t="shared" si="40"/>
        <v>1</v>
      </c>
      <c r="DW59" s="330">
        <v>2</v>
      </c>
      <c r="DX59" s="330">
        <v>1</v>
      </c>
      <c r="DY59" s="629">
        <f t="shared" si="41"/>
        <v>3</v>
      </c>
      <c r="DZ59" s="330">
        <v>0</v>
      </c>
      <c r="EA59" s="330">
        <v>0</v>
      </c>
      <c r="EB59" s="629">
        <f t="shared" si="42"/>
        <v>0</v>
      </c>
      <c r="EC59" s="330">
        <v>10</v>
      </c>
      <c r="ED59" s="330">
        <v>1</v>
      </c>
      <c r="EE59" s="629">
        <f t="shared" si="43"/>
        <v>11</v>
      </c>
      <c r="EF59" s="330">
        <v>4</v>
      </c>
      <c r="EG59" s="330">
        <v>0</v>
      </c>
      <c r="EH59" s="629">
        <f t="shared" si="44"/>
        <v>4</v>
      </c>
      <c r="EI59" s="330">
        <v>0</v>
      </c>
      <c r="EJ59" s="330">
        <v>0</v>
      </c>
      <c r="EK59" s="629">
        <f t="shared" si="45"/>
        <v>0</v>
      </c>
      <c r="EL59" s="330">
        <v>0</v>
      </c>
      <c r="EM59" s="330">
        <v>0</v>
      </c>
      <c r="EN59" s="629">
        <f t="shared" si="46"/>
        <v>0</v>
      </c>
      <c r="EO59" s="330">
        <v>0</v>
      </c>
      <c r="EP59" s="330">
        <v>0</v>
      </c>
      <c r="EQ59" s="629">
        <f t="shared" si="47"/>
        <v>0</v>
      </c>
      <c r="ER59" s="330">
        <v>0</v>
      </c>
      <c r="ES59" s="330">
        <v>0</v>
      </c>
      <c r="ET59" s="629">
        <f t="shared" si="48"/>
        <v>0</v>
      </c>
      <c r="EU59" s="330">
        <v>0</v>
      </c>
      <c r="EV59" s="330">
        <v>0</v>
      </c>
      <c r="EW59" s="629">
        <f t="shared" si="49"/>
        <v>0</v>
      </c>
      <c r="EX59" s="330">
        <v>0</v>
      </c>
      <c r="EY59" s="330">
        <v>0</v>
      </c>
      <c r="EZ59" s="629">
        <f t="shared" si="50"/>
        <v>0</v>
      </c>
      <c r="FA59" s="330">
        <v>0</v>
      </c>
      <c r="FB59" s="330">
        <v>0</v>
      </c>
      <c r="FC59" s="629">
        <f t="shared" si="51"/>
        <v>0</v>
      </c>
      <c r="FD59" s="330">
        <v>0</v>
      </c>
      <c r="FE59" s="330">
        <v>0</v>
      </c>
      <c r="FF59" s="629">
        <f t="shared" si="52"/>
        <v>0</v>
      </c>
      <c r="FG59" s="330">
        <v>0</v>
      </c>
      <c r="FH59" s="330">
        <v>0</v>
      </c>
      <c r="FI59" s="629">
        <f t="shared" si="53"/>
        <v>0</v>
      </c>
      <c r="FJ59" s="330">
        <v>0</v>
      </c>
      <c r="FK59" s="330">
        <v>0</v>
      </c>
      <c r="FL59" s="629">
        <f t="shared" si="54"/>
        <v>0</v>
      </c>
      <c r="FM59" s="330">
        <v>0</v>
      </c>
      <c r="FN59" s="330">
        <v>0</v>
      </c>
      <c r="FO59" s="629">
        <f t="shared" si="55"/>
        <v>0</v>
      </c>
      <c r="FP59" s="330">
        <v>0</v>
      </c>
      <c r="FQ59" s="330">
        <v>0</v>
      </c>
      <c r="FR59" s="629">
        <f t="shared" si="56"/>
        <v>0</v>
      </c>
      <c r="FS59" s="330">
        <v>0</v>
      </c>
      <c r="FT59" s="330">
        <v>0</v>
      </c>
      <c r="FU59" s="629">
        <f t="shared" si="57"/>
        <v>0</v>
      </c>
      <c r="FV59" s="330">
        <v>0</v>
      </c>
      <c r="FW59" s="330">
        <v>0</v>
      </c>
      <c r="FX59" s="629">
        <f t="shared" si="58"/>
        <v>0</v>
      </c>
      <c r="FY59" s="330">
        <v>0</v>
      </c>
      <c r="FZ59" s="330">
        <v>0</v>
      </c>
      <c r="GA59" s="629">
        <f t="shared" si="59"/>
        <v>0</v>
      </c>
      <c r="GB59" s="330">
        <v>0</v>
      </c>
      <c r="GC59" s="330">
        <v>0</v>
      </c>
      <c r="GD59" s="629">
        <f t="shared" si="60"/>
        <v>0</v>
      </c>
      <c r="GE59" s="330">
        <v>0</v>
      </c>
      <c r="GF59" s="330">
        <v>0</v>
      </c>
      <c r="GG59" s="629">
        <f t="shared" si="61"/>
        <v>0</v>
      </c>
      <c r="GH59" s="330">
        <v>1</v>
      </c>
      <c r="GI59" s="330">
        <v>1</v>
      </c>
      <c r="GJ59" s="629">
        <f t="shared" si="62"/>
        <v>2</v>
      </c>
      <c r="GK59" s="330">
        <v>13</v>
      </c>
      <c r="GL59" s="330">
        <v>15</v>
      </c>
      <c r="GM59" s="629">
        <f t="shared" si="63"/>
        <v>28</v>
      </c>
      <c r="GN59" s="330">
        <v>17</v>
      </c>
      <c r="GO59" s="330">
        <v>51</v>
      </c>
      <c r="GP59" s="629">
        <f t="shared" si="64"/>
        <v>68</v>
      </c>
      <c r="GQ59" s="330">
        <v>9</v>
      </c>
      <c r="GR59" s="330">
        <v>0</v>
      </c>
      <c r="GS59" s="629">
        <f t="shared" si="65"/>
        <v>9</v>
      </c>
      <c r="GT59" s="330">
        <v>11</v>
      </c>
      <c r="GU59" s="330">
        <v>5</v>
      </c>
      <c r="GV59" s="629">
        <f t="shared" si="66"/>
        <v>16</v>
      </c>
      <c r="GW59" s="330">
        <v>1</v>
      </c>
      <c r="GX59" s="330">
        <v>6</v>
      </c>
      <c r="GY59" s="629">
        <f t="shared" si="67"/>
        <v>7</v>
      </c>
      <c r="GZ59" s="330">
        <v>2</v>
      </c>
      <c r="HA59" s="330">
        <v>0</v>
      </c>
      <c r="HB59" s="629">
        <f t="shared" si="68"/>
        <v>2</v>
      </c>
      <c r="HC59" s="330">
        <v>2</v>
      </c>
      <c r="HD59" s="330">
        <v>1</v>
      </c>
      <c r="HE59" s="629">
        <f t="shared" si="69"/>
        <v>3</v>
      </c>
      <c r="HF59" s="330">
        <v>3</v>
      </c>
      <c r="HG59" s="330">
        <v>3</v>
      </c>
      <c r="HH59" s="629">
        <f t="shared" si="70"/>
        <v>6</v>
      </c>
      <c r="HI59" s="330">
        <v>32</v>
      </c>
      <c r="HJ59" s="330">
        <v>92</v>
      </c>
      <c r="HK59" s="629">
        <f t="shared" si="71"/>
        <v>124</v>
      </c>
      <c r="HL59" s="330">
        <v>0</v>
      </c>
      <c r="HM59" s="330">
        <v>5</v>
      </c>
      <c r="HN59" s="629">
        <f t="shared" si="72"/>
        <v>5</v>
      </c>
      <c r="HO59" s="330">
        <v>0</v>
      </c>
      <c r="HP59" s="330">
        <v>7</v>
      </c>
      <c r="HQ59" s="629">
        <f t="shared" si="73"/>
        <v>7</v>
      </c>
      <c r="HR59" s="330">
        <v>0</v>
      </c>
      <c r="HS59" s="330">
        <v>3</v>
      </c>
      <c r="HT59" s="629">
        <f t="shared" si="74"/>
        <v>3</v>
      </c>
      <c r="HU59" s="330">
        <v>0</v>
      </c>
      <c r="HV59" s="330">
        <v>5</v>
      </c>
      <c r="HW59" s="629">
        <f t="shared" si="75"/>
        <v>5</v>
      </c>
      <c r="HX59" s="330">
        <v>0</v>
      </c>
      <c r="HY59" s="330">
        <v>1</v>
      </c>
      <c r="HZ59" s="629">
        <f t="shared" si="76"/>
        <v>1</v>
      </c>
      <c r="IA59" s="330">
        <v>0</v>
      </c>
      <c r="IB59" s="330">
        <v>0</v>
      </c>
      <c r="IC59" s="629">
        <f t="shared" si="77"/>
        <v>0</v>
      </c>
      <c r="ID59" s="330">
        <v>4</v>
      </c>
      <c r="IE59" s="330">
        <v>0</v>
      </c>
      <c r="IF59" s="629">
        <f t="shared" si="78"/>
        <v>4</v>
      </c>
      <c r="IG59" s="330">
        <v>1</v>
      </c>
      <c r="IH59" s="330">
        <v>0</v>
      </c>
      <c r="II59" s="629">
        <f t="shared" si="79"/>
        <v>1</v>
      </c>
      <c r="IJ59" s="330">
        <v>16</v>
      </c>
      <c r="IK59" s="330">
        <v>0</v>
      </c>
      <c r="IL59" s="629">
        <f t="shared" si="80"/>
        <v>16</v>
      </c>
      <c r="IM59" s="330">
        <v>0</v>
      </c>
      <c r="IN59" s="330">
        <v>0</v>
      </c>
      <c r="IO59" s="629">
        <f t="shared" si="81"/>
        <v>0</v>
      </c>
      <c r="IP59" s="330">
        <v>0</v>
      </c>
      <c r="IQ59" s="330">
        <v>0</v>
      </c>
      <c r="IR59" s="629">
        <f t="shared" si="82"/>
        <v>0</v>
      </c>
      <c r="IS59" s="330">
        <v>39</v>
      </c>
      <c r="IT59" s="330">
        <v>7</v>
      </c>
      <c r="IU59" s="629">
        <f t="shared" si="83"/>
        <v>46</v>
      </c>
      <c r="IV59" s="330">
        <v>0</v>
      </c>
      <c r="IW59" s="330">
        <v>0</v>
      </c>
      <c r="IX59" s="629">
        <f t="shared" si="84"/>
        <v>0</v>
      </c>
      <c r="IY59" s="330">
        <v>0</v>
      </c>
      <c r="IZ59" s="330">
        <v>0</v>
      </c>
      <c r="JA59" s="629">
        <f t="shared" si="85"/>
        <v>0</v>
      </c>
      <c r="JB59" s="330">
        <v>0</v>
      </c>
      <c r="JC59" s="330">
        <v>0</v>
      </c>
      <c r="JD59" s="629">
        <f t="shared" si="86"/>
        <v>0</v>
      </c>
      <c r="JE59" s="330">
        <v>1055</v>
      </c>
      <c r="JF59" s="330">
        <v>350</v>
      </c>
      <c r="JG59" s="629">
        <f t="shared" si="87"/>
        <v>1405</v>
      </c>
      <c r="JH59" s="330">
        <v>0</v>
      </c>
      <c r="JI59" s="330">
        <v>1</v>
      </c>
      <c r="JJ59" s="629">
        <f t="shared" si="88"/>
        <v>1</v>
      </c>
      <c r="JK59" s="330">
        <v>0</v>
      </c>
      <c r="JL59" s="330">
        <v>0</v>
      </c>
      <c r="JM59" s="629">
        <f t="shared" si="89"/>
        <v>0</v>
      </c>
      <c r="JN59" s="330">
        <v>0</v>
      </c>
      <c r="JO59" s="330">
        <v>0</v>
      </c>
      <c r="JP59" s="629">
        <f t="shared" si="90"/>
        <v>0</v>
      </c>
      <c r="JQ59" s="330">
        <v>0</v>
      </c>
      <c r="JR59" s="330">
        <v>0</v>
      </c>
      <c r="JS59" s="629">
        <f t="shared" si="91"/>
        <v>0</v>
      </c>
      <c r="JT59" s="330">
        <v>0</v>
      </c>
      <c r="JU59" s="330">
        <v>0</v>
      </c>
      <c r="JV59" s="629">
        <f t="shared" si="92"/>
        <v>0</v>
      </c>
      <c r="JW59" s="330">
        <v>0</v>
      </c>
      <c r="JX59" s="330">
        <v>0</v>
      </c>
      <c r="JY59" s="629">
        <f t="shared" si="93"/>
        <v>0</v>
      </c>
      <c r="JZ59" s="330">
        <v>0</v>
      </c>
      <c r="KA59" s="330">
        <v>0</v>
      </c>
      <c r="KB59" s="629">
        <f t="shared" si="94"/>
        <v>0</v>
      </c>
      <c r="KC59" s="330">
        <v>0</v>
      </c>
      <c r="KD59" s="330">
        <v>0</v>
      </c>
      <c r="KE59" s="629">
        <f t="shared" si="95"/>
        <v>0</v>
      </c>
      <c r="KF59" s="330">
        <v>0</v>
      </c>
      <c r="KG59" s="330">
        <v>0</v>
      </c>
      <c r="KH59" s="629">
        <f t="shared" si="96"/>
        <v>0</v>
      </c>
      <c r="KI59" s="330">
        <v>0</v>
      </c>
      <c r="KJ59" s="330">
        <v>0</v>
      </c>
      <c r="KK59" s="629">
        <f t="shared" si="97"/>
        <v>0</v>
      </c>
      <c r="KL59" s="629">
        <v>0</v>
      </c>
      <c r="KM59" s="629">
        <v>0</v>
      </c>
      <c r="KN59" s="629">
        <f t="shared" si="98"/>
        <v>0</v>
      </c>
      <c r="KO59" s="629">
        <v>0</v>
      </c>
      <c r="KP59" s="629">
        <v>0</v>
      </c>
      <c r="KQ59" s="629">
        <f t="shared" si="99"/>
        <v>0</v>
      </c>
      <c r="KR59" s="629">
        <v>0</v>
      </c>
      <c r="KS59" s="629">
        <v>0</v>
      </c>
      <c r="KT59" s="629">
        <f t="shared" si="100"/>
        <v>0</v>
      </c>
      <c r="KU59" s="629">
        <v>0</v>
      </c>
      <c r="KV59" s="629">
        <v>0</v>
      </c>
      <c r="KW59" s="629">
        <f t="shared" si="101"/>
        <v>0</v>
      </c>
      <c r="KX59" s="629">
        <v>0</v>
      </c>
      <c r="KY59" s="629">
        <v>0</v>
      </c>
      <c r="KZ59" s="629">
        <f t="shared" si="102"/>
        <v>0</v>
      </c>
      <c r="LA59" s="629">
        <v>0</v>
      </c>
      <c r="LB59" s="629">
        <v>0</v>
      </c>
      <c r="LC59" s="629">
        <f t="shared" si="103"/>
        <v>0</v>
      </c>
      <c r="LD59" s="629">
        <v>0</v>
      </c>
      <c r="LE59" s="629">
        <v>0</v>
      </c>
      <c r="LF59" s="629">
        <f t="shared" si="104"/>
        <v>0</v>
      </c>
      <c r="LG59" s="629">
        <v>0</v>
      </c>
      <c r="LH59" s="629">
        <v>0</v>
      </c>
      <c r="LI59" s="629">
        <f t="shared" si="105"/>
        <v>0</v>
      </c>
      <c r="LJ59" s="330">
        <v>0</v>
      </c>
      <c r="LK59" s="330">
        <v>0</v>
      </c>
      <c r="LL59" s="697">
        <f t="shared" si="106"/>
        <v>0</v>
      </c>
    </row>
    <row r="60" spans="1:324" x14ac:dyDescent="0.35">
      <c r="A60" s="696">
        <v>4</v>
      </c>
      <c r="B60" s="387" t="s">
        <v>308</v>
      </c>
      <c r="C60" s="440" t="s">
        <v>127</v>
      </c>
      <c r="D60" s="330">
        <v>3246</v>
      </c>
      <c r="E60" s="330">
        <v>3101</v>
      </c>
      <c r="F60" s="629">
        <f t="shared" si="0"/>
        <v>6347</v>
      </c>
      <c r="G60" s="330">
        <v>0</v>
      </c>
      <c r="H60" s="330">
        <v>5414</v>
      </c>
      <c r="I60" s="629">
        <f t="shared" si="1"/>
        <v>5414</v>
      </c>
      <c r="J60" s="330">
        <v>3958</v>
      </c>
      <c r="K60" s="330">
        <v>3446</v>
      </c>
      <c r="L60" s="629">
        <f t="shared" si="2"/>
        <v>7404</v>
      </c>
      <c r="M60" s="330">
        <v>155</v>
      </c>
      <c r="N60" s="330">
        <v>38</v>
      </c>
      <c r="O60" s="629">
        <f t="shared" si="3"/>
        <v>193</v>
      </c>
      <c r="P60" s="330">
        <v>295</v>
      </c>
      <c r="Q60" s="330">
        <v>218</v>
      </c>
      <c r="R60" s="629">
        <f t="shared" si="4"/>
        <v>513</v>
      </c>
      <c r="S60" s="330">
        <v>401</v>
      </c>
      <c r="T60" s="330">
        <v>61</v>
      </c>
      <c r="U60" s="629">
        <f t="shared" si="5"/>
        <v>462</v>
      </c>
      <c r="V60" s="330">
        <v>77</v>
      </c>
      <c r="W60" s="330">
        <v>11</v>
      </c>
      <c r="X60" s="629">
        <f t="shared" si="6"/>
        <v>88</v>
      </c>
      <c r="Y60" s="330">
        <v>48</v>
      </c>
      <c r="Z60" s="330">
        <v>16</v>
      </c>
      <c r="AA60" s="629">
        <f t="shared" si="7"/>
        <v>64</v>
      </c>
      <c r="AB60" s="330">
        <v>32</v>
      </c>
      <c r="AC60" s="330">
        <v>15</v>
      </c>
      <c r="AD60" s="629">
        <f t="shared" si="8"/>
        <v>47</v>
      </c>
      <c r="AE60" s="330">
        <v>1</v>
      </c>
      <c r="AF60" s="330">
        <v>0</v>
      </c>
      <c r="AG60" s="629">
        <f t="shared" si="9"/>
        <v>1</v>
      </c>
      <c r="AH60" s="330">
        <v>0</v>
      </c>
      <c r="AI60" s="330">
        <v>0</v>
      </c>
      <c r="AJ60" s="629">
        <f t="shared" si="10"/>
        <v>0</v>
      </c>
      <c r="AK60" s="330">
        <v>6</v>
      </c>
      <c r="AL60" s="330">
        <v>2</v>
      </c>
      <c r="AM60" s="629">
        <f t="shared" si="11"/>
        <v>8</v>
      </c>
      <c r="AN60" s="330">
        <v>9</v>
      </c>
      <c r="AO60" s="330">
        <v>0</v>
      </c>
      <c r="AP60" s="629">
        <f t="shared" si="12"/>
        <v>9</v>
      </c>
      <c r="AQ60" s="330">
        <v>16</v>
      </c>
      <c r="AR60" s="330">
        <v>0</v>
      </c>
      <c r="AS60" s="629">
        <f t="shared" si="13"/>
        <v>16</v>
      </c>
      <c r="AT60" s="330">
        <v>4326</v>
      </c>
      <c r="AU60" s="330">
        <v>2044</v>
      </c>
      <c r="AV60" s="629">
        <f t="shared" si="14"/>
        <v>6370</v>
      </c>
      <c r="AW60" s="330">
        <v>78</v>
      </c>
      <c r="AX60" s="330">
        <v>44</v>
      </c>
      <c r="AY60" s="629">
        <f t="shared" si="15"/>
        <v>122</v>
      </c>
      <c r="AZ60" s="330">
        <v>5</v>
      </c>
      <c r="BA60" s="330">
        <v>0</v>
      </c>
      <c r="BB60" s="629">
        <f t="shared" si="16"/>
        <v>5</v>
      </c>
      <c r="BC60" s="330">
        <v>32</v>
      </c>
      <c r="BD60" s="330">
        <v>21</v>
      </c>
      <c r="BE60" s="629">
        <f t="shared" si="17"/>
        <v>53</v>
      </c>
      <c r="BF60" s="330">
        <v>484</v>
      </c>
      <c r="BG60" s="330">
        <v>13</v>
      </c>
      <c r="BH60" s="629">
        <f t="shared" si="18"/>
        <v>497</v>
      </c>
      <c r="BI60" s="330">
        <v>14</v>
      </c>
      <c r="BJ60" s="330">
        <v>2</v>
      </c>
      <c r="BK60" s="629">
        <f t="shared" si="19"/>
        <v>16</v>
      </c>
      <c r="BL60" s="330">
        <v>0</v>
      </c>
      <c r="BM60" s="330">
        <v>0</v>
      </c>
      <c r="BN60" s="629">
        <f t="shared" si="20"/>
        <v>0</v>
      </c>
      <c r="BO60" s="330">
        <v>2</v>
      </c>
      <c r="BP60" s="330">
        <v>1</v>
      </c>
      <c r="BQ60" s="629">
        <f t="shared" si="21"/>
        <v>3</v>
      </c>
      <c r="BR60" s="330">
        <v>0</v>
      </c>
      <c r="BS60" s="330">
        <v>11</v>
      </c>
      <c r="BT60" s="629">
        <f t="shared" si="22"/>
        <v>11</v>
      </c>
      <c r="BU60" s="330">
        <v>0</v>
      </c>
      <c r="BV60" s="330">
        <v>0</v>
      </c>
      <c r="BW60" s="629">
        <f t="shared" si="23"/>
        <v>0</v>
      </c>
      <c r="BX60" s="330">
        <v>0</v>
      </c>
      <c r="BY60" s="330">
        <v>0</v>
      </c>
      <c r="BZ60" s="629">
        <f t="shared" si="24"/>
        <v>0</v>
      </c>
      <c r="CA60" s="330">
        <v>3</v>
      </c>
      <c r="CB60" s="330">
        <v>0</v>
      </c>
      <c r="CC60" s="629">
        <f t="shared" si="25"/>
        <v>3</v>
      </c>
      <c r="CD60" s="330">
        <v>3</v>
      </c>
      <c r="CE60" s="330">
        <v>0</v>
      </c>
      <c r="CF60" s="629">
        <f t="shared" si="26"/>
        <v>3</v>
      </c>
      <c r="CG60" s="330">
        <v>0</v>
      </c>
      <c r="CH60" s="330">
        <v>0</v>
      </c>
      <c r="CI60" s="629">
        <f t="shared" si="27"/>
        <v>0</v>
      </c>
      <c r="CJ60" s="330">
        <v>0</v>
      </c>
      <c r="CK60" s="330">
        <v>0</v>
      </c>
      <c r="CL60" s="629">
        <f t="shared" si="28"/>
        <v>0</v>
      </c>
      <c r="CM60" s="330">
        <v>3</v>
      </c>
      <c r="CN60" s="330">
        <v>2</v>
      </c>
      <c r="CO60" s="629">
        <f t="shared" si="29"/>
        <v>5</v>
      </c>
      <c r="CP60" s="330">
        <v>0</v>
      </c>
      <c r="CQ60" s="330">
        <v>0</v>
      </c>
      <c r="CR60" s="629">
        <f t="shared" si="30"/>
        <v>0</v>
      </c>
      <c r="CS60" s="330">
        <v>0</v>
      </c>
      <c r="CT60" s="330">
        <v>0</v>
      </c>
      <c r="CU60" s="629">
        <f t="shared" si="31"/>
        <v>0</v>
      </c>
      <c r="CV60" s="330">
        <v>0</v>
      </c>
      <c r="CW60" s="330">
        <v>0</v>
      </c>
      <c r="CX60" s="629">
        <f t="shared" si="32"/>
        <v>0</v>
      </c>
      <c r="CY60" s="330">
        <v>1</v>
      </c>
      <c r="CZ60" s="330">
        <v>2</v>
      </c>
      <c r="DA60" s="629">
        <f t="shared" si="33"/>
        <v>3</v>
      </c>
      <c r="DB60" s="330">
        <v>13</v>
      </c>
      <c r="DC60" s="330">
        <v>0</v>
      </c>
      <c r="DD60" s="629">
        <f t="shared" si="34"/>
        <v>13</v>
      </c>
      <c r="DE60" s="330">
        <v>4</v>
      </c>
      <c r="DF60" s="330">
        <v>4</v>
      </c>
      <c r="DG60" s="629">
        <f t="shared" si="35"/>
        <v>8</v>
      </c>
      <c r="DH60" s="330">
        <v>0</v>
      </c>
      <c r="DI60" s="330">
        <v>0</v>
      </c>
      <c r="DJ60" s="629">
        <f t="shared" si="36"/>
        <v>0</v>
      </c>
      <c r="DK60" s="330">
        <v>0</v>
      </c>
      <c r="DL60" s="330">
        <v>0</v>
      </c>
      <c r="DM60" s="629">
        <f t="shared" si="37"/>
        <v>0</v>
      </c>
      <c r="DN60" s="330">
        <v>0</v>
      </c>
      <c r="DO60" s="330">
        <v>0</v>
      </c>
      <c r="DP60" s="629">
        <f t="shared" si="38"/>
        <v>0</v>
      </c>
      <c r="DQ60" s="330">
        <v>0</v>
      </c>
      <c r="DR60" s="330">
        <v>0</v>
      </c>
      <c r="DS60" s="629">
        <f t="shared" si="39"/>
        <v>0</v>
      </c>
      <c r="DT60" s="330">
        <v>0</v>
      </c>
      <c r="DU60" s="330">
        <v>0</v>
      </c>
      <c r="DV60" s="629">
        <f t="shared" si="40"/>
        <v>0</v>
      </c>
      <c r="DW60" s="330">
        <v>4</v>
      </c>
      <c r="DX60" s="330">
        <v>2</v>
      </c>
      <c r="DY60" s="629">
        <f t="shared" si="41"/>
        <v>6</v>
      </c>
      <c r="DZ60" s="330">
        <v>0</v>
      </c>
      <c r="EA60" s="330">
        <v>0</v>
      </c>
      <c r="EB60" s="629">
        <f t="shared" si="42"/>
        <v>0</v>
      </c>
      <c r="EC60" s="330">
        <v>12</v>
      </c>
      <c r="ED60" s="330">
        <v>1</v>
      </c>
      <c r="EE60" s="629">
        <f t="shared" si="43"/>
        <v>13</v>
      </c>
      <c r="EF60" s="330">
        <v>2</v>
      </c>
      <c r="EG60" s="330">
        <v>1</v>
      </c>
      <c r="EH60" s="629">
        <f t="shared" si="44"/>
        <v>3</v>
      </c>
      <c r="EI60" s="330">
        <v>2</v>
      </c>
      <c r="EJ60" s="330">
        <v>0</v>
      </c>
      <c r="EK60" s="629">
        <f t="shared" si="45"/>
        <v>2</v>
      </c>
      <c r="EL60" s="330">
        <v>0</v>
      </c>
      <c r="EM60" s="330">
        <v>0</v>
      </c>
      <c r="EN60" s="629">
        <f t="shared" si="46"/>
        <v>0</v>
      </c>
      <c r="EO60" s="330">
        <v>0</v>
      </c>
      <c r="EP60" s="330">
        <v>0</v>
      </c>
      <c r="EQ60" s="629">
        <f t="shared" si="47"/>
        <v>0</v>
      </c>
      <c r="ER60" s="330">
        <v>0</v>
      </c>
      <c r="ES60" s="330">
        <v>0</v>
      </c>
      <c r="ET60" s="629">
        <f t="shared" si="48"/>
        <v>0</v>
      </c>
      <c r="EU60" s="330">
        <v>0</v>
      </c>
      <c r="EV60" s="330">
        <v>0</v>
      </c>
      <c r="EW60" s="629">
        <f t="shared" si="49"/>
        <v>0</v>
      </c>
      <c r="EX60" s="330">
        <v>0</v>
      </c>
      <c r="EY60" s="330">
        <v>0</v>
      </c>
      <c r="EZ60" s="629">
        <f t="shared" si="50"/>
        <v>0</v>
      </c>
      <c r="FA60" s="330">
        <v>0</v>
      </c>
      <c r="FB60" s="330">
        <v>0</v>
      </c>
      <c r="FC60" s="629">
        <f t="shared" si="51"/>
        <v>0</v>
      </c>
      <c r="FD60" s="330">
        <v>1</v>
      </c>
      <c r="FE60" s="330">
        <v>0</v>
      </c>
      <c r="FF60" s="629">
        <f t="shared" si="52"/>
        <v>1</v>
      </c>
      <c r="FG60" s="330">
        <v>0</v>
      </c>
      <c r="FH60" s="330">
        <v>0</v>
      </c>
      <c r="FI60" s="629">
        <f t="shared" si="53"/>
        <v>0</v>
      </c>
      <c r="FJ60" s="330">
        <v>0</v>
      </c>
      <c r="FK60" s="330">
        <v>0</v>
      </c>
      <c r="FL60" s="629">
        <f t="shared" si="54"/>
        <v>0</v>
      </c>
      <c r="FM60" s="330">
        <v>0</v>
      </c>
      <c r="FN60" s="330">
        <v>0</v>
      </c>
      <c r="FO60" s="629">
        <f t="shared" si="55"/>
        <v>0</v>
      </c>
      <c r="FP60" s="330">
        <v>0</v>
      </c>
      <c r="FQ60" s="330">
        <v>0</v>
      </c>
      <c r="FR60" s="629">
        <f t="shared" si="56"/>
        <v>0</v>
      </c>
      <c r="FS60" s="330">
        <v>0</v>
      </c>
      <c r="FT60" s="330">
        <v>0</v>
      </c>
      <c r="FU60" s="629">
        <f t="shared" si="57"/>
        <v>0</v>
      </c>
      <c r="FV60" s="330">
        <v>0</v>
      </c>
      <c r="FW60" s="330">
        <v>0</v>
      </c>
      <c r="FX60" s="629">
        <f t="shared" si="58"/>
        <v>0</v>
      </c>
      <c r="FY60" s="330">
        <v>0</v>
      </c>
      <c r="FZ60" s="330">
        <v>0</v>
      </c>
      <c r="GA60" s="629">
        <f t="shared" si="59"/>
        <v>0</v>
      </c>
      <c r="GB60" s="330">
        <v>0</v>
      </c>
      <c r="GC60" s="330">
        <v>0</v>
      </c>
      <c r="GD60" s="629">
        <f t="shared" si="60"/>
        <v>0</v>
      </c>
      <c r="GE60" s="330">
        <v>0</v>
      </c>
      <c r="GF60" s="330">
        <v>0</v>
      </c>
      <c r="GG60" s="629">
        <f t="shared" si="61"/>
        <v>0</v>
      </c>
      <c r="GH60" s="330">
        <v>0</v>
      </c>
      <c r="GI60" s="330">
        <v>0</v>
      </c>
      <c r="GJ60" s="629">
        <f t="shared" si="62"/>
        <v>0</v>
      </c>
      <c r="GK60" s="330">
        <v>18</v>
      </c>
      <c r="GL60" s="330">
        <v>13</v>
      </c>
      <c r="GM60" s="629">
        <f t="shared" si="63"/>
        <v>31</v>
      </c>
      <c r="GN60" s="330">
        <v>99</v>
      </c>
      <c r="GO60" s="330">
        <v>252</v>
      </c>
      <c r="GP60" s="629">
        <f t="shared" si="64"/>
        <v>351</v>
      </c>
      <c r="GQ60" s="330">
        <v>1</v>
      </c>
      <c r="GR60" s="330">
        <v>0</v>
      </c>
      <c r="GS60" s="629">
        <f t="shared" si="65"/>
        <v>1</v>
      </c>
      <c r="GT60" s="330">
        <v>6</v>
      </c>
      <c r="GU60" s="330">
        <v>1</v>
      </c>
      <c r="GV60" s="629">
        <f t="shared" si="66"/>
        <v>7</v>
      </c>
      <c r="GW60" s="330">
        <v>0</v>
      </c>
      <c r="GX60" s="330">
        <v>1</v>
      </c>
      <c r="GY60" s="629">
        <f t="shared" si="67"/>
        <v>1</v>
      </c>
      <c r="GZ60" s="330">
        <v>1</v>
      </c>
      <c r="HA60" s="330">
        <v>0</v>
      </c>
      <c r="HB60" s="629">
        <f t="shared" si="68"/>
        <v>1</v>
      </c>
      <c r="HC60" s="330">
        <v>0</v>
      </c>
      <c r="HD60" s="330">
        <v>1</v>
      </c>
      <c r="HE60" s="629">
        <f t="shared" si="69"/>
        <v>1</v>
      </c>
      <c r="HF60" s="330">
        <v>1</v>
      </c>
      <c r="HG60" s="330">
        <v>0</v>
      </c>
      <c r="HH60" s="629">
        <f t="shared" si="70"/>
        <v>1</v>
      </c>
      <c r="HI60" s="330">
        <v>4</v>
      </c>
      <c r="HJ60" s="330">
        <v>30</v>
      </c>
      <c r="HK60" s="629">
        <f t="shared" si="71"/>
        <v>34</v>
      </c>
      <c r="HL60" s="330">
        <v>0</v>
      </c>
      <c r="HM60" s="330">
        <v>26</v>
      </c>
      <c r="HN60" s="629">
        <f t="shared" si="72"/>
        <v>26</v>
      </c>
      <c r="HO60" s="330">
        <v>7</v>
      </c>
      <c r="HP60" s="330">
        <v>44</v>
      </c>
      <c r="HQ60" s="629">
        <f t="shared" si="73"/>
        <v>51</v>
      </c>
      <c r="HR60" s="330">
        <v>0</v>
      </c>
      <c r="HS60" s="330">
        <v>3</v>
      </c>
      <c r="HT60" s="629">
        <f t="shared" si="74"/>
        <v>3</v>
      </c>
      <c r="HU60" s="330">
        <v>0</v>
      </c>
      <c r="HV60" s="330">
        <v>0</v>
      </c>
      <c r="HW60" s="629">
        <f t="shared" si="75"/>
        <v>0</v>
      </c>
      <c r="HX60" s="330">
        <v>0</v>
      </c>
      <c r="HY60" s="330">
        <v>0</v>
      </c>
      <c r="HZ60" s="629">
        <f t="shared" si="76"/>
        <v>0</v>
      </c>
      <c r="IA60" s="330">
        <v>0</v>
      </c>
      <c r="IB60" s="330">
        <v>0</v>
      </c>
      <c r="IC60" s="629">
        <f t="shared" si="77"/>
        <v>0</v>
      </c>
      <c r="ID60" s="330">
        <v>3</v>
      </c>
      <c r="IE60" s="330">
        <v>0</v>
      </c>
      <c r="IF60" s="629">
        <f t="shared" si="78"/>
        <v>3</v>
      </c>
      <c r="IG60" s="330">
        <v>0</v>
      </c>
      <c r="IH60" s="330">
        <v>0</v>
      </c>
      <c r="II60" s="629">
        <f t="shared" si="79"/>
        <v>0</v>
      </c>
      <c r="IJ60" s="330">
        <v>65</v>
      </c>
      <c r="IK60" s="330">
        <v>0</v>
      </c>
      <c r="IL60" s="629">
        <f t="shared" si="80"/>
        <v>65</v>
      </c>
      <c r="IM60" s="330">
        <v>0</v>
      </c>
      <c r="IN60" s="330">
        <v>0</v>
      </c>
      <c r="IO60" s="629">
        <f t="shared" si="81"/>
        <v>0</v>
      </c>
      <c r="IP60" s="330">
        <v>0</v>
      </c>
      <c r="IQ60" s="330">
        <v>0</v>
      </c>
      <c r="IR60" s="629">
        <f t="shared" si="82"/>
        <v>0</v>
      </c>
      <c r="IS60" s="330">
        <v>68</v>
      </c>
      <c r="IT60" s="330">
        <v>20</v>
      </c>
      <c r="IU60" s="629">
        <f t="shared" si="83"/>
        <v>88</v>
      </c>
      <c r="IV60" s="330">
        <v>0</v>
      </c>
      <c r="IW60" s="330">
        <v>0</v>
      </c>
      <c r="IX60" s="629">
        <f t="shared" si="84"/>
        <v>0</v>
      </c>
      <c r="IY60" s="330">
        <v>0</v>
      </c>
      <c r="IZ60" s="330">
        <v>0</v>
      </c>
      <c r="JA60" s="629">
        <f t="shared" si="85"/>
        <v>0</v>
      </c>
      <c r="JB60" s="330">
        <v>0</v>
      </c>
      <c r="JC60" s="330">
        <v>1</v>
      </c>
      <c r="JD60" s="629">
        <f t="shared" si="86"/>
        <v>1</v>
      </c>
      <c r="JE60" s="330">
        <v>1698</v>
      </c>
      <c r="JF60" s="330">
        <v>396</v>
      </c>
      <c r="JG60" s="629">
        <f t="shared" si="87"/>
        <v>2094</v>
      </c>
      <c r="JH60" s="330">
        <v>1</v>
      </c>
      <c r="JI60" s="330">
        <v>0</v>
      </c>
      <c r="JJ60" s="629">
        <f t="shared" si="88"/>
        <v>1</v>
      </c>
      <c r="JK60" s="330">
        <v>0</v>
      </c>
      <c r="JL60" s="330">
        <v>0</v>
      </c>
      <c r="JM60" s="629">
        <f t="shared" si="89"/>
        <v>0</v>
      </c>
      <c r="JN60" s="330">
        <v>1</v>
      </c>
      <c r="JO60" s="330">
        <v>0</v>
      </c>
      <c r="JP60" s="629">
        <f t="shared" si="90"/>
        <v>1</v>
      </c>
      <c r="JQ60" s="330">
        <v>0</v>
      </c>
      <c r="JR60" s="330">
        <v>0</v>
      </c>
      <c r="JS60" s="629">
        <f t="shared" si="91"/>
        <v>0</v>
      </c>
      <c r="JT60" s="330">
        <v>0</v>
      </c>
      <c r="JU60" s="330">
        <v>0</v>
      </c>
      <c r="JV60" s="629">
        <f t="shared" si="92"/>
        <v>0</v>
      </c>
      <c r="JW60" s="330">
        <v>0</v>
      </c>
      <c r="JX60" s="330">
        <v>0</v>
      </c>
      <c r="JY60" s="629">
        <f t="shared" si="93"/>
        <v>0</v>
      </c>
      <c r="JZ60" s="330">
        <v>0</v>
      </c>
      <c r="KA60" s="330">
        <v>0</v>
      </c>
      <c r="KB60" s="629">
        <f t="shared" si="94"/>
        <v>0</v>
      </c>
      <c r="KC60" s="330">
        <v>0</v>
      </c>
      <c r="KD60" s="330">
        <v>0</v>
      </c>
      <c r="KE60" s="629">
        <f t="shared" si="95"/>
        <v>0</v>
      </c>
      <c r="KF60" s="330">
        <v>0</v>
      </c>
      <c r="KG60" s="330">
        <v>0</v>
      </c>
      <c r="KH60" s="629">
        <f t="shared" si="96"/>
        <v>0</v>
      </c>
      <c r="KI60" s="330">
        <v>0</v>
      </c>
      <c r="KJ60" s="330">
        <v>0</v>
      </c>
      <c r="KK60" s="629">
        <f t="shared" si="97"/>
        <v>0</v>
      </c>
      <c r="KL60" s="629">
        <v>0</v>
      </c>
      <c r="KM60" s="629">
        <v>0</v>
      </c>
      <c r="KN60" s="629">
        <f t="shared" si="98"/>
        <v>0</v>
      </c>
      <c r="KO60" s="629">
        <v>0</v>
      </c>
      <c r="KP60" s="629">
        <v>0</v>
      </c>
      <c r="KQ60" s="629">
        <f t="shared" si="99"/>
        <v>0</v>
      </c>
      <c r="KR60" s="629">
        <v>0</v>
      </c>
      <c r="KS60" s="629">
        <v>0</v>
      </c>
      <c r="KT60" s="629">
        <f t="shared" si="100"/>
        <v>0</v>
      </c>
      <c r="KU60" s="629">
        <v>0</v>
      </c>
      <c r="KV60" s="629">
        <v>0</v>
      </c>
      <c r="KW60" s="629">
        <f t="shared" si="101"/>
        <v>0</v>
      </c>
      <c r="KX60" s="629">
        <v>0</v>
      </c>
      <c r="KY60" s="629">
        <v>0</v>
      </c>
      <c r="KZ60" s="629">
        <f t="shared" si="102"/>
        <v>0</v>
      </c>
      <c r="LA60" s="629">
        <v>0</v>
      </c>
      <c r="LB60" s="629">
        <v>0</v>
      </c>
      <c r="LC60" s="629">
        <f t="shared" si="103"/>
        <v>0</v>
      </c>
      <c r="LD60" s="629">
        <v>0</v>
      </c>
      <c r="LE60" s="629">
        <v>0</v>
      </c>
      <c r="LF60" s="629">
        <f t="shared" si="104"/>
        <v>0</v>
      </c>
      <c r="LG60" s="629">
        <v>0</v>
      </c>
      <c r="LH60" s="629">
        <v>0</v>
      </c>
      <c r="LI60" s="629">
        <f t="shared" si="105"/>
        <v>0</v>
      </c>
      <c r="LJ60" s="330">
        <v>0</v>
      </c>
      <c r="LK60" s="330">
        <v>0</v>
      </c>
      <c r="LL60" s="697">
        <f t="shared" si="106"/>
        <v>0</v>
      </c>
    </row>
    <row r="61" spans="1:324" x14ac:dyDescent="0.35">
      <c r="A61" s="696">
        <v>4</v>
      </c>
      <c r="B61" s="387" t="s">
        <v>309</v>
      </c>
      <c r="C61" s="440" t="s">
        <v>129</v>
      </c>
      <c r="D61" s="330">
        <v>2346</v>
      </c>
      <c r="E61" s="330">
        <v>2188</v>
      </c>
      <c r="F61" s="629">
        <f t="shared" si="0"/>
        <v>4534</v>
      </c>
      <c r="G61" s="330">
        <v>4</v>
      </c>
      <c r="H61" s="330">
        <v>4142</v>
      </c>
      <c r="I61" s="629">
        <f t="shared" si="1"/>
        <v>4146</v>
      </c>
      <c r="J61" s="330">
        <v>2331</v>
      </c>
      <c r="K61" s="330">
        <v>2001</v>
      </c>
      <c r="L61" s="629">
        <f t="shared" si="2"/>
        <v>4332</v>
      </c>
      <c r="M61" s="330">
        <v>63</v>
      </c>
      <c r="N61" s="330">
        <v>15</v>
      </c>
      <c r="O61" s="629">
        <f t="shared" si="3"/>
        <v>78</v>
      </c>
      <c r="P61" s="330">
        <v>149</v>
      </c>
      <c r="Q61" s="330">
        <v>124</v>
      </c>
      <c r="R61" s="629">
        <f t="shared" si="4"/>
        <v>273</v>
      </c>
      <c r="S61" s="330">
        <v>314</v>
      </c>
      <c r="T61" s="330">
        <v>34</v>
      </c>
      <c r="U61" s="629">
        <f t="shared" si="5"/>
        <v>348</v>
      </c>
      <c r="V61" s="330">
        <v>239</v>
      </c>
      <c r="W61" s="330">
        <v>27</v>
      </c>
      <c r="X61" s="629">
        <f t="shared" si="6"/>
        <v>266</v>
      </c>
      <c r="Y61" s="330">
        <v>144</v>
      </c>
      <c r="Z61" s="330">
        <v>60</v>
      </c>
      <c r="AA61" s="629">
        <f t="shared" si="7"/>
        <v>204</v>
      </c>
      <c r="AB61" s="330">
        <v>67</v>
      </c>
      <c r="AC61" s="330">
        <v>6</v>
      </c>
      <c r="AD61" s="629">
        <f t="shared" si="8"/>
        <v>73</v>
      </c>
      <c r="AE61" s="330">
        <v>0</v>
      </c>
      <c r="AF61" s="330">
        <v>0</v>
      </c>
      <c r="AG61" s="629">
        <f t="shared" si="9"/>
        <v>0</v>
      </c>
      <c r="AH61" s="330">
        <v>0</v>
      </c>
      <c r="AI61" s="330">
        <v>0</v>
      </c>
      <c r="AJ61" s="629">
        <f t="shared" si="10"/>
        <v>0</v>
      </c>
      <c r="AK61" s="330">
        <v>3</v>
      </c>
      <c r="AL61" s="330">
        <v>0</v>
      </c>
      <c r="AM61" s="629">
        <f t="shared" si="11"/>
        <v>3</v>
      </c>
      <c r="AN61" s="330">
        <v>2</v>
      </c>
      <c r="AO61" s="330">
        <v>0</v>
      </c>
      <c r="AP61" s="629">
        <f t="shared" si="12"/>
        <v>2</v>
      </c>
      <c r="AQ61" s="330">
        <v>9</v>
      </c>
      <c r="AR61" s="330">
        <v>0</v>
      </c>
      <c r="AS61" s="629">
        <f t="shared" si="13"/>
        <v>9</v>
      </c>
      <c r="AT61" s="330">
        <v>2218</v>
      </c>
      <c r="AU61" s="330">
        <v>1026</v>
      </c>
      <c r="AV61" s="629">
        <f t="shared" si="14"/>
        <v>3244</v>
      </c>
      <c r="AW61" s="330">
        <v>27</v>
      </c>
      <c r="AX61" s="330">
        <v>24</v>
      </c>
      <c r="AY61" s="629">
        <f t="shared" si="15"/>
        <v>51</v>
      </c>
      <c r="AZ61" s="330">
        <v>1</v>
      </c>
      <c r="BA61" s="330">
        <v>1</v>
      </c>
      <c r="BB61" s="629">
        <f t="shared" si="16"/>
        <v>2</v>
      </c>
      <c r="BC61" s="330">
        <v>34</v>
      </c>
      <c r="BD61" s="330">
        <v>20</v>
      </c>
      <c r="BE61" s="629">
        <f t="shared" si="17"/>
        <v>54</v>
      </c>
      <c r="BF61" s="330">
        <v>332</v>
      </c>
      <c r="BG61" s="330">
        <v>10</v>
      </c>
      <c r="BH61" s="629">
        <f t="shared" si="18"/>
        <v>342</v>
      </c>
      <c r="BI61" s="330">
        <v>11</v>
      </c>
      <c r="BJ61" s="330">
        <v>1</v>
      </c>
      <c r="BK61" s="629">
        <f t="shared" si="19"/>
        <v>12</v>
      </c>
      <c r="BL61" s="330">
        <v>0</v>
      </c>
      <c r="BM61" s="330">
        <v>0</v>
      </c>
      <c r="BN61" s="629">
        <f t="shared" si="20"/>
        <v>0</v>
      </c>
      <c r="BO61" s="330">
        <v>0</v>
      </c>
      <c r="BP61" s="330">
        <v>0</v>
      </c>
      <c r="BQ61" s="629">
        <f t="shared" si="21"/>
        <v>0</v>
      </c>
      <c r="BR61" s="330">
        <v>0</v>
      </c>
      <c r="BS61" s="330">
        <v>1</v>
      </c>
      <c r="BT61" s="629">
        <f t="shared" si="22"/>
        <v>1</v>
      </c>
      <c r="BU61" s="330">
        <v>0</v>
      </c>
      <c r="BV61" s="330">
        <v>0</v>
      </c>
      <c r="BW61" s="629">
        <f t="shared" si="23"/>
        <v>0</v>
      </c>
      <c r="BX61" s="330">
        <v>0</v>
      </c>
      <c r="BY61" s="330">
        <v>0</v>
      </c>
      <c r="BZ61" s="629">
        <f t="shared" si="24"/>
        <v>0</v>
      </c>
      <c r="CA61" s="330">
        <v>2</v>
      </c>
      <c r="CB61" s="330">
        <v>0</v>
      </c>
      <c r="CC61" s="629">
        <f t="shared" si="25"/>
        <v>2</v>
      </c>
      <c r="CD61" s="330">
        <v>1</v>
      </c>
      <c r="CE61" s="330">
        <v>0</v>
      </c>
      <c r="CF61" s="629">
        <f t="shared" si="26"/>
        <v>1</v>
      </c>
      <c r="CG61" s="330">
        <v>0</v>
      </c>
      <c r="CH61" s="330">
        <v>0</v>
      </c>
      <c r="CI61" s="629">
        <f t="shared" si="27"/>
        <v>0</v>
      </c>
      <c r="CJ61" s="330">
        <v>1</v>
      </c>
      <c r="CK61" s="330">
        <v>0</v>
      </c>
      <c r="CL61" s="629">
        <f t="shared" si="28"/>
        <v>1</v>
      </c>
      <c r="CM61" s="330">
        <v>0</v>
      </c>
      <c r="CN61" s="330">
        <v>0</v>
      </c>
      <c r="CO61" s="629">
        <f t="shared" si="29"/>
        <v>0</v>
      </c>
      <c r="CP61" s="330">
        <v>0</v>
      </c>
      <c r="CQ61" s="330">
        <v>0</v>
      </c>
      <c r="CR61" s="629">
        <f t="shared" si="30"/>
        <v>0</v>
      </c>
      <c r="CS61" s="330">
        <v>0</v>
      </c>
      <c r="CT61" s="330">
        <v>0</v>
      </c>
      <c r="CU61" s="629">
        <f t="shared" si="31"/>
        <v>0</v>
      </c>
      <c r="CV61" s="330">
        <v>0</v>
      </c>
      <c r="CW61" s="330">
        <v>0</v>
      </c>
      <c r="CX61" s="629">
        <f t="shared" si="32"/>
        <v>0</v>
      </c>
      <c r="CY61" s="330">
        <v>0</v>
      </c>
      <c r="CZ61" s="330">
        <v>0</v>
      </c>
      <c r="DA61" s="629">
        <f t="shared" si="33"/>
        <v>0</v>
      </c>
      <c r="DB61" s="330">
        <v>3</v>
      </c>
      <c r="DC61" s="330">
        <v>0</v>
      </c>
      <c r="DD61" s="629">
        <f t="shared" si="34"/>
        <v>3</v>
      </c>
      <c r="DE61" s="330">
        <v>1</v>
      </c>
      <c r="DF61" s="330">
        <v>1</v>
      </c>
      <c r="DG61" s="629">
        <f t="shared" si="35"/>
        <v>2</v>
      </c>
      <c r="DH61" s="330">
        <v>0</v>
      </c>
      <c r="DI61" s="330">
        <v>0</v>
      </c>
      <c r="DJ61" s="629">
        <f t="shared" si="36"/>
        <v>0</v>
      </c>
      <c r="DK61" s="330">
        <v>0</v>
      </c>
      <c r="DL61" s="330">
        <v>0</v>
      </c>
      <c r="DM61" s="629">
        <f t="shared" si="37"/>
        <v>0</v>
      </c>
      <c r="DN61" s="330">
        <v>0</v>
      </c>
      <c r="DO61" s="330">
        <v>0</v>
      </c>
      <c r="DP61" s="629">
        <f t="shared" si="38"/>
        <v>0</v>
      </c>
      <c r="DQ61" s="330">
        <v>0</v>
      </c>
      <c r="DR61" s="330">
        <v>0</v>
      </c>
      <c r="DS61" s="629">
        <f t="shared" si="39"/>
        <v>0</v>
      </c>
      <c r="DT61" s="330">
        <v>0</v>
      </c>
      <c r="DU61" s="330">
        <v>0</v>
      </c>
      <c r="DV61" s="629">
        <f t="shared" si="40"/>
        <v>0</v>
      </c>
      <c r="DW61" s="330">
        <v>0</v>
      </c>
      <c r="DX61" s="330">
        <v>0</v>
      </c>
      <c r="DY61" s="629">
        <f t="shared" si="41"/>
        <v>0</v>
      </c>
      <c r="DZ61" s="330">
        <v>0</v>
      </c>
      <c r="EA61" s="330">
        <v>0</v>
      </c>
      <c r="EB61" s="629">
        <f t="shared" si="42"/>
        <v>0</v>
      </c>
      <c r="EC61" s="330">
        <v>2</v>
      </c>
      <c r="ED61" s="330">
        <v>0</v>
      </c>
      <c r="EE61" s="629">
        <f t="shared" si="43"/>
        <v>2</v>
      </c>
      <c r="EF61" s="330">
        <v>0</v>
      </c>
      <c r="EG61" s="330">
        <v>0</v>
      </c>
      <c r="EH61" s="629">
        <f t="shared" si="44"/>
        <v>0</v>
      </c>
      <c r="EI61" s="330">
        <v>0</v>
      </c>
      <c r="EJ61" s="330">
        <v>0</v>
      </c>
      <c r="EK61" s="629">
        <f t="shared" si="45"/>
        <v>0</v>
      </c>
      <c r="EL61" s="330">
        <v>0</v>
      </c>
      <c r="EM61" s="330">
        <v>0</v>
      </c>
      <c r="EN61" s="629">
        <f t="shared" si="46"/>
        <v>0</v>
      </c>
      <c r="EO61" s="330">
        <v>0</v>
      </c>
      <c r="EP61" s="330">
        <v>0</v>
      </c>
      <c r="EQ61" s="629">
        <f t="shared" si="47"/>
        <v>0</v>
      </c>
      <c r="ER61" s="330">
        <v>0</v>
      </c>
      <c r="ES61" s="330">
        <v>0</v>
      </c>
      <c r="ET61" s="629">
        <f t="shared" si="48"/>
        <v>0</v>
      </c>
      <c r="EU61" s="330">
        <v>0</v>
      </c>
      <c r="EV61" s="330">
        <v>0</v>
      </c>
      <c r="EW61" s="629">
        <f t="shared" si="49"/>
        <v>0</v>
      </c>
      <c r="EX61" s="330">
        <v>0</v>
      </c>
      <c r="EY61" s="330">
        <v>0</v>
      </c>
      <c r="EZ61" s="629">
        <f t="shared" si="50"/>
        <v>0</v>
      </c>
      <c r="FA61" s="330">
        <v>0</v>
      </c>
      <c r="FB61" s="330">
        <v>0</v>
      </c>
      <c r="FC61" s="629">
        <f t="shared" si="51"/>
        <v>0</v>
      </c>
      <c r="FD61" s="330">
        <v>0</v>
      </c>
      <c r="FE61" s="330">
        <v>0</v>
      </c>
      <c r="FF61" s="629">
        <f t="shared" si="52"/>
        <v>0</v>
      </c>
      <c r="FG61" s="330">
        <v>0</v>
      </c>
      <c r="FH61" s="330">
        <v>0</v>
      </c>
      <c r="FI61" s="629">
        <f t="shared" si="53"/>
        <v>0</v>
      </c>
      <c r="FJ61" s="330">
        <v>0</v>
      </c>
      <c r="FK61" s="330">
        <v>0</v>
      </c>
      <c r="FL61" s="629">
        <f t="shared" si="54"/>
        <v>0</v>
      </c>
      <c r="FM61" s="330">
        <v>0</v>
      </c>
      <c r="FN61" s="330">
        <v>0</v>
      </c>
      <c r="FO61" s="629">
        <f t="shared" si="55"/>
        <v>0</v>
      </c>
      <c r="FP61" s="330">
        <v>0</v>
      </c>
      <c r="FQ61" s="330">
        <v>0</v>
      </c>
      <c r="FR61" s="629">
        <f t="shared" si="56"/>
        <v>0</v>
      </c>
      <c r="FS61" s="330">
        <v>0</v>
      </c>
      <c r="FT61" s="330">
        <v>0</v>
      </c>
      <c r="FU61" s="629">
        <f t="shared" si="57"/>
        <v>0</v>
      </c>
      <c r="FV61" s="330">
        <v>0</v>
      </c>
      <c r="FW61" s="330">
        <v>0</v>
      </c>
      <c r="FX61" s="629">
        <f t="shared" si="58"/>
        <v>0</v>
      </c>
      <c r="FY61" s="330">
        <v>0</v>
      </c>
      <c r="FZ61" s="330">
        <v>0</v>
      </c>
      <c r="GA61" s="629">
        <f t="shared" si="59"/>
        <v>0</v>
      </c>
      <c r="GB61" s="330">
        <v>0</v>
      </c>
      <c r="GC61" s="330">
        <v>0</v>
      </c>
      <c r="GD61" s="629">
        <f t="shared" si="60"/>
        <v>0</v>
      </c>
      <c r="GE61" s="330">
        <v>0</v>
      </c>
      <c r="GF61" s="330">
        <v>0</v>
      </c>
      <c r="GG61" s="629">
        <f t="shared" si="61"/>
        <v>0</v>
      </c>
      <c r="GH61" s="330">
        <v>1</v>
      </c>
      <c r="GI61" s="330">
        <v>0</v>
      </c>
      <c r="GJ61" s="629">
        <f t="shared" si="62"/>
        <v>1</v>
      </c>
      <c r="GK61" s="330">
        <v>3</v>
      </c>
      <c r="GL61" s="330">
        <v>4</v>
      </c>
      <c r="GM61" s="629">
        <f t="shared" si="63"/>
        <v>7</v>
      </c>
      <c r="GN61" s="330">
        <v>64</v>
      </c>
      <c r="GO61" s="330">
        <v>114</v>
      </c>
      <c r="GP61" s="629">
        <f t="shared" si="64"/>
        <v>178</v>
      </c>
      <c r="GQ61" s="330">
        <v>0</v>
      </c>
      <c r="GR61" s="330">
        <v>0</v>
      </c>
      <c r="GS61" s="629">
        <f t="shared" si="65"/>
        <v>0</v>
      </c>
      <c r="GT61" s="330">
        <v>4</v>
      </c>
      <c r="GU61" s="330">
        <v>0</v>
      </c>
      <c r="GV61" s="629">
        <f t="shared" si="66"/>
        <v>4</v>
      </c>
      <c r="GW61" s="330">
        <v>0</v>
      </c>
      <c r="GX61" s="330">
        <v>0</v>
      </c>
      <c r="GY61" s="629">
        <f t="shared" si="67"/>
        <v>0</v>
      </c>
      <c r="GZ61" s="330">
        <v>2</v>
      </c>
      <c r="HA61" s="330">
        <v>0</v>
      </c>
      <c r="HB61" s="629">
        <f t="shared" si="68"/>
        <v>2</v>
      </c>
      <c r="HC61" s="330">
        <v>0</v>
      </c>
      <c r="HD61" s="330">
        <v>0</v>
      </c>
      <c r="HE61" s="629">
        <f t="shared" si="69"/>
        <v>0</v>
      </c>
      <c r="HF61" s="330">
        <v>0</v>
      </c>
      <c r="HG61" s="330">
        <v>1</v>
      </c>
      <c r="HH61" s="629">
        <f t="shared" si="70"/>
        <v>1</v>
      </c>
      <c r="HI61" s="330">
        <v>6</v>
      </c>
      <c r="HJ61" s="330">
        <v>24</v>
      </c>
      <c r="HK61" s="629">
        <f t="shared" si="71"/>
        <v>30</v>
      </c>
      <c r="HL61" s="330">
        <v>0</v>
      </c>
      <c r="HM61" s="330">
        <v>27</v>
      </c>
      <c r="HN61" s="629">
        <f t="shared" si="72"/>
        <v>27</v>
      </c>
      <c r="HO61" s="330">
        <v>12</v>
      </c>
      <c r="HP61" s="330">
        <v>44</v>
      </c>
      <c r="HQ61" s="629">
        <f t="shared" si="73"/>
        <v>56</v>
      </c>
      <c r="HR61" s="330">
        <v>0</v>
      </c>
      <c r="HS61" s="330">
        <v>5</v>
      </c>
      <c r="HT61" s="629">
        <f t="shared" si="74"/>
        <v>5</v>
      </c>
      <c r="HU61" s="330">
        <v>1</v>
      </c>
      <c r="HV61" s="330">
        <v>0</v>
      </c>
      <c r="HW61" s="629">
        <f t="shared" si="75"/>
        <v>1</v>
      </c>
      <c r="HX61" s="330">
        <v>0</v>
      </c>
      <c r="HY61" s="330">
        <v>0</v>
      </c>
      <c r="HZ61" s="629">
        <f t="shared" si="76"/>
        <v>0</v>
      </c>
      <c r="IA61" s="330">
        <v>0</v>
      </c>
      <c r="IB61" s="330">
        <v>0</v>
      </c>
      <c r="IC61" s="629">
        <f t="shared" si="77"/>
        <v>0</v>
      </c>
      <c r="ID61" s="330">
        <v>3</v>
      </c>
      <c r="IE61" s="330">
        <v>0</v>
      </c>
      <c r="IF61" s="629">
        <f t="shared" si="78"/>
        <v>3</v>
      </c>
      <c r="IG61" s="330">
        <v>0</v>
      </c>
      <c r="IH61" s="330">
        <v>0</v>
      </c>
      <c r="II61" s="629">
        <f t="shared" si="79"/>
        <v>0</v>
      </c>
      <c r="IJ61" s="330">
        <v>31</v>
      </c>
      <c r="IK61" s="330">
        <v>0</v>
      </c>
      <c r="IL61" s="629">
        <f t="shared" si="80"/>
        <v>31</v>
      </c>
      <c r="IM61" s="330">
        <v>0</v>
      </c>
      <c r="IN61" s="330">
        <v>0</v>
      </c>
      <c r="IO61" s="629">
        <f t="shared" si="81"/>
        <v>0</v>
      </c>
      <c r="IP61" s="330">
        <v>0</v>
      </c>
      <c r="IQ61" s="330">
        <v>0</v>
      </c>
      <c r="IR61" s="629">
        <f t="shared" si="82"/>
        <v>0</v>
      </c>
      <c r="IS61" s="330">
        <v>192</v>
      </c>
      <c r="IT61" s="330">
        <v>60</v>
      </c>
      <c r="IU61" s="629">
        <f t="shared" si="83"/>
        <v>252</v>
      </c>
      <c r="IV61" s="330">
        <v>1</v>
      </c>
      <c r="IW61" s="330">
        <v>0</v>
      </c>
      <c r="IX61" s="629">
        <f t="shared" si="84"/>
        <v>1</v>
      </c>
      <c r="IY61" s="330">
        <v>0</v>
      </c>
      <c r="IZ61" s="330">
        <v>0</v>
      </c>
      <c r="JA61" s="629">
        <f t="shared" si="85"/>
        <v>0</v>
      </c>
      <c r="JB61" s="330">
        <v>0</v>
      </c>
      <c r="JC61" s="330">
        <v>0</v>
      </c>
      <c r="JD61" s="629">
        <f t="shared" si="86"/>
        <v>0</v>
      </c>
      <c r="JE61" s="330">
        <v>1609</v>
      </c>
      <c r="JF61" s="330">
        <v>248</v>
      </c>
      <c r="JG61" s="629">
        <f t="shared" si="87"/>
        <v>1857</v>
      </c>
      <c r="JH61" s="330">
        <v>0</v>
      </c>
      <c r="JI61" s="330">
        <v>0</v>
      </c>
      <c r="JJ61" s="629">
        <f t="shared" si="88"/>
        <v>0</v>
      </c>
      <c r="JK61" s="330">
        <v>0</v>
      </c>
      <c r="JL61" s="330">
        <v>0</v>
      </c>
      <c r="JM61" s="629">
        <f t="shared" si="89"/>
        <v>0</v>
      </c>
      <c r="JN61" s="330">
        <v>1</v>
      </c>
      <c r="JO61" s="330">
        <v>0</v>
      </c>
      <c r="JP61" s="629">
        <f t="shared" si="90"/>
        <v>1</v>
      </c>
      <c r="JQ61" s="330">
        <v>0</v>
      </c>
      <c r="JR61" s="330">
        <v>0</v>
      </c>
      <c r="JS61" s="629">
        <f t="shared" si="91"/>
        <v>0</v>
      </c>
      <c r="JT61" s="330">
        <v>0</v>
      </c>
      <c r="JU61" s="330">
        <v>0</v>
      </c>
      <c r="JV61" s="629">
        <f t="shared" si="92"/>
        <v>0</v>
      </c>
      <c r="JW61" s="330">
        <v>0</v>
      </c>
      <c r="JX61" s="330">
        <v>0</v>
      </c>
      <c r="JY61" s="629">
        <f t="shared" si="93"/>
        <v>0</v>
      </c>
      <c r="JZ61" s="330">
        <v>0</v>
      </c>
      <c r="KA61" s="330">
        <v>0</v>
      </c>
      <c r="KB61" s="629">
        <f t="shared" si="94"/>
        <v>0</v>
      </c>
      <c r="KC61" s="330">
        <v>0</v>
      </c>
      <c r="KD61" s="330">
        <v>0</v>
      </c>
      <c r="KE61" s="629">
        <f t="shared" si="95"/>
        <v>0</v>
      </c>
      <c r="KF61" s="330">
        <v>0</v>
      </c>
      <c r="KG61" s="330">
        <v>0</v>
      </c>
      <c r="KH61" s="629">
        <f t="shared" si="96"/>
        <v>0</v>
      </c>
      <c r="KI61" s="330">
        <v>0</v>
      </c>
      <c r="KJ61" s="330">
        <v>0</v>
      </c>
      <c r="KK61" s="629">
        <f t="shared" si="97"/>
        <v>0</v>
      </c>
      <c r="KL61" s="629">
        <v>0</v>
      </c>
      <c r="KM61" s="629">
        <v>0</v>
      </c>
      <c r="KN61" s="629">
        <f t="shared" si="98"/>
        <v>0</v>
      </c>
      <c r="KO61" s="629">
        <v>0</v>
      </c>
      <c r="KP61" s="629">
        <v>0</v>
      </c>
      <c r="KQ61" s="629">
        <f t="shared" si="99"/>
        <v>0</v>
      </c>
      <c r="KR61" s="629">
        <v>0</v>
      </c>
      <c r="KS61" s="629">
        <v>0</v>
      </c>
      <c r="KT61" s="629">
        <f t="shared" si="100"/>
        <v>0</v>
      </c>
      <c r="KU61" s="629">
        <v>0</v>
      </c>
      <c r="KV61" s="629">
        <v>0</v>
      </c>
      <c r="KW61" s="629">
        <f t="shared" si="101"/>
        <v>0</v>
      </c>
      <c r="KX61" s="629">
        <v>0</v>
      </c>
      <c r="KY61" s="629">
        <v>0</v>
      </c>
      <c r="KZ61" s="629">
        <f t="shared" si="102"/>
        <v>0</v>
      </c>
      <c r="LA61" s="629">
        <v>0</v>
      </c>
      <c r="LB61" s="629">
        <v>0</v>
      </c>
      <c r="LC61" s="629">
        <f t="shared" si="103"/>
        <v>0</v>
      </c>
      <c r="LD61" s="629">
        <v>0</v>
      </c>
      <c r="LE61" s="629">
        <v>0</v>
      </c>
      <c r="LF61" s="629">
        <f t="shared" si="104"/>
        <v>0</v>
      </c>
      <c r="LG61" s="629">
        <v>0</v>
      </c>
      <c r="LH61" s="629">
        <v>0</v>
      </c>
      <c r="LI61" s="629">
        <f t="shared" si="105"/>
        <v>0</v>
      </c>
      <c r="LJ61" s="330">
        <v>0</v>
      </c>
      <c r="LK61" s="330">
        <v>0</v>
      </c>
      <c r="LL61" s="697">
        <f t="shared" si="106"/>
        <v>0</v>
      </c>
    </row>
    <row r="62" spans="1:324" ht="15" thickBot="1" x14ac:dyDescent="0.4">
      <c r="A62" s="698">
        <v>4</v>
      </c>
      <c r="B62" s="391" t="s">
        <v>310</v>
      </c>
      <c r="C62" s="443" t="s">
        <v>131</v>
      </c>
      <c r="D62" s="337">
        <v>2957</v>
      </c>
      <c r="E62" s="337">
        <v>2812</v>
      </c>
      <c r="F62" s="699">
        <f t="shared" si="0"/>
        <v>5769</v>
      </c>
      <c r="G62" s="337">
        <v>3</v>
      </c>
      <c r="H62" s="337">
        <v>4501</v>
      </c>
      <c r="I62" s="699">
        <f t="shared" si="1"/>
        <v>4504</v>
      </c>
      <c r="J62" s="337">
        <v>2772</v>
      </c>
      <c r="K62" s="337">
        <v>2351</v>
      </c>
      <c r="L62" s="699">
        <f t="shared" si="2"/>
        <v>5123</v>
      </c>
      <c r="M62" s="337">
        <v>71</v>
      </c>
      <c r="N62" s="337">
        <v>25</v>
      </c>
      <c r="O62" s="699">
        <f t="shared" si="3"/>
        <v>96</v>
      </c>
      <c r="P62" s="337">
        <v>151</v>
      </c>
      <c r="Q62" s="337">
        <v>133</v>
      </c>
      <c r="R62" s="699">
        <f t="shared" si="4"/>
        <v>284</v>
      </c>
      <c r="S62" s="337">
        <v>204</v>
      </c>
      <c r="T62" s="337">
        <v>42</v>
      </c>
      <c r="U62" s="699">
        <f t="shared" si="5"/>
        <v>246</v>
      </c>
      <c r="V62" s="337">
        <v>54</v>
      </c>
      <c r="W62" s="337">
        <v>5</v>
      </c>
      <c r="X62" s="699">
        <f t="shared" si="6"/>
        <v>59</v>
      </c>
      <c r="Y62" s="337">
        <v>92</v>
      </c>
      <c r="Z62" s="337">
        <v>22</v>
      </c>
      <c r="AA62" s="699">
        <f t="shared" si="7"/>
        <v>114</v>
      </c>
      <c r="AB62" s="337">
        <v>30</v>
      </c>
      <c r="AC62" s="337">
        <v>7</v>
      </c>
      <c r="AD62" s="699">
        <f t="shared" si="8"/>
        <v>37</v>
      </c>
      <c r="AE62" s="337">
        <v>1</v>
      </c>
      <c r="AF62" s="337">
        <v>1</v>
      </c>
      <c r="AG62" s="699">
        <f t="shared" si="9"/>
        <v>2</v>
      </c>
      <c r="AH62" s="337">
        <v>1</v>
      </c>
      <c r="AI62" s="337">
        <v>0</v>
      </c>
      <c r="AJ62" s="699">
        <f t="shared" si="10"/>
        <v>1</v>
      </c>
      <c r="AK62" s="337">
        <v>9</v>
      </c>
      <c r="AL62" s="337">
        <v>3</v>
      </c>
      <c r="AM62" s="699">
        <f t="shared" si="11"/>
        <v>12</v>
      </c>
      <c r="AN62" s="337">
        <v>19</v>
      </c>
      <c r="AO62" s="337">
        <v>0</v>
      </c>
      <c r="AP62" s="699">
        <f t="shared" si="12"/>
        <v>19</v>
      </c>
      <c r="AQ62" s="337">
        <v>7</v>
      </c>
      <c r="AR62" s="337">
        <v>0</v>
      </c>
      <c r="AS62" s="699">
        <f t="shared" si="13"/>
        <v>7</v>
      </c>
      <c r="AT62" s="337">
        <v>3004</v>
      </c>
      <c r="AU62" s="337">
        <v>1282</v>
      </c>
      <c r="AV62" s="699">
        <f t="shared" si="14"/>
        <v>4286</v>
      </c>
      <c r="AW62" s="337">
        <v>50</v>
      </c>
      <c r="AX62" s="337">
        <v>34</v>
      </c>
      <c r="AY62" s="699">
        <f t="shared" si="15"/>
        <v>84</v>
      </c>
      <c r="AZ62" s="337">
        <v>1</v>
      </c>
      <c r="BA62" s="337">
        <v>2</v>
      </c>
      <c r="BB62" s="699">
        <f t="shared" si="16"/>
        <v>3</v>
      </c>
      <c r="BC62" s="337">
        <v>26</v>
      </c>
      <c r="BD62" s="337">
        <v>13</v>
      </c>
      <c r="BE62" s="699">
        <f t="shared" si="17"/>
        <v>39</v>
      </c>
      <c r="BF62" s="337">
        <v>283</v>
      </c>
      <c r="BG62" s="337">
        <v>12</v>
      </c>
      <c r="BH62" s="699">
        <f t="shared" si="18"/>
        <v>295</v>
      </c>
      <c r="BI62" s="337">
        <v>14</v>
      </c>
      <c r="BJ62" s="337">
        <v>1</v>
      </c>
      <c r="BK62" s="699">
        <f t="shared" si="19"/>
        <v>15</v>
      </c>
      <c r="BL62" s="337">
        <v>0</v>
      </c>
      <c r="BM62" s="337">
        <v>0</v>
      </c>
      <c r="BN62" s="699">
        <f t="shared" si="20"/>
        <v>0</v>
      </c>
      <c r="BO62" s="337">
        <v>0</v>
      </c>
      <c r="BP62" s="337">
        <v>0</v>
      </c>
      <c r="BQ62" s="699">
        <f t="shared" si="21"/>
        <v>0</v>
      </c>
      <c r="BR62" s="337">
        <v>0</v>
      </c>
      <c r="BS62" s="337">
        <v>2</v>
      </c>
      <c r="BT62" s="699">
        <f t="shared" si="22"/>
        <v>2</v>
      </c>
      <c r="BU62" s="337">
        <v>0</v>
      </c>
      <c r="BV62" s="337">
        <v>0</v>
      </c>
      <c r="BW62" s="699">
        <f t="shared" si="23"/>
        <v>0</v>
      </c>
      <c r="BX62" s="337">
        <v>0</v>
      </c>
      <c r="BY62" s="337">
        <v>0</v>
      </c>
      <c r="BZ62" s="699">
        <f t="shared" si="24"/>
        <v>0</v>
      </c>
      <c r="CA62" s="337">
        <v>0</v>
      </c>
      <c r="CB62" s="337">
        <v>0</v>
      </c>
      <c r="CC62" s="699">
        <f t="shared" si="25"/>
        <v>0</v>
      </c>
      <c r="CD62" s="337">
        <v>0</v>
      </c>
      <c r="CE62" s="337">
        <v>0</v>
      </c>
      <c r="CF62" s="699">
        <f t="shared" si="26"/>
        <v>0</v>
      </c>
      <c r="CG62" s="337">
        <v>0</v>
      </c>
      <c r="CH62" s="337">
        <v>0</v>
      </c>
      <c r="CI62" s="699">
        <f t="shared" si="27"/>
        <v>0</v>
      </c>
      <c r="CJ62" s="337">
        <v>0</v>
      </c>
      <c r="CK62" s="337">
        <v>0</v>
      </c>
      <c r="CL62" s="699">
        <f t="shared" si="28"/>
        <v>0</v>
      </c>
      <c r="CM62" s="337">
        <v>1</v>
      </c>
      <c r="CN62" s="337">
        <v>0</v>
      </c>
      <c r="CO62" s="699">
        <f t="shared" si="29"/>
        <v>1</v>
      </c>
      <c r="CP62" s="337">
        <v>0</v>
      </c>
      <c r="CQ62" s="337">
        <v>0</v>
      </c>
      <c r="CR62" s="699">
        <f t="shared" si="30"/>
        <v>0</v>
      </c>
      <c r="CS62" s="337">
        <v>0</v>
      </c>
      <c r="CT62" s="337">
        <v>0</v>
      </c>
      <c r="CU62" s="699">
        <f t="shared" si="31"/>
        <v>0</v>
      </c>
      <c r="CV62" s="337">
        <v>0</v>
      </c>
      <c r="CW62" s="337">
        <v>0</v>
      </c>
      <c r="CX62" s="699">
        <f t="shared" si="32"/>
        <v>0</v>
      </c>
      <c r="CY62" s="337">
        <v>0</v>
      </c>
      <c r="CZ62" s="337">
        <v>0</v>
      </c>
      <c r="DA62" s="699">
        <f t="shared" si="33"/>
        <v>0</v>
      </c>
      <c r="DB62" s="337">
        <v>3</v>
      </c>
      <c r="DC62" s="337">
        <v>0</v>
      </c>
      <c r="DD62" s="699">
        <f t="shared" si="34"/>
        <v>3</v>
      </c>
      <c r="DE62" s="337">
        <v>4</v>
      </c>
      <c r="DF62" s="337">
        <v>3</v>
      </c>
      <c r="DG62" s="699">
        <f t="shared" si="35"/>
        <v>7</v>
      </c>
      <c r="DH62" s="337">
        <v>0</v>
      </c>
      <c r="DI62" s="337">
        <v>0</v>
      </c>
      <c r="DJ62" s="699">
        <f t="shared" si="36"/>
        <v>0</v>
      </c>
      <c r="DK62" s="337">
        <v>0</v>
      </c>
      <c r="DL62" s="337">
        <v>0</v>
      </c>
      <c r="DM62" s="699">
        <f t="shared" si="37"/>
        <v>0</v>
      </c>
      <c r="DN62" s="337">
        <v>0</v>
      </c>
      <c r="DO62" s="337">
        <v>0</v>
      </c>
      <c r="DP62" s="699">
        <f t="shared" si="38"/>
        <v>0</v>
      </c>
      <c r="DQ62" s="337">
        <v>0</v>
      </c>
      <c r="DR62" s="337">
        <v>0</v>
      </c>
      <c r="DS62" s="699">
        <f t="shared" si="39"/>
        <v>0</v>
      </c>
      <c r="DT62" s="337">
        <v>0</v>
      </c>
      <c r="DU62" s="337">
        <v>0</v>
      </c>
      <c r="DV62" s="699">
        <f t="shared" si="40"/>
        <v>0</v>
      </c>
      <c r="DW62" s="337">
        <v>0</v>
      </c>
      <c r="DX62" s="337">
        <v>1</v>
      </c>
      <c r="DY62" s="699">
        <f t="shared" si="41"/>
        <v>1</v>
      </c>
      <c r="DZ62" s="337">
        <v>0</v>
      </c>
      <c r="EA62" s="337">
        <v>0</v>
      </c>
      <c r="EB62" s="699">
        <f t="shared" si="42"/>
        <v>0</v>
      </c>
      <c r="EC62" s="337">
        <v>6</v>
      </c>
      <c r="ED62" s="337">
        <v>1</v>
      </c>
      <c r="EE62" s="699">
        <f t="shared" si="43"/>
        <v>7</v>
      </c>
      <c r="EF62" s="337">
        <v>0</v>
      </c>
      <c r="EG62" s="337">
        <v>0</v>
      </c>
      <c r="EH62" s="699">
        <f t="shared" si="44"/>
        <v>0</v>
      </c>
      <c r="EI62" s="337">
        <v>0</v>
      </c>
      <c r="EJ62" s="337">
        <v>0</v>
      </c>
      <c r="EK62" s="699">
        <f t="shared" si="45"/>
        <v>0</v>
      </c>
      <c r="EL62" s="337">
        <v>0</v>
      </c>
      <c r="EM62" s="337">
        <v>0</v>
      </c>
      <c r="EN62" s="699">
        <f t="shared" si="46"/>
        <v>0</v>
      </c>
      <c r="EO62" s="337">
        <v>0</v>
      </c>
      <c r="EP62" s="337">
        <v>0</v>
      </c>
      <c r="EQ62" s="699">
        <f t="shared" si="47"/>
        <v>0</v>
      </c>
      <c r="ER62" s="337">
        <v>0</v>
      </c>
      <c r="ES62" s="337">
        <v>0</v>
      </c>
      <c r="ET62" s="699">
        <f t="shared" si="48"/>
        <v>0</v>
      </c>
      <c r="EU62" s="337">
        <v>0</v>
      </c>
      <c r="EV62" s="337">
        <v>0</v>
      </c>
      <c r="EW62" s="699">
        <f t="shared" si="49"/>
        <v>0</v>
      </c>
      <c r="EX62" s="337">
        <v>0</v>
      </c>
      <c r="EY62" s="337">
        <v>0</v>
      </c>
      <c r="EZ62" s="699">
        <f t="shared" si="50"/>
        <v>0</v>
      </c>
      <c r="FA62" s="337">
        <v>0</v>
      </c>
      <c r="FB62" s="337">
        <v>0</v>
      </c>
      <c r="FC62" s="699">
        <f t="shared" si="51"/>
        <v>0</v>
      </c>
      <c r="FD62" s="337">
        <v>1</v>
      </c>
      <c r="FE62" s="337">
        <v>0</v>
      </c>
      <c r="FF62" s="699">
        <f t="shared" si="52"/>
        <v>1</v>
      </c>
      <c r="FG62" s="337">
        <v>0</v>
      </c>
      <c r="FH62" s="337">
        <v>0</v>
      </c>
      <c r="FI62" s="699">
        <f t="shared" si="53"/>
        <v>0</v>
      </c>
      <c r="FJ62" s="337">
        <v>0</v>
      </c>
      <c r="FK62" s="337">
        <v>0</v>
      </c>
      <c r="FL62" s="699">
        <f t="shared" si="54"/>
        <v>0</v>
      </c>
      <c r="FM62" s="337">
        <v>0</v>
      </c>
      <c r="FN62" s="337">
        <v>0</v>
      </c>
      <c r="FO62" s="699">
        <f t="shared" si="55"/>
        <v>0</v>
      </c>
      <c r="FP62" s="337">
        <v>0</v>
      </c>
      <c r="FQ62" s="337">
        <v>0</v>
      </c>
      <c r="FR62" s="699">
        <f t="shared" si="56"/>
        <v>0</v>
      </c>
      <c r="FS62" s="337">
        <v>0</v>
      </c>
      <c r="FT62" s="337">
        <v>0</v>
      </c>
      <c r="FU62" s="699">
        <f t="shared" si="57"/>
        <v>0</v>
      </c>
      <c r="FV62" s="337">
        <v>0</v>
      </c>
      <c r="FW62" s="337">
        <v>0</v>
      </c>
      <c r="FX62" s="699">
        <f t="shared" si="58"/>
        <v>0</v>
      </c>
      <c r="FY62" s="337">
        <v>0</v>
      </c>
      <c r="FZ62" s="337">
        <v>0</v>
      </c>
      <c r="GA62" s="699">
        <f t="shared" si="59"/>
        <v>0</v>
      </c>
      <c r="GB62" s="337">
        <v>0</v>
      </c>
      <c r="GC62" s="337">
        <v>0</v>
      </c>
      <c r="GD62" s="699">
        <f t="shared" si="60"/>
        <v>0</v>
      </c>
      <c r="GE62" s="337">
        <v>0</v>
      </c>
      <c r="GF62" s="337">
        <v>0</v>
      </c>
      <c r="GG62" s="699">
        <f t="shared" si="61"/>
        <v>0</v>
      </c>
      <c r="GH62" s="337">
        <v>0</v>
      </c>
      <c r="GI62" s="337">
        <v>0</v>
      </c>
      <c r="GJ62" s="699">
        <f t="shared" si="62"/>
        <v>0</v>
      </c>
      <c r="GK62" s="337">
        <v>11</v>
      </c>
      <c r="GL62" s="337">
        <v>9</v>
      </c>
      <c r="GM62" s="699">
        <f t="shared" si="63"/>
        <v>20</v>
      </c>
      <c r="GN62" s="337">
        <v>102</v>
      </c>
      <c r="GO62" s="337">
        <v>182</v>
      </c>
      <c r="GP62" s="699">
        <f t="shared" si="64"/>
        <v>284</v>
      </c>
      <c r="GQ62" s="337">
        <v>2</v>
      </c>
      <c r="GR62" s="337">
        <v>0</v>
      </c>
      <c r="GS62" s="699">
        <f t="shared" si="65"/>
        <v>2</v>
      </c>
      <c r="GT62" s="337">
        <v>1</v>
      </c>
      <c r="GU62" s="337">
        <v>0</v>
      </c>
      <c r="GV62" s="699">
        <f t="shared" si="66"/>
        <v>1</v>
      </c>
      <c r="GW62" s="337">
        <v>0</v>
      </c>
      <c r="GX62" s="337">
        <v>0</v>
      </c>
      <c r="GY62" s="699">
        <f t="shared" si="67"/>
        <v>0</v>
      </c>
      <c r="GZ62" s="337">
        <v>2</v>
      </c>
      <c r="HA62" s="337">
        <v>1</v>
      </c>
      <c r="HB62" s="699">
        <f t="shared" si="68"/>
        <v>3</v>
      </c>
      <c r="HC62" s="337">
        <v>0</v>
      </c>
      <c r="HD62" s="337">
        <v>0</v>
      </c>
      <c r="HE62" s="699">
        <f t="shared" si="69"/>
        <v>0</v>
      </c>
      <c r="HF62" s="337">
        <v>2</v>
      </c>
      <c r="HG62" s="337">
        <v>1</v>
      </c>
      <c r="HH62" s="699">
        <f t="shared" si="70"/>
        <v>3</v>
      </c>
      <c r="HI62" s="337">
        <v>4</v>
      </c>
      <c r="HJ62" s="337">
        <v>14</v>
      </c>
      <c r="HK62" s="699">
        <f t="shared" si="71"/>
        <v>18</v>
      </c>
      <c r="HL62" s="337">
        <v>0</v>
      </c>
      <c r="HM62" s="337">
        <v>15</v>
      </c>
      <c r="HN62" s="699">
        <f t="shared" si="72"/>
        <v>15</v>
      </c>
      <c r="HO62" s="337">
        <v>4</v>
      </c>
      <c r="HP62" s="337">
        <v>20</v>
      </c>
      <c r="HQ62" s="699">
        <f t="shared" si="73"/>
        <v>24</v>
      </c>
      <c r="HR62" s="337">
        <v>1</v>
      </c>
      <c r="HS62" s="337">
        <v>2</v>
      </c>
      <c r="HT62" s="699">
        <f t="shared" si="74"/>
        <v>3</v>
      </c>
      <c r="HU62" s="337">
        <v>0</v>
      </c>
      <c r="HV62" s="337">
        <v>1</v>
      </c>
      <c r="HW62" s="699">
        <f t="shared" si="75"/>
        <v>1</v>
      </c>
      <c r="HX62" s="337">
        <v>0</v>
      </c>
      <c r="HY62" s="337">
        <v>0</v>
      </c>
      <c r="HZ62" s="699">
        <f t="shared" si="76"/>
        <v>0</v>
      </c>
      <c r="IA62" s="337">
        <v>0</v>
      </c>
      <c r="IB62" s="337">
        <v>0</v>
      </c>
      <c r="IC62" s="699">
        <f t="shared" si="77"/>
        <v>0</v>
      </c>
      <c r="ID62" s="337">
        <v>3</v>
      </c>
      <c r="IE62" s="337">
        <v>0</v>
      </c>
      <c r="IF62" s="699">
        <f t="shared" si="78"/>
        <v>3</v>
      </c>
      <c r="IG62" s="337">
        <v>0</v>
      </c>
      <c r="IH62" s="337">
        <v>0</v>
      </c>
      <c r="II62" s="699">
        <f t="shared" si="79"/>
        <v>0</v>
      </c>
      <c r="IJ62" s="337">
        <v>41</v>
      </c>
      <c r="IK62" s="337">
        <v>0</v>
      </c>
      <c r="IL62" s="699">
        <f t="shared" si="80"/>
        <v>41</v>
      </c>
      <c r="IM62" s="337">
        <v>0</v>
      </c>
      <c r="IN62" s="337">
        <v>0</v>
      </c>
      <c r="IO62" s="699">
        <f t="shared" si="81"/>
        <v>0</v>
      </c>
      <c r="IP62" s="337">
        <v>0</v>
      </c>
      <c r="IQ62" s="337">
        <v>0</v>
      </c>
      <c r="IR62" s="699">
        <f t="shared" si="82"/>
        <v>0</v>
      </c>
      <c r="IS62" s="337">
        <v>105</v>
      </c>
      <c r="IT62" s="337">
        <v>16</v>
      </c>
      <c r="IU62" s="699">
        <f t="shared" si="83"/>
        <v>121</v>
      </c>
      <c r="IV62" s="337">
        <v>0</v>
      </c>
      <c r="IW62" s="337">
        <v>0</v>
      </c>
      <c r="IX62" s="699">
        <f t="shared" si="84"/>
        <v>0</v>
      </c>
      <c r="IY62" s="337">
        <v>0</v>
      </c>
      <c r="IZ62" s="337">
        <v>0</v>
      </c>
      <c r="JA62" s="699">
        <f t="shared" si="85"/>
        <v>0</v>
      </c>
      <c r="JB62" s="337">
        <v>0</v>
      </c>
      <c r="JC62" s="337">
        <v>0</v>
      </c>
      <c r="JD62" s="699">
        <f t="shared" si="86"/>
        <v>0</v>
      </c>
      <c r="JE62" s="337">
        <v>1811</v>
      </c>
      <c r="JF62" s="337">
        <v>278</v>
      </c>
      <c r="JG62" s="699">
        <f t="shared" si="87"/>
        <v>2089</v>
      </c>
      <c r="JH62" s="337">
        <v>2</v>
      </c>
      <c r="JI62" s="337">
        <v>0</v>
      </c>
      <c r="JJ62" s="699">
        <f t="shared" si="88"/>
        <v>2</v>
      </c>
      <c r="JK62" s="337">
        <v>0</v>
      </c>
      <c r="JL62" s="337">
        <v>0</v>
      </c>
      <c r="JM62" s="699">
        <f t="shared" si="89"/>
        <v>0</v>
      </c>
      <c r="JN62" s="337">
        <v>0</v>
      </c>
      <c r="JO62" s="337">
        <v>0</v>
      </c>
      <c r="JP62" s="699">
        <f t="shared" si="90"/>
        <v>0</v>
      </c>
      <c r="JQ62" s="337">
        <v>0</v>
      </c>
      <c r="JR62" s="337">
        <v>0</v>
      </c>
      <c r="JS62" s="699">
        <f t="shared" si="91"/>
        <v>0</v>
      </c>
      <c r="JT62" s="337">
        <v>0</v>
      </c>
      <c r="JU62" s="337">
        <v>0</v>
      </c>
      <c r="JV62" s="699">
        <f t="shared" si="92"/>
        <v>0</v>
      </c>
      <c r="JW62" s="337">
        <v>0</v>
      </c>
      <c r="JX62" s="337">
        <v>0</v>
      </c>
      <c r="JY62" s="699">
        <f t="shared" si="93"/>
        <v>0</v>
      </c>
      <c r="JZ62" s="337">
        <v>0</v>
      </c>
      <c r="KA62" s="337">
        <v>0</v>
      </c>
      <c r="KB62" s="699">
        <f t="shared" si="94"/>
        <v>0</v>
      </c>
      <c r="KC62" s="337">
        <v>0</v>
      </c>
      <c r="KD62" s="337">
        <v>0</v>
      </c>
      <c r="KE62" s="699">
        <f t="shared" si="95"/>
        <v>0</v>
      </c>
      <c r="KF62" s="337">
        <v>0</v>
      </c>
      <c r="KG62" s="337">
        <v>0</v>
      </c>
      <c r="KH62" s="699">
        <f t="shared" si="96"/>
        <v>0</v>
      </c>
      <c r="KI62" s="337">
        <v>0</v>
      </c>
      <c r="KJ62" s="337">
        <v>0</v>
      </c>
      <c r="KK62" s="699">
        <f t="shared" si="97"/>
        <v>0</v>
      </c>
      <c r="KL62" s="699">
        <v>0</v>
      </c>
      <c r="KM62" s="699">
        <v>0</v>
      </c>
      <c r="KN62" s="699">
        <f t="shared" si="98"/>
        <v>0</v>
      </c>
      <c r="KO62" s="699">
        <v>0</v>
      </c>
      <c r="KP62" s="699">
        <v>0</v>
      </c>
      <c r="KQ62" s="699">
        <f t="shared" si="99"/>
        <v>0</v>
      </c>
      <c r="KR62" s="699">
        <v>0</v>
      </c>
      <c r="KS62" s="699">
        <v>0</v>
      </c>
      <c r="KT62" s="699">
        <f t="shared" si="100"/>
        <v>0</v>
      </c>
      <c r="KU62" s="699">
        <v>0</v>
      </c>
      <c r="KV62" s="699">
        <v>0</v>
      </c>
      <c r="KW62" s="699">
        <f t="shared" si="101"/>
        <v>0</v>
      </c>
      <c r="KX62" s="699">
        <v>0</v>
      </c>
      <c r="KY62" s="699">
        <v>0</v>
      </c>
      <c r="KZ62" s="699">
        <f t="shared" si="102"/>
        <v>0</v>
      </c>
      <c r="LA62" s="699">
        <v>0</v>
      </c>
      <c r="LB62" s="699">
        <v>0</v>
      </c>
      <c r="LC62" s="699">
        <f t="shared" si="103"/>
        <v>0</v>
      </c>
      <c r="LD62" s="699">
        <v>0</v>
      </c>
      <c r="LE62" s="699">
        <v>0</v>
      </c>
      <c r="LF62" s="699">
        <f t="shared" si="104"/>
        <v>0</v>
      </c>
      <c r="LG62" s="699">
        <v>0</v>
      </c>
      <c r="LH62" s="699">
        <v>0</v>
      </c>
      <c r="LI62" s="699">
        <f t="shared" si="105"/>
        <v>0</v>
      </c>
      <c r="LJ62" s="337">
        <v>0</v>
      </c>
      <c r="LK62" s="337">
        <v>0</v>
      </c>
      <c r="LL62" s="700">
        <f t="shared" si="106"/>
        <v>0</v>
      </c>
    </row>
    <row r="63" spans="1:324" x14ac:dyDescent="0.35">
      <c r="A63" s="685">
        <v>3</v>
      </c>
      <c r="B63" s="371" t="s">
        <v>311</v>
      </c>
      <c r="C63" s="428" t="s">
        <v>138</v>
      </c>
      <c r="D63" s="305">
        <v>26213</v>
      </c>
      <c r="E63" s="305">
        <v>24011</v>
      </c>
      <c r="F63" s="686">
        <f t="shared" si="0"/>
        <v>50224</v>
      </c>
      <c r="G63" s="305">
        <v>18</v>
      </c>
      <c r="H63" s="305">
        <v>40705</v>
      </c>
      <c r="I63" s="686">
        <f t="shared" si="1"/>
        <v>40723</v>
      </c>
      <c r="J63" s="305">
        <v>29900</v>
      </c>
      <c r="K63" s="305">
        <v>26182</v>
      </c>
      <c r="L63" s="686">
        <f t="shared" si="2"/>
        <v>56082</v>
      </c>
      <c r="M63" s="305">
        <v>689</v>
      </c>
      <c r="N63" s="305">
        <v>199</v>
      </c>
      <c r="O63" s="686">
        <f t="shared" si="3"/>
        <v>888</v>
      </c>
      <c r="P63" s="305">
        <v>1896</v>
      </c>
      <c r="Q63" s="305">
        <v>1485</v>
      </c>
      <c r="R63" s="686">
        <f t="shared" si="4"/>
        <v>3381</v>
      </c>
      <c r="S63" s="305">
        <v>558</v>
      </c>
      <c r="T63" s="305">
        <v>25</v>
      </c>
      <c r="U63" s="686">
        <f t="shared" si="5"/>
        <v>583</v>
      </c>
      <c r="V63" s="305">
        <v>552</v>
      </c>
      <c r="W63" s="305">
        <v>42</v>
      </c>
      <c r="X63" s="686">
        <f t="shared" si="6"/>
        <v>594</v>
      </c>
      <c r="Y63" s="305">
        <v>1109</v>
      </c>
      <c r="Z63" s="305">
        <v>221</v>
      </c>
      <c r="AA63" s="686">
        <f t="shared" si="7"/>
        <v>1330</v>
      </c>
      <c r="AB63" s="305">
        <v>555</v>
      </c>
      <c r="AC63" s="305">
        <v>81</v>
      </c>
      <c r="AD63" s="686">
        <f t="shared" si="8"/>
        <v>636</v>
      </c>
      <c r="AE63" s="305">
        <v>14</v>
      </c>
      <c r="AF63" s="305">
        <v>1</v>
      </c>
      <c r="AG63" s="686">
        <f t="shared" si="9"/>
        <v>15</v>
      </c>
      <c r="AH63" s="305">
        <v>5</v>
      </c>
      <c r="AI63" s="305">
        <v>0</v>
      </c>
      <c r="AJ63" s="686">
        <f t="shared" si="10"/>
        <v>5</v>
      </c>
      <c r="AK63" s="305">
        <v>429</v>
      </c>
      <c r="AL63" s="305">
        <v>84</v>
      </c>
      <c r="AM63" s="686">
        <f t="shared" si="11"/>
        <v>513</v>
      </c>
      <c r="AN63" s="305">
        <v>69</v>
      </c>
      <c r="AO63" s="305">
        <v>4</v>
      </c>
      <c r="AP63" s="686">
        <f t="shared" si="12"/>
        <v>73</v>
      </c>
      <c r="AQ63" s="305">
        <v>157</v>
      </c>
      <c r="AR63" s="305">
        <v>4</v>
      </c>
      <c r="AS63" s="686">
        <f t="shared" si="13"/>
        <v>161</v>
      </c>
      <c r="AT63" s="305">
        <v>35475</v>
      </c>
      <c r="AU63" s="305">
        <v>16863</v>
      </c>
      <c r="AV63" s="686">
        <f t="shared" si="14"/>
        <v>52338</v>
      </c>
      <c r="AW63" s="305">
        <v>648</v>
      </c>
      <c r="AX63" s="305">
        <v>248</v>
      </c>
      <c r="AY63" s="686">
        <f t="shared" si="15"/>
        <v>896</v>
      </c>
      <c r="AZ63" s="305">
        <v>62</v>
      </c>
      <c r="BA63" s="305">
        <v>26</v>
      </c>
      <c r="BB63" s="686">
        <f t="shared" si="16"/>
        <v>88</v>
      </c>
      <c r="BC63" s="305">
        <v>191</v>
      </c>
      <c r="BD63" s="305">
        <v>152</v>
      </c>
      <c r="BE63" s="686">
        <f t="shared" si="17"/>
        <v>343</v>
      </c>
      <c r="BF63" s="305">
        <v>3556</v>
      </c>
      <c r="BG63" s="305">
        <v>141</v>
      </c>
      <c r="BH63" s="686">
        <f t="shared" si="18"/>
        <v>3697</v>
      </c>
      <c r="BI63" s="305">
        <v>247</v>
      </c>
      <c r="BJ63" s="305">
        <v>16</v>
      </c>
      <c r="BK63" s="686">
        <f t="shared" si="19"/>
        <v>263</v>
      </c>
      <c r="BL63" s="305">
        <v>3</v>
      </c>
      <c r="BM63" s="305">
        <v>0</v>
      </c>
      <c r="BN63" s="686">
        <f t="shared" si="20"/>
        <v>3</v>
      </c>
      <c r="BO63" s="305">
        <v>6</v>
      </c>
      <c r="BP63" s="305">
        <v>0</v>
      </c>
      <c r="BQ63" s="686">
        <f t="shared" si="21"/>
        <v>6</v>
      </c>
      <c r="BR63" s="305">
        <v>0</v>
      </c>
      <c r="BS63" s="305">
        <v>22</v>
      </c>
      <c r="BT63" s="686">
        <f t="shared" si="22"/>
        <v>22</v>
      </c>
      <c r="BU63" s="305">
        <v>0</v>
      </c>
      <c r="BV63" s="305">
        <v>0</v>
      </c>
      <c r="BW63" s="686">
        <f t="shared" si="23"/>
        <v>0</v>
      </c>
      <c r="BX63" s="305">
        <v>4</v>
      </c>
      <c r="BY63" s="305">
        <v>0</v>
      </c>
      <c r="BZ63" s="686">
        <f t="shared" si="24"/>
        <v>4</v>
      </c>
      <c r="CA63" s="305">
        <v>23</v>
      </c>
      <c r="CB63" s="305">
        <v>0</v>
      </c>
      <c r="CC63" s="686">
        <f t="shared" si="25"/>
        <v>23</v>
      </c>
      <c r="CD63" s="305">
        <v>19</v>
      </c>
      <c r="CE63" s="305">
        <v>0</v>
      </c>
      <c r="CF63" s="686">
        <f t="shared" si="26"/>
        <v>19</v>
      </c>
      <c r="CG63" s="305">
        <v>0</v>
      </c>
      <c r="CH63" s="305">
        <v>0</v>
      </c>
      <c r="CI63" s="686">
        <f t="shared" si="27"/>
        <v>0</v>
      </c>
      <c r="CJ63" s="305">
        <v>4</v>
      </c>
      <c r="CK63" s="305">
        <v>0</v>
      </c>
      <c r="CL63" s="686">
        <f t="shared" si="28"/>
        <v>4</v>
      </c>
      <c r="CM63" s="305">
        <v>9</v>
      </c>
      <c r="CN63" s="305">
        <v>6</v>
      </c>
      <c r="CO63" s="686">
        <f t="shared" si="29"/>
        <v>15</v>
      </c>
      <c r="CP63" s="305">
        <v>1</v>
      </c>
      <c r="CQ63" s="305">
        <v>0</v>
      </c>
      <c r="CR63" s="686">
        <f t="shared" si="30"/>
        <v>1</v>
      </c>
      <c r="CS63" s="305">
        <v>1</v>
      </c>
      <c r="CT63" s="305">
        <v>2</v>
      </c>
      <c r="CU63" s="686">
        <f t="shared" si="31"/>
        <v>3</v>
      </c>
      <c r="CV63" s="305">
        <v>0</v>
      </c>
      <c r="CW63" s="305">
        <v>0</v>
      </c>
      <c r="CX63" s="686">
        <f t="shared" si="32"/>
        <v>0</v>
      </c>
      <c r="CY63" s="305">
        <v>1</v>
      </c>
      <c r="CZ63" s="305">
        <v>7</v>
      </c>
      <c r="DA63" s="686">
        <f t="shared" si="33"/>
        <v>8</v>
      </c>
      <c r="DB63" s="305">
        <v>33</v>
      </c>
      <c r="DC63" s="305">
        <v>0</v>
      </c>
      <c r="DD63" s="686">
        <f t="shared" si="34"/>
        <v>33</v>
      </c>
      <c r="DE63" s="305">
        <v>27</v>
      </c>
      <c r="DF63" s="305">
        <v>1</v>
      </c>
      <c r="DG63" s="686">
        <f t="shared" si="35"/>
        <v>28</v>
      </c>
      <c r="DH63" s="305">
        <v>0</v>
      </c>
      <c r="DI63" s="305">
        <v>0</v>
      </c>
      <c r="DJ63" s="686">
        <f t="shared" si="36"/>
        <v>0</v>
      </c>
      <c r="DK63" s="305">
        <v>0</v>
      </c>
      <c r="DL63" s="305">
        <v>3</v>
      </c>
      <c r="DM63" s="686">
        <f t="shared" si="37"/>
        <v>3</v>
      </c>
      <c r="DN63" s="305">
        <v>0</v>
      </c>
      <c r="DO63" s="305">
        <v>0</v>
      </c>
      <c r="DP63" s="686">
        <f t="shared" si="38"/>
        <v>0</v>
      </c>
      <c r="DQ63" s="305">
        <v>0</v>
      </c>
      <c r="DR63" s="305">
        <v>0</v>
      </c>
      <c r="DS63" s="686">
        <f t="shared" si="39"/>
        <v>0</v>
      </c>
      <c r="DT63" s="305">
        <v>3</v>
      </c>
      <c r="DU63" s="305">
        <v>0</v>
      </c>
      <c r="DV63" s="686">
        <f t="shared" si="40"/>
        <v>3</v>
      </c>
      <c r="DW63" s="305">
        <v>35</v>
      </c>
      <c r="DX63" s="305">
        <v>11</v>
      </c>
      <c r="DY63" s="686">
        <f t="shared" si="41"/>
        <v>46</v>
      </c>
      <c r="DZ63" s="305">
        <v>0</v>
      </c>
      <c r="EA63" s="305">
        <v>0</v>
      </c>
      <c r="EB63" s="686">
        <f t="shared" si="42"/>
        <v>0</v>
      </c>
      <c r="EC63" s="305">
        <v>56</v>
      </c>
      <c r="ED63" s="305">
        <v>9</v>
      </c>
      <c r="EE63" s="686">
        <f t="shared" si="43"/>
        <v>65</v>
      </c>
      <c r="EF63" s="305">
        <v>18</v>
      </c>
      <c r="EG63" s="305">
        <v>1</v>
      </c>
      <c r="EH63" s="686">
        <f t="shared" si="44"/>
        <v>19</v>
      </c>
      <c r="EI63" s="305">
        <v>1</v>
      </c>
      <c r="EJ63" s="305">
        <v>1</v>
      </c>
      <c r="EK63" s="686">
        <f t="shared" si="45"/>
        <v>2</v>
      </c>
      <c r="EL63" s="305">
        <v>0</v>
      </c>
      <c r="EM63" s="305">
        <v>0</v>
      </c>
      <c r="EN63" s="686">
        <f t="shared" si="46"/>
        <v>0</v>
      </c>
      <c r="EO63" s="305">
        <v>0</v>
      </c>
      <c r="EP63" s="305">
        <v>0</v>
      </c>
      <c r="EQ63" s="686">
        <f t="shared" si="47"/>
        <v>0</v>
      </c>
      <c r="ER63" s="305">
        <v>0</v>
      </c>
      <c r="ES63" s="305">
        <v>0</v>
      </c>
      <c r="ET63" s="686">
        <f t="shared" si="48"/>
        <v>0</v>
      </c>
      <c r="EU63" s="305">
        <v>0</v>
      </c>
      <c r="EV63" s="305">
        <v>0</v>
      </c>
      <c r="EW63" s="686">
        <f t="shared" si="49"/>
        <v>0</v>
      </c>
      <c r="EX63" s="305">
        <v>0</v>
      </c>
      <c r="EY63" s="305">
        <v>0</v>
      </c>
      <c r="EZ63" s="686">
        <f t="shared" si="50"/>
        <v>0</v>
      </c>
      <c r="FA63" s="305">
        <v>0</v>
      </c>
      <c r="FB63" s="305">
        <v>0</v>
      </c>
      <c r="FC63" s="686">
        <f t="shared" si="51"/>
        <v>0</v>
      </c>
      <c r="FD63" s="305">
        <v>0</v>
      </c>
      <c r="FE63" s="305">
        <v>0</v>
      </c>
      <c r="FF63" s="686">
        <f t="shared" si="52"/>
        <v>0</v>
      </c>
      <c r="FG63" s="305">
        <v>0</v>
      </c>
      <c r="FH63" s="305">
        <v>0</v>
      </c>
      <c r="FI63" s="686">
        <f t="shared" si="53"/>
        <v>0</v>
      </c>
      <c r="FJ63" s="305">
        <v>0</v>
      </c>
      <c r="FK63" s="305">
        <v>0</v>
      </c>
      <c r="FL63" s="686">
        <f t="shared" si="54"/>
        <v>0</v>
      </c>
      <c r="FM63" s="305">
        <v>0</v>
      </c>
      <c r="FN63" s="305">
        <v>0</v>
      </c>
      <c r="FO63" s="686">
        <f t="shared" si="55"/>
        <v>0</v>
      </c>
      <c r="FP63" s="305">
        <v>0</v>
      </c>
      <c r="FQ63" s="305">
        <v>0</v>
      </c>
      <c r="FR63" s="686">
        <f t="shared" si="56"/>
        <v>0</v>
      </c>
      <c r="FS63" s="305">
        <v>0</v>
      </c>
      <c r="FT63" s="305">
        <v>0</v>
      </c>
      <c r="FU63" s="686">
        <f t="shared" si="57"/>
        <v>0</v>
      </c>
      <c r="FV63" s="305">
        <v>0</v>
      </c>
      <c r="FW63" s="305">
        <v>0</v>
      </c>
      <c r="FX63" s="686">
        <f t="shared" si="58"/>
        <v>0</v>
      </c>
      <c r="FY63" s="305">
        <v>0</v>
      </c>
      <c r="FZ63" s="305">
        <v>0</v>
      </c>
      <c r="GA63" s="686">
        <f t="shared" si="59"/>
        <v>0</v>
      </c>
      <c r="GB63" s="305">
        <v>0</v>
      </c>
      <c r="GC63" s="305">
        <v>0</v>
      </c>
      <c r="GD63" s="686">
        <f t="shared" si="60"/>
        <v>0</v>
      </c>
      <c r="GE63" s="305">
        <v>0</v>
      </c>
      <c r="GF63" s="305">
        <v>0</v>
      </c>
      <c r="GG63" s="686">
        <f t="shared" si="61"/>
        <v>0</v>
      </c>
      <c r="GH63" s="305">
        <v>2</v>
      </c>
      <c r="GI63" s="305">
        <v>0</v>
      </c>
      <c r="GJ63" s="686">
        <f t="shared" si="62"/>
        <v>2</v>
      </c>
      <c r="GK63" s="305">
        <v>76</v>
      </c>
      <c r="GL63" s="305">
        <v>79</v>
      </c>
      <c r="GM63" s="686">
        <f t="shared" si="63"/>
        <v>155</v>
      </c>
      <c r="GN63" s="305">
        <v>718</v>
      </c>
      <c r="GO63" s="305">
        <v>1617</v>
      </c>
      <c r="GP63" s="686">
        <f t="shared" si="64"/>
        <v>2335</v>
      </c>
      <c r="GQ63" s="305">
        <v>5</v>
      </c>
      <c r="GR63" s="305">
        <v>0</v>
      </c>
      <c r="GS63" s="686">
        <f t="shared" si="65"/>
        <v>5</v>
      </c>
      <c r="GT63" s="305">
        <v>32</v>
      </c>
      <c r="GU63" s="305">
        <v>3</v>
      </c>
      <c r="GV63" s="686">
        <f t="shared" si="66"/>
        <v>35</v>
      </c>
      <c r="GW63" s="305">
        <v>4</v>
      </c>
      <c r="GX63" s="305">
        <v>1</v>
      </c>
      <c r="GY63" s="686">
        <f t="shared" si="67"/>
        <v>5</v>
      </c>
      <c r="GZ63" s="305">
        <v>9</v>
      </c>
      <c r="HA63" s="305">
        <v>3</v>
      </c>
      <c r="HB63" s="686">
        <f t="shared" si="68"/>
        <v>12</v>
      </c>
      <c r="HC63" s="305">
        <v>0</v>
      </c>
      <c r="HD63" s="305">
        <v>0</v>
      </c>
      <c r="HE63" s="686">
        <f t="shared" si="69"/>
        <v>0</v>
      </c>
      <c r="HF63" s="305">
        <v>18</v>
      </c>
      <c r="HG63" s="305">
        <v>5</v>
      </c>
      <c r="HH63" s="686">
        <f t="shared" si="70"/>
        <v>23</v>
      </c>
      <c r="HI63" s="305">
        <v>76</v>
      </c>
      <c r="HJ63" s="305">
        <v>162</v>
      </c>
      <c r="HK63" s="686">
        <f t="shared" si="71"/>
        <v>238</v>
      </c>
      <c r="HL63" s="305">
        <v>0</v>
      </c>
      <c r="HM63" s="305">
        <v>205</v>
      </c>
      <c r="HN63" s="686">
        <f t="shared" si="72"/>
        <v>205</v>
      </c>
      <c r="HO63" s="305">
        <v>45</v>
      </c>
      <c r="HP63" s="305">
        <v>277</v>
      </c>
      <c r="HQ63" s="686">
        <f t="shared" si="73"/>
        <v>322</v>
      </c>
      <c r="HR63" s="305">
        <v>2</v>
      </c>
      <c r="HS63" s="305">
        <v>15</v>
      </c>
      <c r="HT63" s="686">
        <f t="shared" si="74"/>
        <v>17</v>
      </c>
      <c r="HU63" s="305">
        <v>1</v>
      </c>
      <c r="HV63" s="305">
        <v>4</v>
      </c>
      <c r="HW63" s="686">
        <f t="shared" si="75"/>
        <v>5</v>
      </c>
      <c r="HX63" s="305">
        <v>0</v>
      </c>
      <c r="HY63" s="305">
        <v>0</v>
      </c>
      <c r="HZ63" s="686">
        <f t="shared" si="76"/>
        <v>0</v>
      </c>
      <c r="IA63" s="305">
        <v>0</v>
      </c>
      <c r="IB63" s="305">
        <v>0</v>
      </c>
      <c r="IC63" s="686">
        <f t="shared" si="77"/>
        <v>0</v>
      </c>
      <c r="ID63" s="305">
        <v>78</v>
      </c>
      <c r="IE63" s="305">
        <v>0</v>
      </c>
      <c r="IF63" s="686">
        <f t="shared" si="78"/>
        <v>78</v>
      </c>
      <c r="IG63" s="305">
        <v>5</v>
      </c>
      <c r="IH63" s="305">
        <v>1</v>
      </c>
      <c r="II63" s="686">
        <f t="shared" si="79"/>
        <v>6</v>
      </c>
      <c r="IJ63" s="305">
        <v>248</v>
      </c>
      <c r="IK63" s="305">
        <v>1</v>
      </c>
      <c r="IL63" s="686">
        <f t="shared" si="80"/>
        <v>249</v>
      </c>
      <c r="IM63" s="305">
        <v>1</v>
      </c>
      <c r="IN63" s="305">
        <v>1</v>
      </c>
      <c r="IO63" s="686">
        <f t="shared" si="81"/>
        <v>2</v>
      </c>
      <c r="IP63" s="305">
        <v>2</v>
      </c>
      <c r="IQ63" s="305">
        <v>0</v>
      </c>
      <c r="IR63" s="686">
        <f t="shared" si="82"/>
        <v>2</v>
      </c>
      <c r="IS63" s="305">
        <v>602</v>
      </c>
      <c r="IT63" s="305">
        <v>145</v>
      </c>
      <c r="IU63" s="686">
        <f t="shared" si="83"/>
        <v>747</v>
      </c>
      <c r="IV63" s="305">
        <v>5</v>
      </c>
      <c r="IW63" s="305">
        <v>0</v>
      </c>
      <c r="IX63" s="686">
        <f t="shared" si="84"/>
        <v>5</v>
      </c>
      <c r="IY63" s="305">
        <v>0</v>
      </c>
      <c r="IZ63" s="305">
        <v>0</v>
      </c>
      <c r="JA63" s="686">
        <f t="shared" si="85"/>
        <v>0</v>
      </c>
      <c r="JB63" s="305">
        <v>0</v>
      </c>
      <c r="JC63" s="305">
        <v>1</v>
      </c>
      <c r="JD63" s="686">
        <f t="shared" si="86"/>
        <v>1</v>
      </c>
      <c r="JE63" s="305">
        <v>11421</v>
      </c>
      <c r="JF63" s="305">
        <v>2579</v>
      </c>
      <c r="JG63" s="686">
        <f t="shared" si="87"/>
        <v>14000</v>
      </c>
      <c r="JH63" s="305">
        <v>5</v>
      </c>
      <c r="JI63" s="305">
        <v>3</v>
      </c>
      <c r="JJ63" s="686">
        <f t="shared" si="88"/>
        <v>8</v>
      </c>
      <c r="JK63" s="305">
        <v>0</v>
      </c>
      <c r="JL63" s="305">
        <v>0</v>
      </c>
      <c r="JM63" s="686">
        <f t="shared" si="89"/>
        <v>0</v>
      </c>
      <c r="JN63" s="305">
        <v>1</v>
      </c>
      <c r="JO63" s="305">
        <v>1</v>
      </c>
      <c r="JP63" s="686">
        <f t="shared" si="90"/>
        <v>2</v>
      </c>
      <c r="JQ63" s="305">
        <v>0</v>
      </c>
      <c r="JR63" s="305">
        <v>0</v>
      </c>
      <c r="JS63" s="686">
        <f t="shared" si="91"/>
        <v>0</v>
      </c>
      <c r="JT63" s="305">
        <v>0</v>
      </c>
      <c r="JU63" s="305">
        <v>0</v>
      </c>
      <c r="JV63" s="686">
        <f t="shared" si="92"/>
        <v>0</v>
      </c>
      <c r="JW63" s="305">
        <v>0</v>
      </c>
      <c r="JX63" s="305">
        <v>0</v>
      </c>
      <c r="JY63" s="686">
        <f t="shared" si="93"/>
        <v>0</v>
      </c>
      <c r="JZ63" s="305">
        <v>0</v>
      </c>
      <c r="KA63" s="305">
        <v>0</v>
      </c>
      <c r="KB63" s="686">
        <f t="shared" si="94"/>
        <v>0</v>
      </c>
      <c r="KC63" s="305">
        <v>0</v>
      </c>
      <c r="KD63" s="305">
        <v>0</v>
      </c>
      <c r="KE63" s="686">
        <f t="shared" si="95"/>
        <v>0</v>
      </c>
      <c r="KF63" s="305">
        <v>0</v>
      </c>
      <c r="KG63" s="305">
        <v>0</v>
      </c>
      <c r="KH63" s="686">
        <f t="shared" si="96"/>
        <v>0</v>
      </c>
      <c r="KI63" s="305">
        <v>0</v>
      </c>
      <c r="KJ63" s="305">
        <v>0</v>
      </c>
      <c r="KK63" s="686">
        <f t="shared" si="97"/>
        <v>0</v>
      </c>
      <c r="KL63" s="686">
        <v>0</v>
      </c>
      <c r="KM63" s="686">
        <v>0</v>
      </c>
      <c r="KN63" s="686">
        <f t="shared" si="98"/>
        <v>0</v>
      </c>
      <c r="KO63" s="686">
        <v>0</v>
      </c>
      <c r="KP63" s="686">
        <v>0</v>
      </c>
      <c r="KQ63" s="686">
        <f t="shared" si="99"/>
        <v>0</v>
      </c>
      <c r="KR63" s="686">
        <v>0</v>
      </c>
      <c r="KS63" s="686">
        <v>0</v>
      </c>
      <c r="KT63" s="686">
        <f t="shared" si="100"/>
        <v>0</v>
      </c>
      <c r="KU63" s="686">
        <v>0</v>
      </c>
      <c r="KV63" s="686">
        <v>0</v>
      </c>
      <c r="KW63" s="686">
        <f t="shared" si="101"/>
        <v>0</v>
      </c>
      <c r="KX63" s="686">
        <v>0</v>
      </c>
      <c r="KY63" s="686">
        <v>0</v>
      </c>
      <c r="KZ63" s="686">
        <f t="shared" si="102"/>
        <v>0</v>
      </c>
      <c r="LA63" s="686">
        <v>0</v>
      </c>
      <c r="LB63" s="686">
        <v>0</v>
      </c>
      <c r="LC63" s="686">
        <f t="shared" si="103"/>
        <v>0</v>
      </c>
      <c r="LD63" s="686">
        <v>0</v>
      </c>
      <c r="LE63" s="686">
        <v>0</v>
      </c>
      <c r="LF63" s="686">
        <f t="shared" si="104"/>
        <v>0</v>
      </c>
      <c r="LG63" s="686">
        <v>0</v>
      </c>
      <c r="LH63" s="686">
        <v>0</v>
      </c>
      <c r="LI63" s="686">
        <f t="shared" si="105"/>
        <v>0</v>
      </c>
      <c r="LJ63" s="305">
        <v>1</v>
      </c>
      <c r="LK63" s="305">
        <v>0</v>
      </c>
      <c r="LL63" s="687">
        <f t="shared" si="106"/>
        <v>1</v>
      </c>
    </row>
    <row r="64" spans="1:324" x14ac:dyDescent="0.35">
      <c r="A64" s="688">
        <v>4</v>
      </c>
      <c r="B64" s="375" t="s">
        <v>312</v>
      </c>
      <c r="C64" s="431" t="s">
        <v>134</v>
      </c>
      <c r="D64" s="312">
        <v>7252</v>
      </c>
      <c r="E64" s="312">
        <v>6569</v>
      </c>
      <c r="F64" s="622">
        <f t="shared" si="0"/>
        <v>13821</v>
      </c>
      <c r="G64" s="312">
        <v>5</v>
      </c>
      <c r="H64" s="312">
        <v>10879</v>
      </c>
      <c r="I64" s="622">
        <f t="shared" si="1"/>
        <v>10884</v>
      </c>
      <c r="J64" s="312">
        <v>7691</v>
      </c>
      <c r="K64" s="312">
        <v>6578</v>
      </c>
      <c r="L64" s="622">
        <f t="shared" si="2"/>
        <v>14269</v>
      </c>
      <c r="M64" s="312">
        <v>132</v>
      </c>
      <c r="N64" s="312">
        <v>38</v>
      </c>
      <c r="O64" s="622">
        <f t="shared" si="3"/>
        <v>170</v>
      </c>
      <c r="P64" s="312">
        <v>386</v>
      </c>
      <c r="Q64" s="312">
        <v>292</v>
      </c>
      <c r="R64" s="622">
        <f t="shared" si="4"/>
        <v>678</v>
      </c>
      <c r="S64" s="312">
        <v>118</v>
      </c>
      <c r="T64" s="312">
        <v>5</v>
      </c>
      <c r="U64" s="622">
        <f t="shared" si="5"/>
        <v>123</v>
      </c>
      <c r="V64" s="312">
        <v>102</v>
      </c>
      <c r="W64" s="312">
        <v>9</v>
      </c>
      <c r="X64" s="622">
        <f t="shared" si="6"/>
        <v>111</v>
      </c>
      <c r="Y64" s="312">
        <v>287</v>
      </c>
      <c r="Z64" s="312">
        <v>52</v>
      </c>
      <c r="AA64" s="622">
        <f t="shared" si="7"/>
        <v>339</v>
      </c>
      <c r="AB64" s="312">
        <v>138</v>
      </c>
      <c r="AC64" s="312">
        <v>24</v>
      </c>
      <c r="AD64" s="622">
        <f t="shared" si="8"/>
        <v>162</v>
      </c>
      <c r="AE64" s="312">
        <v>5</v>
      </c>
      <c r="AF64" s="312">
        <v>0</v>
      </c>
      <c r="AG64" s="622">
        <f t="shared" si="9"/>
        <v>5</v>
      </c>
      <c r="AH64" s="312">
        <v>0</v>
      </c>
      <c r="AI64" s="312">
        <v>0</v>
      </c>
      <c r="AJ64" s="622">
        <f t="shared" si="10"/>
        <v>0</v>
      </c>
      <c r="AK64" s="312">
        <v>26</v>
      </c>
      <c r="AL64" s="312">
        <v>5</v>
      </c>
      <c r="AM64" s="622">
        <f t="shared" si="11"/>
        <v>31</v>
      </c>
      <c r="AN64" s="312">
        <v>9</v>
      </c>
      <c r="AO64" s="312">
        <v>0</v>
      </c>
      <c r="AP64" s="622">
        <f t="shared" si="12"/>
        <v>9</v>
      </c>
      <c r="AQ64" s="312">
        <v>19</v>
      </c>
      <c r="AR64" s="312">
        <v>2</v>
      </c>
      <c r="AS64" s="622">
        <f t="shared" si="13"/>
        <v>21</v>
      </c>
      <c r="AT64" s="312">
        <v>9470</v>
      </c>
      <c r="AU64" s="312">
        <v>4351</v>
      </c>
      <c r="AV64" s="622">
        <f t="shared" si="14"/>
        <v>13821</v>
      </c>
      <c r="AW64" s="312">
        <v>137</v>
      </c>
      <c r="AX64" s="312">
        <v>51</v>
      </c>
      <c r="AY64" s="622">
        <f t="shared" si="15"/>
        <v>188</v>
      </c>
      <c r="AZ64" s="312">
        <v>12</v>
      </c>
      <c r="BA64" s="312">
        <v>5</v>
      </c>
      <c r="BB64" s="622">
        <f t="shared" si="16"/>
        <v>17</v>
      </c>
      <c r="BC64" s="312">
        <v>55</v>
      </c>
      <c r="BD64" s="312">
        <v>41</v>
      </c>
      <c r="BE64" s="622">
        <f t="shared" si="17"/>
        <v>96</v>
      </c>
      <c r="BF64" s="312">
        <v>1130</v>
      </c>
      <c r="BG64" s="312">
        <v>34</v>
      </c>
      <c r="BH64" s="622">
        <f t="shared" si="18"/>
        <v>1164</v>
      </c>
      <c r="BI64" s="312">
        <v>126</v>
      </c>
      <c r="BJ64" s="312">
        <v>3</v>
      </c>
      <c r="BK64" s="622">
        <f t="shared" si="19"/>
        <v>129</v>
      </c>
      <c r="BL64" s="312">
        <v>3</v>
      </c>
      <c r="BM64" s="312">
        <v>0</v>
      </c>
      <c r="BN64" s="622">
        <f t="shared" si="20"/>
        <v>3</v>
      </c>
      <c r="BO64" s="312">
        <v>4</v>
      </c>
      <c r="BP64" s="312">
        <v>0</v>
      </c>
      <c r="BQ64" s="622">
        <f t="shared" si="21"/>
        <v>4</v>
      </c>
      <c r="BR64" s="312">
        <v>0</v>
      </c>
      <c r="BS64" s="312">
        <v>9</v>
      </c>
      <c r="BT64" s="622">
        <f t="shared" si="22"/>
        <v>9</v>
      </c>
      <c r="BU64" s="312">
        <v>0</v>
      </c>
      <c r="BV64" s="312">
        <v>0</v>
      </c>
      <c r="BW64" s="622">
        <f t="shared" si="23"/>
        <v>0</v>
      </c>
      <c r="BX64" s="312">
        <v>3</v>
      </c>
      <c r="BY64" s="312">
        <v>0</v>
      </c>
      <c r="BZ64" s="622">
        <f t="shared" si="24"/>
        <v>3</v>
      </c>
      <c r="CA64" s="312">
        <v>13</v>
      </c>
      <c r="CB64" s="312">
        <v>0</v>
      </c>
      <c r="CC64" s="622">
        <f t="shared" si="25"/>
        <v>13</v>
      </c>
      <c r="CD64" s="312">
        <v>15</v>
      </c>
      <c r="CE64" s="312">
        <v>0</v>
      </c>
      <c r="CF64" s="622">
        <f t="shared" si="26"/>
        <v>15</v>
      </c>
      <c r="CG64" s="312">
        <v>0</v>
      </c>
      <c r="CH64" s="312">
        <v>0</v>
      </c>
      <c r="CI64" s="622">
        <f t="shared" si="27"/>
        <v>0</v>
      </c>
      <c r="CJ64" s="312">
        <v>3</v>
      </c>
      <c r="CK64" s="312">
        <v>0</v>
      </c>
      <c r="CL64" s="622">
        <f t="shared" si="28"/>
        <v>3</v>
      </c>
      <c r="CM64" s="312">
        <v>3</v>
      </c>
      <c r="CN64" s="312">
        <v>3</v>
      </c>
      <c r="CO64" s="622">
        <f t="shared" si="29"/>
        <v>6</v>
      </c>
      <c r="CP64" s="312">
        <v>1</v>
      </c>
      <c r="CQ64" s="312">
        <v>0</v>
      </c>
      <c r="CR64" s="622">
        <f t="shared" si="30"/>
        <v>1</v>
      </c>
      <c r="CS64" s="312">
        <v>1</v>
      </c>
      <c r="CT64" s="312">
        <v>0</v>
      </c>
      <c r="CU64" s="622">
        <f t="shared" si="31"/>
        <v>1</v>
      </c>
      <c r="CV64" s="312">
        <v>0</v>
      </c>
      <c r="CW64" s="312">
        <v>0</v>
      </c>
      <c r="CX64" s="622">
        <f t="shared" si="32"/>
        <v>0</v>
      </c>
      <c r="CY64" s="312">
        <v>1</v>
      </c>
      <c r="CZ64" s="312">
        <v>1</v>
      </c>
      <c r="DA64" s="622">
        <f t="shared" si="33"/>
        <v>2</v>
      </c>
      <c r="DB64" s="312">
        <v>8</v>
      </c>
      <c r="DC64" s="312">
        <v>0</v>
      </c>
      <c r="DD64" s="622">
        <f t="shared" si="34"/>
        <v>8</v>
      </c>
      <c r="DE64" s="312">
        <v>9</v>
      </c>
      <c r="DF64" s="312">
        <v>1</v>
      </c>
      <c r="DG64" s="622">
        <f t="shared" si="35"/>
        <v>10</v>
      </c>
      <c r="DH64" s="312">
        <v>0</v>
      </c>
      <c r="DI64" s="312">
        <v>0</v>
      </c>
      <c r="DJ64" s="622">
        <f t="shared" si="36"/>
        <v>0</v>
      </c>
      <c r="DK64" s="312">
        <v>0</v>
      </c>
      <c r="DL64" s="312">
        <v>1</v>
      </c>
      <c r="DM64" s="622">
        <f t="shared" si="37"/>
        <v>1</v>
      </c>
      <c r="DN64" s="312">
        <v>0</v>
      </c>
      <c r="DO64" s="312">
        <v>0</v>
      </c>
      <c r="DP64" s="622">
        <f t="shared" si="38"/>
        <v>0</v>
      </c>
      <c r="DQ64" s="312">
        <v>0</v>
      </c>
      <c r="DR64" s="312">
        <v>0</v>
      </c>
      <c r="DS64" s="622">
        <f t="shared" si="39"/>
        <v>0</v>
      </c>
      <c r="DT64" s="312">
        <v>2</v>
      </c>
      <c r="DU64" s="312">
        <v>0</v>
      </c>
      <c r="DV64" s="622">
        <f t="shared" si="40"/>
        <v>2</v>
      </c>
      <c r="DW64" s="312">
        <v>11</v>
      </c>
      <c r="DX64" s="312">
        <v>2</v>
      </c>
      <c r="DY64" s="622">
        <f t="shared" si="41"/>
        <v>13</v>
      </c>
      <c r="DZ64" s="312">
        <v>0</v>
      </c>
      <c r="EA64" s="312">
        <v>0</v>
      </c>
      <c r="EB64" s="622">
        <f t="shared" si="42"/>
        <v>0</v>
      </c>
      <c r="EC64" s="312">
        <v>13</v>
      </c>
      <c r="ED64" s="312">
        <v>2</v>
      </c>
      <c r="EE64" s="622">
        <f t="shared" si="43"/>
        <v>15</v>
      </c>
      <c r="EF64" s="312">
        <v>8</v>
      </c>
      <c r="EG64" s="312">
        <v>0</v>
      </c>
      <c r="EH64" s="622">
        <f t="shared" si="44"/>
        <v>8</v>
      </c>
      <c r="EI64" s="312">
        <v>0</v>
      </c>
      <c r="EJ64" s="312">
        <v>1</v>
      </c>
      <c r="EK64" s="622">
        <f t="shared" si="45"/>
        <v>1</v>
      </c>
      <c r="EL64" s="312">
        <v>0</v>
      </c>
      <c r="EM64" s="312">
        <v>0</v>
      </c>
      <c r="EN64" s="622">
        <f t="shared" si="46"/>
        <v>0</v>
      </c>
      <c r="EO64" s="312">
        <v>0</v>
      </c>
      <c r="EP64" s="312">
        <v>0</v>
      </c>
      <c r="EQ64" s="622">
        <f t="shared" si="47"/>
        <v>0</v>
      </c>
      <c r="ER64" s="312">
        <v>0</v>
      </c>
      <c r="ES64" s="312">
        <v>0</v>
      </c>
      <c r="ET64" s="622">
        <f t="shared" si="48"/>
        <v>0</v>
      </c>
      <c r="EU64" s="312">
        <v>0</v>
      </c>
      <c r="EV64" s="312">
        <v>0</v>
      </c>
      <c r="EW64" s="622">
        <f t="shared" si="49"/>
        <v>0</v>
      </c>
      <c r="EX64" s="312">
        <v>0</v>
      </c>
      <c r="EY64" s="312">
        <v>0</v>
      </c>
      <c r="EZ64" s="622">
        <f t="shared" si="50"/>
        <v>0</v>
      </c>
      <c r="FA64" s="312">
        <v>0</v>
      </c>
      <c r="FB64" s="312">
        <v>0</v>
      </c>
      <c r="FC64" s="622">
        <f t="shared" si="51"/>
        <v>0</v>
      </c>
      <c r="FD64" s="312">
        <v>0</v>
      </c>
      <c r="FE64" s="312">
        <v>0</v>
      </c>
      <c r="FF64" s="622">
        <f t="shared" si="52"/>
        <v>0</v>
      </c>
      <c r="FG64" s="312">
        <v>0</v>
      </c>
      <c r="FH64" s="312">
        <v>0</v>
      </c>
      <c r="FI64" s="622">
        <f t="shared" si="53"/>
        <v>0</v>
      </c>
      <c r="FJ64" s="312">
        <v>0</v>
      </c>
      <c r="FK64" s="312">
        <v>0</v>
      </c>
      <c r="FL64" s="622">
        <f t="shared" si="54"/>
        <v>0</v>
      </c>
      <c r="FM64" s="312">
        <v>0</v>
      </c>
      <c r="FN64" s="312">
        <v>0</v>
      </c>
      <c r="FO64" s="622">
        <f t="shared" si="55"/>
        <v>0</v>
      </c>
      <c r="FP64" s="312">
        <v>0</v>
      </c>
      <c r="FQ64" s="312">
        <v>0</v>
      </c>
      <c r="FR64" s="622">
        <f t="shared" si="56"/>
        <v>0</v>
      </c>
      <c r="FS64" s="312">
        <v>0</v>
      </c>
      <c r="FT64" s="312">
        <v>0</v>
      </c>
      <c r="FU64" s="622">
        <f t="shared" si="57"/>
        <v>0</v>
      </c>
      <c r="FV64" s="312">
        <v>0</v>
      </c>
      <c r="FW64" s="312">
        <v>0</v>
      </c>
      <c r="FX64" s="622">
        <f t="shared" si="58"/>
        <v>0</v>
      </c>
      <c r="FY64" s="312">
        <v>0</v>
      </c>
      <c r="FZ64" s="312">
        <v>0</v>
      </c>
      <c r="GA64" s="622">
        <f t="shared" si="59"/>
        <v>0</v>
      </c>
      <c r="GB64" s="312">
        <v>0</v>
      </c>
      <c r="GC64" s="312">
        <v>0</v>
      </c>
      <c r="GD64" s="622">
        <f t="shared" si="60"/>
        <v>0</v>
      </c>
      <c r="GE64" s="312">
        <v>0</v>
      </c>
      <c r="GF64" s="312">
        <v>0</v>
      </c>
      <c r="GG64" s="622">
        <f t="shared" si="61"/>
        <v>0</v>
      </c>
      <c r="GH64" s="312">
        <v>0</v>
      </c>
      <c r="GI64" s="312">
        <v>0</v>
      </c>
      <c r="GJ64" s="622">
        <f t="shared" si="62"/>
        <v>0</v>
      </c>
      <c r="GK64" s="312">
        <v>13</v>
      </c>
      <c r="GL64" s="312">
        <v>16</v>
      </c>
      <c r="GM64" s="622">
        <f t="shared" si="63"/>
        <v>29</v>
      </c>
      <c r="GN64" s="312">
        <v>171</v>
      </c>
      <c r="GO64" s="312">
        <v>376</v>
      </c>
      <c r="GP64" s="622">
        <f t="shared" si="64"/>
        <v>547</v>
      </c>
      <c r="GQ64" s="312">
        <v>1</v>
      </c>
      <c r="GR64" s="312">
        <v>0</v>
      </c>
      <c r="GS64" s="622">
        <f t="shared" si="65"/>
        <v>1</v>
      </c>
      <c r="GT64" s="312">
        <v>7</v>
      </c>
      <c r="GU64" s="312">
        <v>2</v>
      </c>
      <c r="GV64" s="622">
        <f t="shared" si="66"/>
        <v>9</v>
      </c>
      <c r="GW64" s="312">
        <v>1</v>
      </c>
      <c r="GX64" s="312">
        <v>0</v>
      </c>
      <c r="GY64" s="622">
        <f t="shared" si="67"/>
        <v>1</v>
      </c>
      <c r="GZ64" s="312">
        <v>5</v>
      </c>
      <c r="HA64" s="312">
        <v>0</v>
      </c>
      <c r="HB64" s="622">
        <f t="shared" si="68"/>
        <v>5</v>
      </c>
      <c r="HC64" s="312">
        <v>0</v>
      </c>
      <c r="HD64" s="312">
        <v>0</v>
      </c>
      <c r="HE64" s="622">
        <f t="shared" si="69"/>
        <v>0</v>
      </c>
      <c r="HF64" s="312">
        <v>7</v>
      </c>
      <c r="HG64" s="312">
        <v>1</v>
      </c>
      <c r="HH64" s="622">
        <f t="shared" si="70"/>
        <v>8</v>
      </c>
      <c r="HI64" s="312">
        <v>18</v>
      </c>
      <c r="HJ64" s="312">
        <v>44</v>
      </c>
      <c r="HK64" s="622">
        <f t="shared" si="71"/>
        <v>62</v>
      </c>
      <c r="HL64" s="312">
        <v>0</v>
      </c>
      <c r="HM64" s="312">
        <v>44</v>
      </c>
      <c r="HN64" s="622">
        <f t="shared" si="72"/>
        <v>44</v>
      </c>
      <c r="HO64" s="312">
        <v>14</v>
      </c>
      <c r="HP64" s="312">
        <v>59</v>
      </c>
      <c r="HQ64" s="622">
        <f t="shared" si="73"/>
        <v>73</v>
      </c>
      <c r="HR64" s="312">
        <v>0</v>
      </c>
      <c r="HS64" s="312">
        <v>8</v>
      </c>
      <c r="HT64" s="622">
        <f t="shared" si="74"/>
        <v>8</v>
      </c>
      <c r="HU64" s="312">
        <v>1</v>
      </c>
      <c r="HV64" s="312">
        <v>1</v>
      </c>
      <c r="HW64" s="622">
        <f t="shared" si="75"/>
        <v>2</v>
      </c>
      <c r="HX64" s="312">
        <v>0</v>
      </c>
      <c r="HY64" s="312">
        <v>0</v>
      </c>
      <c r="HZ64" s="622">
        <f t="shared" si="76"/>
        <v>0</v>
      </c>
      <c r="IA64" s="312">
        <v>0</v>
      </c>
      <c r="IB64" s="312">
        <v>0</v>
      </c>
      <c r="IC64" s="622">
        <f t="shared" si="77"/>
        <v>0</v>
      </c>
      <c r="ID64" s="312">
        <v>18</v>
      </c>
      <c r="IE64" s="312">
        <v>0</v>
      </c>
      <c r="IF64" s="622">
        <f t="shared" si="78"/>
        <v>18</v>
      </c>
      <c r="IG64" s="312">
        <v>3</v>
      </c>
      <c r="IH64" s="312">
        <v>0</v>
      </c>
      <c r="II64" s="622">
        <f t="shared" si="79"/>
        <v>3</v>
      </c>
      <c r="IJ64" s="312">
        <v>91</v>
      </c>
      <c r="IK64" s="312">
        <v>0</v>
      </c>
      <c r="IL64" s="622">
        <f t="shared" si="80"/>
        <v>91</v>
      </c>
      <c r="IM64" s="312">
        <v>0</v>
      </c>
      <c r="IN64" s="312">
        <v>0</v>
      </c>
      <c r="IO64" s="622">
        <f t="shared" si="81"/>
        <v>0</v>
      </c>
      <c r="IP64" s="312">
        <v>2</v>
      </c>
      <c r="IQ64" s="312">
        <v>0</v>
      </c>
      <c r="IR64" s="622">
        <f t="shared" si="82"/>
        <v>2</v>
      </c>
      <c r="IS64" s="312">
        <v>215</v>
      </c>
      <c r="IT64" s="312">
        <v>45</v>
      </c>
      <c r="IU64" s="622">
        <f t="shared" si="83"/>
        <v>260</v>
      </c>
      <c r="IV64" s="312">
        <v>3</v>
      </c>
      <c r="IW64" s="312">
        <v>0</v>
      </c>
      <c r="IX64" s="622">
        <f t="shared" si="84"/>
        <v>3</v>
      </c>
      <c r="IY64" s="312">
        <v>0</v>
      </c>
      <c r="IZ64" s="312">
        <v>0</v>
      </c>
      <c r="JA64" s="622">
        <f t="shared" si="85"/>
        <v>0</v>
      </c>
      <c r="JB64" s="312">
        <v>0</v>
      </c>
      <c r="JC64" s="312">
        <v>0</v>
      </c>
      <c r="JD64" s="622">
        <f t="shared" si="86"/>
        <v>0</v>
      </c>
      <c r="JE64" s="312">
        <v>2920</v>
      </c>
      <c r="JF64" s="312">
        <v>661</v>
      </c>
      <c r="JG64" s="622">
        <f t="shared" si="87"/>
        <v>3581</v>
      </c>
      <c r="JH64" s="312">
        <v>2</v>
      </c>
      <c r="JI64" s="312">
        <v>1</v>
      </c>
      <c r="JJ64" s="622">
        <f t="shared" si="88"/>
        <v>3</v>
      </c>
      <c r="JK64" s="312">
        <v>0</v>
      </c>
      <c r="JL64" s="312">
        <v>0</v>
      </c>
      <c r="JM64" s="622">
        <f t="shared" si="89"/>
        <v>0</v>
      </c>
      <c r="JN64" s="312">
        <v>0</v>
      </c>
      <c r="JO64" s="312">
        <v>0</v>
      </c>
      <c r="JP64" s="622">
        <f t="shared" si="90"/>
        <v>0</v>
      </c>
      <c r="JQ64" s="312">
        <v>0</v>
      </c>
      <c r="JR64" s="312">
        <v>0</v>
      </c>
      <c r="JS64" s="622">
        <f t="shared" si="91"/>
        <v>0</v>
      </c>
      <c r="JT64" s="312">
        <v>0</v>
      </c>
      <c r="JU64" s="312">
        <v>0</v>
      </c>
      <c r="JV64" s="622">
        <f t="shared" si="92"/>
        <v>0</v>
      </c>
      <c r="JW64" s="312">
        <v>0</v>
      </c>
      <c r="JX64" s="312">
        <v>0</v>
      </c>
      <c r="JY64" s="622">
        <f t="shared" si="93"/>
        <v>0</v>
      </c>
      <c r="JZ64" s="312">
        <v>0</v>
      </c>
      <c r="KA64" s="312">
        <v>0</v>
      </c>
      <c r="KB64" s="622">
        <f t="shared" si="94"/>
        <v>0</v>
      </c>
      <c r="KC64" s="312">
        <v>0</v>
      </c>
      <c r="KD64" s="312">
        <v>0</v>
      </c>
      <c r="KE64" s="622">
        <f t="shared" si="95"/>
        <v>0</v>
      </c>
      <c r="KF64" s="312">
        <v>0</v>
      </c>
      <c r="KG64" s="312">
        <v>0</v>
      </c>
      <c r="KH64" s="622">
        <f t="shared" si="96"/>
        <v>0</v>
      </c>
      <c r="KI64" s="312">
        <v>0</v>
      </c>
      <c r="KJ64" s="312">
        <v>0</v>
      </c>
      <c r="KK64" s="622">
        <f t="shared" si="97"/>
        <v>0</v>
      </c>
      <c r="KL64" s="622">
        <v>0</v>
      </c>
      <c r="KM64" s="622">
        <v>0</v>
      </c>
      <c r="KN64" s="622">
        <f t="shared" si="98"/>
        <v>0</v>
      </c>
      <c r="KO64" s="622">
        <v>0</v>
      </c>
      <c r="KP64" s="622">
        <v>0</v>
      </c>
      <c r="KQ64" s="622">
        <f t="shared" si="99"/>
        <v>0</v>
      </c>
      <c r="KR64" s="622">
        <v>0</v>
      </c>
      <c r="KS64" s="622">
        <v>0</v>
      </c>
      <c r="KT64" s="622">
        <f t="shared" si="100"/>
        <v>0</v>
      </c>
      <c r="KU64" s="622">
        <v>0</v>
      </c>
      <c r="KV64" s="622">
        <v>0</v>
      </c>
      <c r="KW64" s="622">
        <f t="shared" si="101"/>
        <v>0</v>
      </c>
      <c r="KX64" s="622">
        <v>0</v>
      </c>
      <c r="KY64" s="622">
        <v>0</v>
      </c>
      <c r="KZ64" s="622">
        <f t="shared" si="102"/>
        <v>0</v>
      </c>
      <c r="LA64" s="622">
        <v>0</v>
      </c>
      <c r="LB64" s="622">
        <v>0</v>
      </c>
      <c r="LC64" s="622">
        <f t="shared" si="103"/>
        <v>0</v>
      </c>
      <c r="LD64" s="622">
        <v>0</v>
      </c>
      <c r="LE64" s="622">
        <v>0</v>
      </c>
      <c r="LF64" s="622">
        <f t="shared" si="104"/>
        <v>0</v>
      </c>
      <c r="LG64" s="622">
        <v>0</v>
      </c>
      <c r="LH64" s="622">
        <v>0</v>
      </c>
      <c r="LI64" s="622">
        <f t="shared" si="105"/>
        <v>0</v>
      </c>
      <c r="LJ64" s="312">
        <v>0</v>
      </c>
      <c r="LK64" s="312">
        <v>0</v>
      </c>
      <c r="LL64" s="689">
        <f t="shared" si="106"/>
        <v>0</v>
      </c>
    </row>
    <row r="65" spans="1:324" x14ac:dyDescent="0.35">
      <c r="A65" s="688">
        <v>4</v>
      </c>
      <c r="B65" s="375" t="s">
        <v>313</v>
      </c>
      <c r="C65" s="431" t="s">
        <v>136</v>
      </c>
      <c r="D65" s="312">
        <v>5274</v>
      </c>
      <c r="E65" s="312">
        <v>5045</v>
      </c>
      <c r="F65" s="622">
        <f t="shared" si="0"/>
        <v>10319</v>
      </c>
      <c r="G65" s="312">
        <v>6</v>
      </c>
      <c r="H65" s="312">
        <v>8544</v>
      </c>
      <c r="I65" s="622">
        <f t="shared" si="1"/>
        <v>8550</v>
      </c>
      <c r="J65" s="312">
        <v>6170</v>
      </c>
      <c r="K65" s="312">
        <v>5525</v>
      </c>
      <c r="L65" s="622">
        <f t="shared" si="2"/>
        <v>11695</v>
      </c>
      <c r="M65" s="312">
        <v>102</v>
      </c>
      <c r="N65" s="312">
        <v>34</v>
      </c>
      <c r="O65" s="622">
        <f t="shared" si="3"/>
        <v>136</v>
      </c>
      <c r="P65" s="312">
        <v>307</v>
      </c>
      <c r="Q65" s="312">
        <v>252</v>
      </c>
      <c r="R65" s="622">
        <f t="shared" si="4"/>
        <v>559</v>
      </c>
      <c r="S65" s="312">
        <v>70</v>
      </c>
      <c r="T65" s="312">
        <v>2</v>
      </c>
      <c r="U65" s="622">
        <f t="shared" si="5"/>
        <v>72</v>
      </c>
      <c r="V65" s="312">
        <v>75</v>
      </c>
      <c r="W65" s="312">
        <v>3</v>
      </c>
      <c r="X65" s="622">
        <f t="shared" si="6"/>
        <v>78</v>
      </c>
      <c r="Y65" s="312">
        <v>205</v>
      </c>
      <c r="Z65" s="312">
        <v>44</v>
      </c>
      <c r="AA65" s="622">
        <f t="shared" si="7"/>
        <v>249</v>
      </c>
      <c r="AB65" s="312">
        <v>117</v>
      </c>
      <c r="AC65" s="312">
        <v>14</v>
      </c>
      <c r="AD65" s="622">
        <f t="shared" si="8"/>
        <v>131</v>
      </c>
      <c r="AE65" s="312">
        <v>5</v>
      </c>
      <c r="AF65" s="312">
        <v>0</v>
      </c>
      <c r="AG65" s="622">
        <f t="shared" si="9"/>
        <v>5</v>
      </c>
      <c r="AH65" s="312">
        <v>1</v>
      </c>
      <c r="AI65" s="312">
        <v>0</v>
      </c>
      <c r="AJ65" s="622">
        <f t="shared" si="10"/>
        <v>1</v>
      </c>
      <c r="AK65" s="312">
        <v>164</v>
      </c>
      <c r="AL65" s="312">
        <v>26</v>
      </c>
      <c r="AM65" s="622">
        <f t="shared" si="11"/>
        <v>190</v>
      </c>
      <c r="AN65" s="312">
        <v>7</v>
      </c>
      <c r="AO65" s="312">
        <v>1</v>
      </c>
      <c r="AP65" s="622">
        <f t="shared" si="12"/>
        <v>8</v>
      </c>
      <c r="AQ65" s="312">
        <v>14</v>
      </c>
      <c r="AR65" s="312">
        <v>0</v>
      </c>
      <c r="AS65" s="622">
        <f t="shared" si="13"/>
        <v>14</v>
      </c>
      <c r="AT65" s="312">
        <v>7514</v>
      </c>
      <c r="AU65" s="312">
        <v>3233</v>
      </c>
      <c r="AV65" s="622">
        <f t="shared" si="14"/>
        <v>10747</v>
      </c>
      <c r="AW65" s="312">
        <v>120</v>
      </c>
      <c r="AX65" s="312">
        <v>45</v>
      </c>
      <c r="AY65" s="622">
        <f t="shared" si="15"/>
        <v>165</v>
      </c>
      <c r="AZ65" s="312">
        <v>14</v>
      </c>
      <c r="BA65" s="312">
        <v>5</v>
      </c>
      <c r="BB65" s="622">
        <f t="shared" si="16"/>
        <v>19</v>
      </c>
      <c r="BC65" s="312">
        <v>28</v>
      </c>
      <c r="BD65" s="312">
        <v>23</v>
      </c>
      <c r="BE65" s="622">
        <f t="shared" si="17"/>
        <v>51</v>
      </c>
      <c r="BF65" s="312">
        <v>660</v>
      </c>
      <c r="BG65" s="312">
        <v>36</v>
      </c>
      <c r="BH65" s="622">
        <f t="shared" si="18"/>
        <v>696</v>
      </c>
      <c r="BI65" s="312">
        <v>52</v>
      </c>
      <c r="BJ65" s="312">
        <v>4</v>
      </c>
      <c r="BK65" s="622">
        <f t="shared" si="19"/>
        <v>56</v>
      </c>
      <c r="BL65" s="312">
        <v>0</v>
      </c>
      <c r="BM65" s="312">
        <v>0</v>
      </c>
      <c r="BN65" s="622">
        <f t="shared" si="20"/>
        <v>0</v>
      </c>
      <c r="BO65" s="312">
        <v>2</v>
      </c>
      <c r="BP65" s="312">
        <v>0</v>
      </c>
      <c r="BQ65" s="622">
        <f t="shared" si="21"/>
        <v>2</v>
      </c>
      <c r="BR65" s="312">
        <v>0</v>
      </c>
      <c r="BS65" s="312">
        <v>5</v>
      </c>
      <c r="BT65" s="622">
        <f t="shared" si="22"/>
        <v>5</v>
      </c>
      <c r="BU65" s="312">
        <v>0</v>
      </c>
      <c r="BV65" s="312">
        <v>0</v>
      </c>
      <c r="BW65" s="622">
        <f t="shared" si="23"/>
        <v>0</v>
      </c>
      <c r="BX65" s="312">
        <v>0</v>
      </c>
      <c r="BY65" s="312">
        <v>0</v>
      </c>
      <c r="BZ65" s="622">
        <f t="shared" si="24"/>
        <v>0</v>
      </c>
      <c r="CA65" s="312">
        <v>2</v>
      </c>
      <c r="CB65" s="312">
        <v>0</v>
      </c>
      <c r="CC65" s="622">
        <f t="shared" si="25"/>
        <v>2</v>
      </c>
      <c r="CD65" s="312">
        <v>0</v>
      </c>
      <c r="CE65" s="312">
        <v>0</v>
      </c>
      <c r="CF65" s="622">
        <f t="shared" si="26"/>
        <v>0</v>
      </c>
      <c r="CG65" s="312">
        <v>0</v>
      </c>
      <c r="CH65" s="312">
        <v>0</v>
      </c>
      <c r="CI65" s="622">
        <f t="shared" si="27"/>
        <v>0</v>
      </c>
      <c r="CJ65" s="312">
        <v>0</v>
      </c>
      <c r="CK65" s="312">
        <v>0</v>
      </c>
      <c r="CL65" s="622">
        <f t="shared" si="28"/>
        <v>0</v>
      </c>
      <c r="CM65" s="312">
        <v>0</v>
      </c>
      <c r="CN65" s="312">
        <v>2</v>
      </c>
      <c r="CO65" s="622">
        <f t="shared" si="29"/>
        <v>2</v>
      </c>
      <c r="CP65" s="312">
        <v>0</v>
      </c>
      <c r="CQ65" s="312">
        <v>0</v>
      </c>
      <c r="CR65" s="622">
        <f t="shared" si="30"/>
        <v>0</v>
      </c>
      <c r="CS65" s="312">
        <v>0</v>
      </c>
      <c r="CT65" s="312">
        <v>0</v>
      </c>
      <c r="CU65" s="622">
        <f t="shared" si="31"/>
        <v>0</v>
      </c>
      <c r="CV65" s="312">
        <v>0</v>
      </c>
      <c r="CW65" s="312">
        <v>0</v>
      </c>
      <c r="CX65" s="622">
        <f t="shared" si="32"/>
        <v>0</v>
      </c>
      <c r="CY65" s="312">
        <v>0</v>
      </c>
      <c r="CZ65" s="312">
        <v>1</v>
      </c>
      <c r="DA65" s="622">
        <f t="shared" si="33"/>
        <v>1</v>
      </c>
      <c r="DB65" s="312">
        <v>5</v>
      </c>
      <c r="DC65" s="312">
        <v>0</v>
      </c>
      <c r="DD65" s="622">
        <f t="shared" si="34"/>
        <v>5</v>
      </c>
      <c r="DE65" s="312">
        <v>7</v>
      </c>
      <c r="DF65" s="312">
        <v>0</v>
      </c>
      <c r="DG65" s="622">
        <f t="shared" si="35"/>
        <v>7</v>
      </c>
      <c r="DH65" s="312">
        <v>0</v>
      </c>
      <c r="DI65" s="312">
        <v>0</v>
      </c>
      <c r="DJ65" s="622">
        <f t="shared" si="36"/>
        <v>0</v>
      </c>
      <c r="DK65" s="312">
        <v>0</v>
      </c>
      <c r="DL65" s="312">
        <v>0</v>
      </c>
      <c r="DM65" s="622">
        <f t="shared" si="37"/>
        <v>0</v>
      </c>
      <c r="DN65" s="312">
        <v>0</v>
      </c>
      <c r="DO65" s="312">
        <v>0</v>
      </c>
      <c r="DP65" s="622">
        <f t="shared" si="38"/>
        <v>0</v>
      </c>
      <c r="DQ65" s="312">
        <v>0</v>
      </c>
      <c r="DR65" s="312">
        <v>0</v>
      </c>
      <c r="DS65" s="622">
        <f t="shared" si="39"/>
        <v>0</v>
      </c>
      <c r="DT65" s="312">
        <v>0</v>
      </c>
      <c r="DU65" s="312">
        <v>0</v>
      </c>
      <c r="DV65" s="622">
        <f t="shared" si="40"/>
        <v>0</v>
      </c>
      <c r="DW65" s="312">
        <v>12</v>
      </c>
      <c r="DX65" s="312">
        <v>2</v>
      </c>
      <c r="DY65" s="622">
        <f t="shared" si="41"/>
        <v>14</v>
      </c>
      <c r="DZ65" s="312">
        <v>0</v>
      </c>
      <c r="EA65" s="312">
        <v>0</v>
      </c>
      <c r="EB65" s="622">
        <f t="shared" si="42"/>
        <v>0</v>
      </c>
      <c r="EC65" s="312">
        <v>10</v>
      </c>
      <c r="ED65" s="312">
        <v>3</v>
      </c>
      <c r="EE65" s="622">
        <f t="shared" si="43"/>
        <v>13</v>
      </c>
      <c r="EF65" s="312">
        <v>4</v>
      </c>
      <c r="EG65" s="312">
        <v>1</v>
      </c>
      <c r="EH65" s="622">
        <f t="shared" si="44"/>
        <v>5</v>
      </c>
      <c r="EI65" s="312">
        <v>1</v>
      </c>
      <c r="EJ65" s="312">
        <v>0</v>
      </c>
      <c r="EK65" s="622">
        <f t="shared" si="45"/>
        <v>1</v>
      </c>
      <c r="EL65" s="312">
        <v>0</v>
      </c>
      <c r="EM65" s="312">
        <v>0</v>
      </c>
      <c r="EN65" s="622">
        <f t="shared" si="46"/>
        <v>0</v>
      </c>
      <c r="EO65" s="312">
        <v>0</v>
      </c>
      <c r="EP65" s="312">
        <v>0</v>
      </c>
      <c r="EQ65" s="622">
        <f t="shared" si="47"/>
        <v>0</v>
      </c>
      <c r="ER65" s="312">
        <v>0</v>
      </c>
      <c r="ES65" s="312">
        <v>0</v>
      </c>
      <c r="ET65" s="622">
        <f t="shared" si="48"/>
        <v>0</v>
      </c>
      <c r="EU65" s="312">
        <v>0</v>
      </c>
      <c r="EV65" s="312">
        <v>0</v>
      </c>
      <c r="EW65" s="622">
        <f t="shared" si="49"/>
        <v>0</v>
      </c>
      <c r="EX65" s="312">
        <v>0</v>
      </c>
      <c r="EY65" s="312">
        <v>0</v>
      </c>
      <c r="EZ65" s="622">
        <f t="shared" si="50"/>
        <v>0</v>
      </c>
      <c r="FA65" s="312">
        <v>0</v>
      </c>
      <c r="FB65" s="312">
        <v>0</v>
      </c>
      <c r="FC65" s="622">
        <f t="shared" si="51"/>
        <v>0</v>
      </c>
      <c r="FD65" s="312">
        <v>0</v>
      </c>
      <c r="FE65" s="312">
        <v>0</v>
      </c>
      <c r="FF65" s="622">
        <f t="shared" si="52"/>
        <v>0</v>
      </c>
      <c r="FG65" s="312">
        <v>0</v>
      </c>
      <c r="FH65" s="312">
        <v>0</v>
      </c>
      <c r="FI65" s="622">
        <f t="shared" si="53"/>
        <v>0</v>
      </c>
      <c r="FJ65" s="312">
        <v>0</v>
      </c>
      <c r="FK65" s="312">
        <v>0</v>
      </c>
      <c r="FL65" s="622">
        <f t="shared" si="54"/>
        <v>0</v>
      </c>
      <c r="FM65" s="312">
        <v>0</v>
      </c>
      <c r="FN65" s="312">
        <v>0</v>
      </c>
      <c r="FO65" s="622">
        <f t="shared" si="55"/>
        <v>0</v>
      </c>
      <c r="FP65" s="312">
        <v>0</v>
      </c>
      <c r="FQ65" s="312">
        <v>0</v>
      </c>
      <c r="FR65" s="622">
        <f t="shared" si="56"/>
        <v>0</v>
      </c>
      <c r="FS65" s="312">
        <v>0</v>
      </c>
      <c r="FT65" s="312">
        <v>0</v>
      </c>
      <c r="FU65" s="622">
        <f t="shared" si="57"/>
        <v>0</v>
      </c>
      <c r="FV65" s="312">
        <v>0</v>
      </c>
      <c r="FW65" s="312">
        <v>0</v>
      </c>
      <c r="FX65" s="622">
        <f t="shared" si="58"/>
        <v>0</v>
      </c>
      <c r="FY65" s="312">
        <v>0</v>
      </c>
      <c r="FZ65" s="312">
        <v>0</v>
      </c>
      <c r="GA65" s="622">
        <f t="shared" si="59"/>
        <v>0</v>
      </c>
      <c r="GB65" s="312">
        <v>0</v>
      </c>
      <c r="GC65" s="312">
        <v>0</v>
      </c>
      <c r="GD65" s="622">
        <f t="shared" si="60"/>
        <v>0</v>
      </c>
      <c r="GE65" s="312">
        <v>0</v>
      </c>
      <c r="GF65" s="312">
        <v>0</v>
      </c>
      <c r="GG65" s="622">
        <f t="shared" si="61"/>
        <v>0</v>
      </c>
      <c r="GH65" s="312">
        <v>0</v>
      </c>
      <c r="GI65" s="312">
        <v>0</v>
      </c>
      <c r="GJ65" s="622">
        <f t="shared" si="62"/>
        <v>0</v>
      </c>
      <c r="GK65" s="312">
        <v>17</v>
      </c>
      <c r="GL65" s="312">
        <v>19</v>
      </c>
      <c r="GM65" s="622">
        <f t="shared" si="63"/>
        <v>36</v>
      </c>
      <c r="GN65" s="312">
        <v>140</v>
      </c>
      <c r="GO65" s="312">
        <v>328</v>
      </c>
      <c r="GP65" s="622">
        <f t="shared" si="64"/>
        <v>468</v>
      </c>
      <c r="GQ65" s="312">
        <v>1</v>
      </c>
      <c r="GR65" s="312">
        <v>0</v>
      </c>
      <c r="GS65" s="622">
        <f t="shared" si="65"/>
        <v>1</v>
      </c>
      <c r="GT65" s="312">
        <v>4</v>
      </c>
      <c r="GU65" s="312">
        <v>0</v>
      </c>
      <c r="GV65" s="622">
        <f t="shared" si="66"/>
        <v>4</v>
      </c>
      <c r="GW65" s="312">
        <v>1</v>
      </c>
      <c r="GX65" s="312">
        <v>0</v>
      </c>
      <c r="GY65" s="622">
        <f t="shared" si="67"/>
        <v>1</v>
      </c>
      <c r="GZ65" s="312">
        <v>2</v>
      </c>
      <c r="HA65" s="312">
        <v>1</v>
      </c>
      <c r="HB65" s="622">
        <f t="shared" si="68"/>
        <v>3</v>
      </c>
      <c r="HC65" s="312">
        <v>0</v>
      </c>
      <c r="HD65" s="312">
        <v>0</v>
      </c>
      <c r="HE65" s="622">
        <f t="shared" si="69"/>
        <v>0</v>
      </c>
      <c r="HF65" s="312">
        <v>3</v>
      </c>
      <c r="HG65" s="312">
        <v>1</v>
      </c>
      <c r="HH65" s="622">
        <f t="shared" si="70"/>
        <v>4</v>
      </c>
      <c r="HI65" s="312">
        <v>10</v>
      </c>
      <c r="HJ65" s="312">
        <v>28</v>
      </c>
      <c r="HK65" s="622">
        <f t="shared" si="71"/>
        <v>38</v>
      </c>
      <c r="HL65" s="312">
        <v>0</v>
      </c>
      <c r="HM65" s="312">
        <v>48</v>
      </c>
      <c r="HN65" s="622">
        <f t="shared" si="72"/>
        <v>48</v>
      </c>
      <c r="HO65" s="312">
        <v>5</v>
      </c>
      <c r="HP65" s="312">
        <v>42</v>
      </c>
      <c r="HQ65" s="622">
        <f t="shared" si="73"/>
        <v>47</v>
      </c>
      <c r="HR65" s="312">
        <v>0</v>
      </c>
      <c r="HS65" s="312">
        <v>2</v>
      </c>
      <c r="HT65" s="622">
        <f t="shared" si="74"/>
        <v>2</v>
      </c>
      <c r="HU65" s="312">
        <v>0</v>
      </c>
      <c r="HV65" s="312">
        <v>0</v>
      </c>
      <c r="HW65" s="622">
        <f t="shared" si="75"/>
        <v>0</v>
      </c>
      <c r="HX65" s="312">
        <v>0</v>
      </c>
      <c r="HY65" s="312">
        <v>0</v>
      </c>
      <c r="HZ65" s="622">
        <f t="shared" si="76"/>
        <v>0</v>
      </c>
      <c r="IA65" s="312">
        <v>0</v>
      </c>
      <c r="IB65" s="312">
        <v>0</v>
      </c>
      <c r="IC65" s="622">
        <f t="shared" si="77"/>
        <v>0</v>
      </c>
      <c r="ID65" s="312">
        <v>20</v>
      </c>
      <c r="IE65" s="312">
        <v>0</v>
      </c>
      <c r="IF65" s="622">
        <f t="shared" si="78"/>
        <v>20</v>
      </c>
      <c r="IG65" s="312">
        <v>1</v>
      </c>
      <c r="IH65" s="312">
        <v>0</v>
      </c>
      <c r="II65" s="622">
        <f t="shared" si="79"/>
        <v>1</v>
      </c>
      <c r="IJ65" s="312">
        <v>41</v>
      </c>
      <c r="IK65" s="312">
        <v>0</v>
      </c>
      <c r="IL65" s="622">
        <f t="shared" si="80"/>
        <v>41</v>
      </c>
      <c r="IM65" s="312">
        <v>1</v>
      </c>
      <c r="IN65" s="312">
        <v>1</v>
      </c>
      <c r="IO65" s="622">
        <f t="shared" si="81"/>
        <v>2</v>
      </c>
      <c r="IP65" s="312">
        <v>0</v>
      </c>
      <c r="IQ65" s="312">
        <v>0</v>
      </c>
      <c r="IR65" s="622">
        <f t="shared" si="82"/>
        <v>0</v>
      </c>
      <c r="IS65" s="312">
        <v>90</v>
      </c>
      <c r="IT65" s="312">
        <v>24</v>
      </c>
      <c r="IU65" s="622">
        <f t="shared" si="83"/>
        <v>114</v>
      </c>
      <c r="IV65" s="312">
        <v>0</v>
      </c>
      <c r="IW65" s="312">
        <v>0</v>
      </c>
      <c r="IX65" s="622">
        <f t="shared" si="84"/>
        <v>0</v>
      </c>
      <c r="IY65" s="312">
        <v>0</v>
      </c>
      <c r="IZ65" s="312">
        <v>0</v>
      </c>
      <c r="JA65" s="622">
        <f t="shared" si="85"/>
        <v>0</v>
      </c>
      <c r="JB65" s="312">
        <v>0</v>
      </c>
      <c r="JC65" s="312">
        <v>0</v>
      </c>
      <c r="JD65" s="622">
        <f t="shared" si="86"/>
        <v>0</v>
      </c>
      <c r="JE65" s="312">
        <v>2366</v>
      </c>
      <c r="JF65" s="312">
        <v>519</v>
      </c>
      <c r="JG65" s="622">
        <f t="shared" si="87"/>
        <v>2885</v>
      </c>
      <c r="JH65" s="312">
        <v>2</v>
      </c>
      <c r="JI65" s="312">
        <v>0</v>
      </c>
      <c r="JJ65" s="622">
        <f t="shared" si="88"/>
        <v>2</v>
      </c>
      <c r="JK65" s="312">
        <v>0</v>
      </c>
      <c r="JL65" s="312">
        <v>0</v>
      </c>
      <c r="JM65" s="622">
        <f t="shared" si="89"/>
        <v>0</v>
      </c>
      <c r="JN65" s="312">
        <v>0</v>
      </c>
      <c r="JO65" s="312">
        <v>0</v>
      </c>
      <c r="JP65" s="622">
        <f t="shared" si="90"/>
        <v>0</v>
      </c>
      <c r="JQ65" s="312">
        <v>0</v>
      </c>
      <c r="JR65" s="312">
        <v>0</v>
      </c>
      <c r="JS65" s="622">
        <f t="shared" si="91"/>
        <v>0</v>
      </c>
      <c r="JT65" s="312">
        <v>0</v>
      </c>
      <c r="JU65" s="312">
        <v>0</v>
      </c>
      <c r="JV65" s="622">
        <f t="shared" si="92"/>
        <v>0</v>
      </c>
      <c r="JW65" s="312">
        <v>0</v>
      </c>
      <c r="JX65" s="312">
        <v>0</v>
      </c>
      <c r="JY65" s="622">
        <f t="shared" si="93"/>
        <v>0</v>
      </c>
      <c r="JZ65" s="312">
        <v>0</v>
      </c>
      <c r="KA65" s="312">
        <v>0</v>
      </c>
      <c r="KB65" s="622">
        <f t="shared" si="94"/>
        <v>0</v>
      </c>
      <c r="KC65" s="312">
        <v>0</v>
      </c>
      <c r="KD65" s="312">
        <v>0</v>
      </c>
      <c r="KE65" s="622">
        <f t="shared" si="95"/>
        <v>0</v>
      </c>
      <c r="KF65" s="312">
        <v>0</v>
      </c>
      <c r="KG65" s="312">
        <v>0</v>
      </c>
      <c r="KH65" s="622">
        <f t="shared" si="96"/>
        <v>0</v>
      </c>
      <c r="KI65" s="312">
        <v>0</v>
      </c>
      <c r="KJ65" s="312">
        <v>0</v>
      </c>
      <c r="KK65" s="622">
        <f t="shared" si="97"/>
        <v>0</v>
      </c>
      <c r="KL65" s="622">
        <v>0</v>
      </c>
      <c r="KM65" s="622">
        <v>0</v>
      </c>
      <c r="KN65" s="622">
        <f t="shared" si="98"/>
        <v>0</v>
      </c>
      <c r="KO65" s="622">
        <v>0</v>
      </c>
      <c r="KP65" s="622">
        <v>0</v>
      </c>
      <c r="KQ65" s="622">
        <f t="shared" si="99"/>
        <v>0</v>
      </c>
      <c r="KR65" s="622">
        <v>0</v>
      </c>
      <c r="KS65" s="622">
        <v>0</v>
      </c>
      <c r="KT65" s="622">
        <f t="shared" si="100"/>
        <v>0</v>
      </c>
      <c r="KU65" s="622">
        <v>0</v>
      </c>
      <c r="KV65" s="622">
        <v>0</v>
      </c>
      <c r="KW65" s="622">
        <f t="shared" si="101"/>
        <v>0</v>
      </c>
      <c r="KX65" s="622">
        <v>0</v>
      </c>
      <c r="KY65" s="622">
        <v>0</v>
      </c>
      <c r="KZ65" s="622">
        <f t="shared" si="102"/>
        <v>0</v>
      </c>
      <c r="LA65" s="622">
        <v>0</v>
      </c>
      <c r="LB65" s="622">
        <v>0</v>
      </c>
      <c r="LC65" s="622">
        <f t="shared" si="103"/>
        <v>0</v>
      </c>
      <c r="LD65" s="622">
        <v>0</v>
      </c>
      <c r="LE65" s="622">
        <v>0</v>
      </c>
      <c r="LF65" s="622">
        <f t="shared" si="104"/>
        <v>0</v>
      </c>
      <c r="LG65" s="622">
        <v>0</v>
      </c>
      <c r="LH65" s="622">
        <v>0</v>
      </c>
      <c r="LI65" s="622">
        <f t="shared" si="105"/>
        <v>0</v>
      </c>
      <c r="LJ65" s="312">
        <v>0</v>
      </c>
      <c r="LK65" s="312">
        <v>0</v>
      </c>
      <c r="LL65" s="689">
        <f t="shared" si="106"/>
        <v>0</v>
      </c>
    </row>
    <row r="66" spans="1:324" x14ac:dyDescent="0.35">
      <c r="A66" s="688">
        <v>4</v>
      </c>
      <c r="B66" s="375" t="s">
        <v>314</v>
      </c>
      <c r="C66" s="431" t="s">
        <v>138</v>
      </c>
      <c r="D66" s="312">
        <v>9236</v>
      </c>
      <c r="E66" s="312">
        <v>8368</v>
      </c>
      <c r="F66" s="622">
        <f t="shared" si="0"/>
        <v>17604</v>
      </c>
      <c r="G66" s="312">
        <v>4</v>
      </c>
      <c r="H66" s="312">
        <v>13998</v>
      </c>
      <c r="I66" s="622">
        <f t="shared" si="1"/>
        <v>14002</v>
      </c>
      <c r="J66" s="312">
        <v>10670</v>
      </c>
      <c r="K66" s="312">
        <v>9494</v>
      </c>
      <c r="L66" s="622">
        <f t="shared" si="2"/>
        <v>20164</v>
      </c>
      <c r="M66" s="312">
        <v>289</v>
      </c>
      <c r="N66" s="312">
        <v>91</v>
      </c>
      <c r="O66" s="622">
        <f t="shared" si="3"/>
        <v>380</v>
      </c>
      <c r="P66" s="312">
        <v>834</v>
      </c>
      <c r="Q66" s="312">
        <v>633</v>
      </c>
      <c r="R66" s="622">
        <f t="shared" si="4"/>
        <v>1467</v>
      </c>
      <c r="S66" s="312">
        <v>133</v>
      </c>
      <c r="T66" s="312">
        <v>6</v>
      </c>
      <c r="U66" s="622">
        <f t="shared" si="5"/>
        <v>139</v>
      </c>
      <c r="V66" s="312">
        <v>229</v>
      </c>
      <c r="W66" s="312">
        <v>19</v>
      </c>
      <c r="X66" s="622">
        <f t="shared" si="6"/>
        <v>248</v>
      </c>
      <c r="Y66" s="312">
        <v>398</v>
      </c>
      <c r="Z66" s="312">
        <v>91</v>
      </c>
      <c r="AA66" s="622">
        <f t="shared" si="7"/>
        <v>489</v>
      </c>
      <c r="AB66" s="312">
        <v>168</v>
      </c>
      <c r="AC66" s="312">
        <v>36</v>
      </c>
      <c r="AD66" s="622">
        <f t="shared" si="8"/>
        <v>204</v>
      </c>
      <c r="AE66" s="312">
        <v>2</v>
      </c>
      <c r="AF66" s="312">
        <v>1</v>
      </c>
      <c r="AG66" s="622">
        <f t="shared" si="9"/>
        <v>3</v>
      </c>
      <c r="AH66" s="312">
        <v>2</v>
      </c>
      <c r="AI66" s="312">
        <v>0</v>
      </c>
      <c r="AJ66" s="622">
        <f t="shared" si="10"/>
        <v>2</v>
      </c>
      <c r="AK66" s="312">
        <v>119</v>
      </c>
      <c r="AL66" s="312">
        <v>27</v>
      </c>
      <c r="AM66" s="622">
        <f t="shared" si="11"/>
        <v>146</v>
      </c>
      <c r="AN66" s="312">
        <v>44</v>
      </c>
      <c r="AO66" s="312">
        <v>3</v>
      </c>
      <c r="AP66" s="622">
        <f t="shared" si="12"/>
        <v>47</v>
      </c>
      <c r="AQ66" s="312">
        <v>83</v>
      </c>
      <c r="AR66" s="312">
        <v>2</v>
      </c>
      <c r="AS66" s="622">
        <f t="shared" si="13"/>
        <v>85</v>
      </c>
      <c r="AT66" s="312">
        <v>12396</v>
      </c>
      <c r="AU66" s="312">
        <v>6190</v>
      </c>
      <c r="AV66" s="622">
        <f t="shared" si="14"/>
        <v>18586</v>
      </c>
      <c r="AW66" s="312">
        <v>263</v>
      </c>
      <c r="AX66" s="312">
        <v>108</v>
      </c>
      <c r="AY66" s="622">
        <f t="shared" si="15"/>
        <v>371</v>
      </c>
      <c r="AZ66" s="312">
        <v>26</v>
      </c>
      <c r="BA66" s="312">
        <v>11</v>
      </c>
      <c r="BB66" s="622">
        <f t="shared" si="16"/>
        <v>37</v>
      </c>
      <c r="BC66" s="312">
        <v>66</v>
      </c>
      <c r="BD66" s="312">
        <v>59</v>
      </c>
      <c r="BE66" s="622">
        <f t="shared" si="17"/>
        <v>125</v>
      </c>
      <c r="BF66" s="312">
        <v>1068</v>
      </c>
      <c r="BG66" s="312">
        <v>44</v>
      </c>
      <c r="BH66" s="622">
        <f t="shared" si="18"/>
        <v>1112</v>
      </c>
      <c r="BI66" s="312">
        <v>36</v>
      </c>
      <c r="BJ66" s="312">
        <v>3</v>
      </c>
      <c r="BK66" s="622">
        <f t="shared" si="19"/>
        <v>39</v>
      </c>
      <c r="BL66" s="312">
        <v>0</v>
      </c>
      <c r="BM66" s="312">
        <v>0</v>
      </c>
      <c r="BN66" s="622">
        <f t="shared" si="20"/>
        <v>0</v>
      </c>
      <c r="BO66" s="312">
        <v>0</v>
      </c>
      <c r="BP66" s="312">
        <v>0</v>
      </c>
      <c r="BQ66" s="622">
        <f t="shared" si="21"/>
        <v>0</v>
      </c>
      <c r="BR66" s="312">
        <v>0</v>
      </c>
      <c r="BS66" s="312">
        <v>6</v>
      </c>
      <c r="BT66" s="622">
        <f t="shared" si="22"/>
        <v>6</v>
      </c>
      <c r="BU66" s="312">
        <v>0</v>
      </c>
      <c r="BV66" s="312">
        <v>0</v>
      </c>
      <c r="BW66" s="622">
        <f t="shared" si="23"/>
        <v>0</v>
      </c>
      <c r="BX66" s="312">
        <v>0</v>
      </c>
      <c r="BY66" s="312">
        <v>0</v>
      </c>
      <c r="BZ66" s="622">
        <f t="shared" si="24"/>
        <v>0</v>
      </c>
      <c r="CA66" s="312">
        <v>7</v>
      </c>
      <c r="CB66" s="312">
        <v>0</v>
      </c>
      <c r="CC66" s="622">
        <f t="shared" si="25"/>
        <v>7</v>
      </c>
      <c r="CD66" s="312">
        <v>3</v>
      </c>
      <c r="CE66" s="312">
        <v>0</v>
      </c>
      <c r="CF66" s="622">
        <f t="shared" si="26"/>
        <v>3</v>
      </c>
      <c r="CG66" s="312">
        <v>0</v>
      </c>
      <c r="CH66" s="312">
        <v>0</v>
      </c>
      <c r="CI66" s="622">
        <f t="shared" si="27"/>
        <v>0</v>
      </c>
      <c r="CJ66" s="312">
        <v>0</v>
      </c>
      <c r="CK66" s="312">
        <v>0</v>
      </c>
      <c r="CL66" s="622">
        <f t="shared" si="28"/>
        <v>0</v>
      </c>
      <c r="CM66" s="312">
        <v>5</v>
      </c>
      <c r="CN66" s="312">
        <v>1</v>
      </c>
      <c r="CO66" s="622">
        <f t="shared" si="29"/>
        <v>6</v>
      </c>
      <c r="CP66" s="312">
        <v>0</v>
      </c>
      <c r="CQ66" s="312">
        <v>0</v>
      </c>
      <c r="CR66" s="622">
        <f t="shared" si="30"/>
        <v>0</v>
      </c>
      <c r="CS66" s="312">
        <v>0</v>
      </c>
      <c r="CT66" s="312">
        <v>2</v>
      </c>
      <c r="CU66" s="622">
        <f t="shared" si="31"/>
        <v>2</v>
      </c>
      <c r="CV66" s="312">
        <v>0</v>
      </c>
      <c r="CW66" s="312">
        <v>0</v>
      </c>
      <c r="CX66" s="622">
        <f t="shared" si="32"/>
        <v>0</v>
      </c>
      <c r="CY66" s="312">
        <v>0</v>
      </c>
      <c r="CZ66" s="312">
        <v>5</v>
      </c>
      <c r="DA66" s="622">
        <f t="shared" si="33"/>
        <v>5</v>
      </c>
      <c r="DB66" s="312">
        <v>13</v>
      </c>
      <c r="DC66" s="312">
        <v>0</v>
      </c>
      <c r="DD66" s="622">
        <f t="shared" si="34"/>
        <v>13</v>
      </c>
      <c r="DE66" s="312">
        <v>7</v>
      </c>
      <c r="DF66" s="312">
        <v>0</v>
      </c>
      <c r="DG66" s="622">
        <f t="shared" si="35"/>
        <v>7</v>
      </c>
      <c r="DH66" s="312">
        <v>0</v>
      </c>
      <c r="DI66" s="312">
        <v>0</v>
      </c>
      <c r="DJ66" s="622">
        <f t="shared" si="36"/>
        <v>0</v>
      </c>
      <c r="DK66" s="312">
        <v>0</v>
      </c>
      <c r="DL66" s="312">
        <v>2</v>
      </c>
      <c r="DM66" s="622">
        <f t="shared" si="37"/>
        <v>2</v>
      </c>
      <c r="DN66" s="312">
        <v>0</v>
      </c>
      <c r="DO66" s="312">
        <v>0</v>
      </c>
      <c r="DP66" s="622">
        <f t="shared" si="38"/>
        <v>0</v>
      </c>
      <c r="DQ66" s="312">
        <v>0</v>
      </c>
      <c r="DR66" s="312">
        <v>0</v>
      </c>
      <c r="DS66" s="622">
        <f t="shared" si="39"/>
        <v>0</v>
      </c>
      <c r="DT66" s="312">
        <v>1</v>
      </c>
      <c r="DU66" s="312">
        <v>0</v>
      </c>
      <c r="DV66" s="622">
        <f t="shared" si="40"/>
        <v>1</v>
      </c>
      <c r="DW66" s="312">
        <v>10</v>
      </c>
      <c r="DX66" s="312">
        <v>6</v>
      </c>
      <c r="DY66" s="622">
        <f t="shared" si="41"/>
        <v>16</v>
      </c>
      <c r="DZ66" s="312">
        <v>0</v>
      </c>
      <c r="EA66" s="312">
        <v>0</v>
      </c>
      <c r="EB66" s="622">
        <f t="shared" si="42"/>
        <v>0</v>
      </c>
      <c r="EC66" s="312">
        <v>27</v>
      </c>
      <c r="ED66" s="312">
        <v>2</v>
      </c>
      <c r="EE66" s="622">
        <f t="shared" si="43"/>
        <v>29</v>
      </c>
      <c r="EF66" s="312">
        <v>3</v>
      </c>
      <c r="EG66" s="312">
        <v>0</v>
      </c>
      <c r="EH66" s="622">
        <f t="shared" si="44"/>
        <v>3</v>
      </c>
      <c r="EI66" s="312">
        <v>0</v>
      </c>
      <c r="EJ66" s="312">
        <v>0</v>
      </c>
      <c r="EK66" s="622">
        <f t="shared" si="45"/>
        <v>0</v>
      </c>
      <c r="EL66" s="312">
        <v>0</v>
      </c>
      <c r="EM66" s="312">
        <v>0</v>
      </c>
      <c r="EN66" s="622">
        <f t="shared" si="46"/>
        <v>0</v>
      </c>
      <c r="EO66" s="312">
        <v>0</v>
      </c>
      <c r="EP66" s="312">
        <v>0</v>
      </c>
      <c r="EQ66" s="622">
        <f t="shared" si="47"/>
        <v>0</v>
      </c>
      <c r="ER66" s="312">
        <v>0</v>
      </c>
      <c r="ES66" s="312">
        <v>0</v>
      </c>
      <c r="ET66" s="622">
        <f t="shared" si="48"/>
        <v>0</v>
      </c>
      <c r="EU66" s="312">
        <v>0</v>
      </c>
      <c r="EV66" s="312">
        <v>0</v>
      </c>
      <c r="EW66" s="622">
        <f t="shared" si="49"/>
        <v>0</v>
      </c>
      <c r="EX66" s="312">
        <v>0</v>
      </c>
      <c r="EY66" s="312">
        <v>0</v>
      </c>
      <c r="EZ66" s="622">
        <f t="shared" si="50"/>
        <v>0</v>
      </c>
      <c r="FA66" s="312">
        <v>0</v>
      </c>
      <c r="FB66" s="312">
        <v>0</v>
      </c>
      <c r="FC66" s="622">
        <f t="shared" si="51"/>
        <v>0</v>
      </c>
      <c r="FD66" s="312">
        <v>0</v>
      </c>
      <c r="FE66" s="312">
        <v>0</v>
      </c>
      <c r="FF66" s="622">
        <f t="shared" si="52"/>
        <v>0</v>
      </c>
      <c r="FG66" s="312">
        <v>0</v>
      </c>
      <c r="FH66" s="312">
        <v>0</v>
      </c>
      <c r="FI66" s="622">
        <f t="shared" si="53"/>
        <v>0</v>
      </c>
      <c r="FJ66" s="312">
        <v>0</v>
      </c>
      <c r="FK66" s="312">
        <v>0</v>
      </c>
      <c r="FL66" s="622">
        <f t="shared" si="54"/>
        <v>0</v>
      </c>
      <c r="FM66" s="312">
        <v>0</v>
      </c>
      <c r="FN66" s="312">
        <v>0</v>
      </c>
      <c r="FO66" s="622">
        <f t="shared" si="55"/>
        <v>0</v>
      </c>
      <c r="FP66" s="312">
        <v>0</v>
      </c>
      <c r="FQ66" s="312">
        <v>0</v>
      </c>
      <c r="FR66" s="622">
        <f t="shared" si="56"/>
        <v>0</v>
      </c>
      <c r="FS66" s="312">
        <v>0</v>
      </c>
      <c r="FT66" s="312">
        <v>0</v>
      </c>
      <c r="FU66" s="622">
        <f t="shared" si="57"/>
        <v>0</v>
      </c>
      <c r="FV66" s="312">
        <v>0</v>
      </c>
      <c r="FW66" s="312">
        <v>0</v>
      </c>
      <c r="FX66" s="622">
        <f t="shared" si="58"/>
        <v>0</v>
      </c>
      <c r="FY66" s="312">
        <v>0</v>
      </c>
      <c r="FZ66" s="312">
        <v>0</v>
      </c>
      <c r="GA66" s="622">
        <f t="shared" si="59"/>
        <v>0</v>
      </c>
      <c r="GB66" s="312">
        <v>0</v>
      </c>
      <c r="GC66" s="312">
        <v>0</v>
      </c>
      <c r="GD66" s="622">
        <f t="shared" si="60"/>
        <v>0</v>
      </c>
      <c r="GE66" s="312">
        <v>0</v>
      </c>
      <c r="GF66" s="312">
        <v>0</v>
      </c>
      <c r="GG66" s="622">
        <f t="shared" si="61"/>
        <v>0</v>
      </c>
      <c r="GH66" s="312">
        <v>2</v>
      </c>
      <c r="GI66" s="312">
        <v>0</v>
      </c>
      <c r="GJ66" s="622">
        <f t="shared" si="62"/>
        <v>2</v>
      </c>
      <c r="GK66" s="312">
        <v>32</v>
      </c>
      <c r="GL66" s="312">
        <v>31</v>
      </c>
      <c r="GM66" s="622">
        <f t="shared" si="63"/>
        <v>63</v>
      </c>
      <c r="GN66" s="312">
        <v>275</v>
      </c>
      <c r="GO66" s="312">
        <v>624</v>
      </c>
      <c r="GP66" s="622">
        <f t="shared" si="64"/>
        <v>899</v>
      </c>
      <c r="GQ66" s="312">
        <v>2</v>
      </c>
      <c r="GR66" s="312">
        <v>0</v>
      </c>
      <c r="GS66" s="622">
        <f t="shared" si="65"/>
        <v>2</v>
      </c>
      <c r="GT66" s="312">
        <v>17</v>
      </c>
      <c r="GU66" s="312">
        <v>1</v>
      </c>
      <c r="GV66" s="622">
        <f t="shared" si="66"/>
        <v>18</v>
      </c>
      <c r="GW66" s="312">
        <v>2</v>
      </c>
      <c r="GX66" s="312">
        <v>1</v>
      </c>
      <c r="GY66" s="622">
        <f t="shared" si="67"/>
        <v>3</v>
      </c>
      <c r="GZ66" s="312">
        <v>1</v>
      </c>
      <c r="HA66" s="312">
        <v>2</v>
      </c>
      <c r="HB66" s="622">
        <f t="shared" si="68"/>
        <v>3</v>
      </c>
      <c r="HC66" s="312">
        <v>0</v>
      </c>
      <c r="HD66" s="312">
        <v>0</v>
      </c>
      <c r="HE66" s="622">
        <f t="shared" si="69"/>
        <v>0</v>
      </c>
      <c r="HF66" s="312">
        <v>7</v>
      </c>
      <c r="HG66" s="312">
        <v>3</v>
      </c>
      <c r="HH66" s="622">
        <f t="shared" si="70"/>
        <v>10</v>
      </c>
      <c r="HI66" s="312">
        <v>37</v>
      </c>
      <c r="HJ66" s="312">
        <v>62</v>
      </c>
      <c r="HK66" s="622">
        <f t="shared" si="71"/>
        <v>99</v>
      </c>
      <c r="HL66" s="312">
        <v>0</v>
      </c>
      <c r="HM66" s="312">
        <v>71</v>
      </c>
      <c r="HN66" s="622">
        <f t="shared" si="72"/>
        <v>71</v>
      </c>
      <c r="HO66" s="312">
        <v>17</v>
      </c>
      <c r="HP66" s="312">
        <v>129</v>
      </c>
      <c r="HQ66" s="622">
        <f t="shared" si="73"/>
        <v>146</v>
      </c>
      <c r="HR66" s="312">
        <v>2</v>
      </c>
      <c r="HS66" s="312">
        <v>3</v>
      </c>
      <c r="HT66" s="622">
        <f t="shared" si="74"/>
        <v>5</v>
      </c>
      <c r="HU66" s="312">
        <v>0</v>
      </c>
      <c r="HV66" s="312">
        <v>1</v>
      </c>
      <c r="HW66" s="622">
        <f t="shared" si="75"/>
        <v>1</v>
      </c>
      <c r="HX66" s="312">
        <v>0</v>
      </c>
      <c r="HY66" s="312">
        <v>0</v>
      </c>
      <c r="HZ66" s="622">
        <f t="shared" si="76"/>
        <v>0</v>
      </c>
      <c r="IA66" s="312">
        <v>0</v>
      </c>
      <c r="IB66" s="312">
        <v>0</v>
      </c>
      <c r="IC66" s="622">
        <f t="shared" si="77"/>
        <v>0</v>
      </c>
      <c r="ID66" s="312">
        <v>31</v>
      </c>
      <c r="IE66" s="312">
        <v>0</v>
      </c>
      <c r="IF66" s="622">
        <f t="shared" si="78"/>
        <v>31</v>
      </c>
      <c r="IG66" s="312">
        <v>0</v>
      </c>
      <c r="IH66" s="312">
        <v>0</v>
      </c>
      <c r="II66" s="622">
        <f t="shared" si="79"/>
        <v>0</v>
      </c>
      <c r="IJ66" s="312">
        <v>71</v>
      </c>
      <c r="IK66" s="312">
        <v>1</v>
      </c>
      <c r="IL66" s="622">
        <f t="shared" si="80"/>
        <v>72</v>
      </c>
      <c r="IM66" s="312">
        <v>0</v>
      </c>
      <c r="IN66" s="312">
        <v>0</v>
      </c>
      <c r="IO66" s="622">
        <f t="shared" si="81"/>
        <v>0</v>
      </c>
      <c r="IP66" s="312">
        <v>0</v>
      </c>
      <c r="IQ66" s="312">
        <v>0</v>
      </c>
      <c r="IR66" s="622">
        <f t="shared" si="82"/>
        <v>0</v>
      </c>
      <c r="IS66" s="312">
        <v>210</v>
      </c>
      <c r="IT66" s="312">
        <v>60</v>
      </c>
      <c r="IU66" s="622">
        <f t="shared" si="83"/>
        <v>270</v>
      </c>
      <c r="IV66" s="312">
        <v>2</v>
      </c>
      <c r="IW66" s="312">
        <v>0</v>
      </c>
      <c r="IX66" s="622">
        <f t="shared" si="84"/>
        <v>2</v>
      </c>
      <c r="IY66" s="312">
        <v>0</v>
      </c>
      <c r="IZ66" s="312">
        <v>0</v>
      </c>
      <c r="JA66" s="622">
        <f t="shared" si="85"/>
        <v>0</v>
      </c>
      <c r="JB66" s="312">
        <v>0</v>
      </c>
      <c r="JC66" s="312">
        <v>0</v>
      </c>
      <c r="JD66" s="622">
        <f t="shared" si="86"/>
        <v>0</v>
      </c>
      <c r="JE66" s="312">
        <v>3992</v>
      </c>
      <c r="JF66" s="312">
        <v>932</v>
      </c>
      <c r="JG66" s="622">
        <f t="shared" si="87"/>
        <v>4924</v>
      </c>
      <c r="JH66" s="312">
        <v>0</v>
      </c>
      <c r="JI66" s="312">
        <v>2</v>
      </c>
      <c r="JJ66" s="622">
        <f t="shared" si="88"/>
        <v>2</v>
      </c>
      <c r="JK66" s="312">
        <v>0</v>
      </c>
      <c r="JL66" s="312">
        <v>0</v>
      </c>
      <c r="JM66" s="622">
        <f t="shared" si="89"/>
        <v>0</v>
      </c>
      <c r="JN66" s="312">
        <v>0</v>
      </c>
      <c r="JO66" s="312">
        <v>0</v>
      </c>
      <c r="JP66" s="622">
        <f t="shared" si="90"/>
        <v>0</v>
      </c>
      <c r="JQ66" s="312">
        <v>0</v>
      </c>
      <c r="JR66" s="312">
        <v>0</v>
      </c>
      <c r="JS66" s="622">
        <f t="shared" si="91"/>
        <v>0</v>
      </c>
      <c r="JT66" s="312">
        <v>0</v>
      </c>
      <c r="JU66" s="312">
        <v>0</v>
      </c>
      <c r="JV66" s="622">
        <f t="shared" si="92"/>
        <v>0</v>
      </c>
      <c r="JW66" s="312">
        <v>0</v>
      </c>
      <c r="JX66" s="312">
        <v>0</v>
      </c>
      <c r="JY66" s="622">
        <f t="shared" si="93"/>
        <v>0</v>
      </c>
      <c r="JZ66" s="312">
        <v>0</v>
      </c>
      <c r="KA66" s="312">
        <v>0</v>
      </c>
      <c r="KB66" s="622">
        <f t="shared" si="94"/>
        <v>0</v>
      </c>
      <c r="KC66" s="312">
        <v>0</v>
      </c>
      <c r="KD66" s="312">
        <v>0</v>
      </c>
      <c r="KE66" s="622">
        <f t="shared" si="95"/>
        <v>0</v>
      </c>
      <c r="KF66" s="312">
        <v>0</v>
      </c>
      <c r="KG66" s="312">
        <v>0</v>
      </c>
      <c r="KH66" s="622">
        <f t="shared" si="96"/>
        <v>0</v>
      </c>
      <c r="KI66" s="312">
        <v>0</v>
      </c>
      <c r="KJ66" s="312">
        <v>0</v>
      </c>
      <c r="KK66" s="622">
        <f t="shared" si="97"/>
        <v>0</v>
      </c>
      <c r="KL66" s="622">
        <v>0</v>
      </c>
      <c r="KM66" s="622">
        <v>0</v>
      </c>
      <c r="KN66" s="622">
        <f t="shared" si="98"/>
        <v>0</v>
      </c>
      <c r="KO66" s="622">
        <v>0</v>
      </c>
      <c r="KP66" s="622">
        <v>0</v>
      </c>
      <c r="KQ66" s="622">
        <f t="shared" si="99"/>
        <v>0</v>
      </c>
      <c r="KR66" s="622">
        <v>0</v>
      </c>
      <c r="KS66" s="622">
        <v>0</v>
      </c>
      <c r="KT66" s="622">
        <f t="shared" si="100"/>
        <v>0</v>
      </c>
      <c r="KU66" s="622">
        <v>0</v>
      </c>
      <c r="KV66" s="622">
        <v>0</v>
      </c>
      <c r="KW66" s="622">
        <f t="shared" si="101"/>
        <v>0</v>
      </c>
      <c r="KX66" s="622">
        <v>0</v>
      </c>
      <c r="KY66" s="622">
        <v>0</v>
      </c>
      <c r="KZ66" s="622">
        <f t="shared" si="102"/>
        <v>0</v>
      </c>
      <c r="LA66" s="622">
        <v>0</v>
      </c>
      <c r="LB66" s="622">
        <v>0</v>
      </c>
      <c r="LC66" s="622">
        <f t="shared" si="103"/>
        <v>0</v>
      </c>
      <c r="LD66" s="622">
        <v>0</v>
      </c>
      <c r="LE66" s="622">
        <v>0</v>
      </c>
      <c r="LF66" s="622">
        <f t="shared" si="104"/>
        <v>0</v>
      </c>
      <c r="LG66" s="622">
        <v>0</v>
      </c>
      <c r="LH66" s="622">
        <v>0</v>
      </c>
      <c r="LI66" s="622">
        <f t="shared" si="105"/>
        <v>0</v>
      </c>
      <c r="LJ66" s="312">
        <v>1</v>
      </c>
      <c r="LK66" s="312">
        <v>0</v>
      </c>
      <c r="LL66" s="689">
        <f t="shared" si="106"/>
        <v>1</v>
      </c>
    </row>
    <row r="67" spans="1:324" ht="15" thickBot="1" x14ac:dyDescent="0.4">
      <c r="A67" s="690">
        <v>4</v>
      </c>
      <c r="B67" s="379" t="s">
        <v>315</v>
      </c>
      <c r="C67" s="434" t="s">
        <v>140</v>
      </c>
      <c r="D67" s="318">
        <v>4451</v>
      </c>
      <c r="E67" s="318">
        <v>4029</v>
      </c>
      <c r="F67" s="691">
        <f t="shared" si="0"/>
        <v>8480</v>
      </c>
      <c r="G67" s="318">
        <v>3</v>
      </c>
      <c r="H67" s="318">
        <v>7284</v>
      </c>
      <c r="I67" s="691">
        <f t="shared" si="1"/>
        <v>7287</v>
      </c>
      <c r="J67" s="318">
        <v>5369</v>
      </c>
      <c r="K67" s="318">
        <v>4585</v>
      </c>
      <c r="L67" s="691">
        <f t="shared" si="2"/>
        <v>9954</v>
      </c>
      <c r="M67" s="318">
        <v>166</v>
      </c>
      <c r="N67" s="318">
        <v>36</v>
      </c>
      <c r="O67" s="691">
        <f t="shared" si="3"/>
        <v>202</v>
      </c>
      <c r="P67" s="318">
        <v>369</v>
      </c>
      <c r="Q67" s="318">
        <v>308</v>
      </c>
      <c r="R67" s="691">
        <f t="shared" si="4"/>
        <v>677</v>
      </c>
      <c r="S67" s="318">
        <v>237</v>
      </c>
      <c r="T67" s="318">
        <v>12</v>
      </c>
      <c r="U67" s="691">
        <f t="shared" si="5"/>
        <v>249</v>
      </c>
      <c r="V67" s="318">
        <v>146</v>
      </c>
      <c r="W67" s="318">
        <v>11</v>
      </c>
      <c r="X67" s="691">
        <f t="shared" si="6"/>
        <v>157</v>
      </c>
      <c r="Y67" s="318">
        <v>219</v>
      </c>
      <c r="Z67" s="318">
        <v>34</v>
      </c>
      <c r="AA67" s="691">
        <f t="shared" si="7"/>
        <v>253</v>
      </c>
      <c r="AB67" s="318">
        <v>132</v>
      </c>
      <c r="AC67" s="318">
        <v>7</v>
      </c>
      <c r="AD67" s="691">
        <f t="shared" si="8"/>
        <v>139</v>
      </c>
      <c r="AE67" s="318">
        <v>2</v>
      </c>
      <c r="AF67" s="318">
        <v>0</v>
      </c>
      <c r="AG67" s="691">
        <f t="shared" si="9"/>
        <v>2</v>
      </c>
      <c r="AH67" s="318">
        <v>2</v>
      </c>
      <c r="AI67" s="318">
        <v>0</v>
      </c>
      <c r="AJ67" s="691">
        <f t="shared" si="10"/>
        <v>2</v>
      </c>
      <c r="AK67" s="318">
        <v>120</v>
      </c>
      <c r="AL67" s="318">
        <v>26</v>
      </c>
      <c r="AM67" s="691">
        <f t="shared" si="11"/>
        <v>146</v>
      </c>
      <c r="AN67" s="318">
        <v>9</v>
      </c>
      <c r="AO67" s="318">
        <v>0</v>
      </c>
      <c r="AP67" s="691">
        <f t="shared" si="12"/>
        <v>9</v>
      </c>
      <c r="AQ67" s="318">
        <v>41</v>
      </c>
      <c r="AR67" s="318">
        <v>0</v>
      </c>
      <c r="AS67" s="691">
        <f t="shared" si="13"/>
        <v>41</v>
      </c>
      <c r="AT67" s="318">
        <v>6095</v>
      </c>
      <c r="AU67" s="318">
        <v>3089</v>
      </c>
      <c r="AV67" s="691">
        <f t="shared" si="14"/>
        <v>9184</v>
      </c>
      <c r="AW67" s="318">
        <v>128</v>
      </c>
      <c r="AX67" s="318">
        <v>44</v>
      </c>
      <c r="AY67" s="691">
        <f t="shared" si="15"/>
        <v>172</v>
      </c>
      <c r="AZ67" s="318">
        <v>10</v>
      </c>
      <c r="BA67" s="318">
        <v>5</v>
      </c>
      <c r="BB67" s="691">
        <f t="shared" si="16"/>
        <v>15</v>
      </c>
      <c r="BC67" s="318">
        <v>42</v>
      </c>
      <c r="BD67" s="318">
        <v>29</v>
      </c>
      <c r="BE67" s="691">
        <f t="shared" si="17"/>
        <v>71</v>
      </c>
      <c r="BF67" s="318">
        <v>698</v>
      </c>
      <c r="BG67" s="318">
        <v>27</v>
      </c>
      <c r="BH67" s="691">
        <f t="shared" si="18"/>
        <v>725</v>
      </c>
      <c r="BI67" s="318">
        <v>33</v>
      </c>
      <c r="BJ67" s="318">
        <v>6</v>
      </c>
      <c r="BK67" s="691">
        <f t="shared" si="19"/>
        <v>39</v>
      </c>
      <c r="BL67" s="318">
        <v>0</v>
      </c>
      <c r="BM67" s="318">
        <v>0</v>
      </c>
      <c r="BN67" s="691">
        <f t="shared" si="20"/>
        <v>0</v>
      </c>
      <c r="BO67" s="318">
        <v>0</v>
      </c>
      <c r="BP67" s="318">
        <v>0</v>
      </c>
      <c r="BQ67" s="691">
        <f t="shared" si="21"/>
        <v>0</v>
      </c>
      <c r="BR67" s="318">
        <v>0</v>
      </c>
      <c r="BS67" s="318">
        <v>2</v>
      </c>
      <c r="BT67" s="691">
        <f t="shared" si="22"/>
        <v>2</v>
      </c>
      <c r="BU67" s="318">
        <v>0</v>
      </c>
      <c r="BV67" s="318">
        <v>0</v>
      </c>
      <c r="BW67" s="691">
        <f t="shared" si="23"/>
        <v>0</v>
      </c>
      <c r="BX67" s="318">
        <v>1</v>
      </c>
      <c r="BY67" s="318">
        <v>0</v>
      </c>
      <c r="BZ67" s="691">
        <f t="shared" si="24"/>
        <v>1</v>
      </c>
      <c r="CA67" s="318">
        <v>1</v>
      </c>
      <c r="CB67" s="318">
        <v>0</v>
      </c>
      <c r="CC67" s="691">
        <f t="shared" si="25"/>
        <v>1</v>
      </c>
      <c r="CD67" s="318">
        <v>1</v>
      </c>
      <c r="CE67" s="318">
        <v>0</v>
      </c>
      <c r="CF67" s="691">
        <f t="shared" si="26"/>
        <v>1</v>
      </c>
      <c r="CG67" s="318">
        <v>0</v>
      </c>
      <c r="CH67" s="318">
        <v>0</v>
      </c>
      <c r="CI67" s="691">
        <f t="shared" si="27"/>
        <v>0</v>
      </c>
      <c r="CJ67" s="318">
        <v>1</v>
      </c>
      <c r="CK67" s="318">
        <v>0</v>
      </c>
      <c r="CL67" s="691">
        <f t="shared" si="28"/>
        <v>1</v>
      </c>
      <c r="CM67" s="318">
        <v>1</v>
      </c>
      <c r="CN67" s="318">
        <v>0</v>
      </c>
      <c r="CO67" s="691">
        <f t="shared" si="29"/>
        <v>1</v>
      </c>
      <c r="CP67" s="318">
        <v>0</v>
      </c>
      <c r="CQ67" s="318">
        <v>0</v>
      </c>
      <c r="CR67" s="691">
        <f t="shared" si="30"/>
        <v>0</v>
      </c>
      <c r="CS67" s="318">
        <v>0</v>
      </c>
      <c r="CT67" s="318">
        <v>0</v>
      </c>
      <c r="CU67" s="691">
        <f t="shared" si="31"/>
        <v>0</v>
      </c>
      <c r="CV67" s="318">
        <v>0</v>
      </c>
      <c r="CW67" s="318">
        <v>0</v>
      </c>
      <c r="CX67" s="691">
        <f t="shared" si="32"/>
        <v>0</v>
      </c>
      <c r="CY67" s="318">
        <v>0</v>
      </c>
      <c r="CZ67" s="318">
        <v>0</v>
      </c>
      <c r="DA67" s="691">
        <f t="shared" si="33"/>
        <v>0</v>
      </c>
      <c r="DB67" s="318">
        <v>7</v>
      </c>
      <c r="DC67" s="318">
        <v>0</v>
      </c>
      <c r="DD67" s="691">
        <f t="shared" si="34"/>
        <v>7</v>
      </c>
      <c r="DE67" s="318">
        <v>4</v>
      </c>
      <c r="DF67" s="318">
        <v>0</v>
      </c>
      <c r="DG67" s="691">
        <f t="shared" si="35"/>
        <v>4</v>
      </c>
      <c r="DH67" s="318">
        <v>0</v>
      </c>
      <c r="DI67" s="318">
        <v>0</v>
      </c>
      <c r="DJ67" s="691">
        <f t="shared" si="36"/>
        <v>0</v>
      </c>
      <c r="DK67" s="318">
        <v>0</v>
      </c>
      <c r="DL67" s="318">
        <v>0</v>
      </c>
      <c r="DM67" s="691">
        <f t="shared" si="37"/>
        <v>0</v>
      </c>
      <c r="DN67" s="318">
        <v>0</v>
      </c>
      <c r="DO67" s="318">
        <v>0</v>
      </c>
      <c r="DP67" s="691">
        <f t="shared" si="38"/>
        <v>0</v>
      </c>
      <c r="DQ67" s="318">
        <v>0</v>
      </c>
      <c r="DR67" s="318">
        <v>0</v>
      </c>
      <c r="DS67" s="691">
        <f t="shared" si="39"/>
        <v>0</v>
      </c>
      <c r="DT67" s="318">
        <v>0</v>
      </c>
      <c r="DU67" s="318">
        <v>0</v>
      </c>
      <c r="DV67" s="691">
        <f t="shared" si="40"/>
        <v>0</v>
      </c>
      <c r="DW67" s="318">
        <v>2</v>
      </c>
      <c r="DX67" s="318">
        <v>1</v>
      </c>
      <c r="DY67" s="691">
        <f t="shared" si="41"/>
        <v>3</v>
      </c>
      <c r="DZ67" s="318">
        <v>0</v>
      </c>
      <c r="EA67" s="318">
        <v>0</v>
      </c>
      <c r="EB67" s="691">
        <f t="shared" si="42"/>
        <v>0</v>
      </c>
      <c r="EC67" s="318">
        <v>6</v>
      </c>
      <c r="ED67" s="318">
        <v>2</v>
      </c>
      <c r="EE67" s="691">
        <f t="shared" si="43"/>
        <v>8</v>
      </c>
      <c r="EF67" s="318">
        <v>3</v>
      </c>
      <c r="EG67" s="318">
        <v>0</v>
      </c>
      <c r="EH67" s="691">
        <f t="shared" si="44"/>
        <v>3</v>
      </c>
      <c r="EI67" s="318">
        <v>0</v>
      </c>
      <c r="EJ67" s="318">
        <v>0</v>
      </c>
      <c r="EK67" s="691">
        <f t="shared" si="45"/>
        <v>0</v>
      </c>
      <c r="EL67" s="318">
        <v>0</v>
      </c>
      <c r="EM67" s="318">
        <v>0</v>
      </c>
      <c r="EN67" s="691">
        <f t="shared" si="46"/>
        <v>0</v>
      </c>
      <c r="EO67" s="318">
        <v>0</v>
      </c>
      <c r="EP67" s="318">
        <v>0</v>
      </c>
      <c r="EQ67" s="691">
        <f t="shared" si="47"/>
        <v>0</v>
      </c>
      <c r="ER67" s="318">
        <v>0</v>
      </c>
      <c r="ES67" s="318">
        <v>0</v>
      </c>
      <c r="ET67" s="691">
        <f t="shared" si="48"/>
        <v>0</v>
      </c>
      <c r="EU67" s="318">
        <v>0</v>
      </c>
      <c r="EV67" s="318">
        <v>0</v>
      </c>
      <c r="EW67" s="691">
        <f t="shared" si="49"/>
        <v>0</v>
      </c>
      <c r="EX67" s="318">
        <v>0</v>
      </c>
      <c r="EY67" s="318">
        <v>0</v>
      </c>
      <c r="EZ67" s="691">
        <f t="shared" si="50"/>
        <v>0</v>
      </c>
      <c r="FA67" s="318">
        <v>0</v>
      </c>
      <c r="FB67" s="318">
        <v>0</v>
      </c>
      <c r="FC67" s="691">
        <f t="shared" si="51"/>
        <v>0</v>
      </c>
      <c r="FD67" s="318">
        <v>0</v>
      </c>
      <c r="FE67" s="318">
        <v>0</v>
      </c>
      <c r="FF67" s="691">
        <f t="shared" si="52"/>
        <v>0</v>
      </c>
      <c r="FG67" s="318">
        <v>0</v>
      </c>
      <c r="FH67" s="318">
        <v>0</v>
      </c>
      <c r="FI67" s="691">
        <f t="shared" si="53"/>
        <v>0</v>
      </c>
      <c r="FJ67" s="318">
        <v>0</v>
      </c>
      <c r="FK67" s="318">
        <v>0</v>
      </c>
      <c r="FL67" s="691">
        <f t="shared" si="54"/>
        <v>0</v>
      </c>
      <c r="FM67" s="318">
        <v>0</v>
      </c>
      <c r="FN67" s="318">
        <v>0</v>
      </c>
      <c r="FO67" s="691">
        <f t="shared" si="55"/>
        <v>0</v>
      </c>
      <c r="FP67" s="318">
        <v>0</v>
      </c>
      <c r="FQ67" s="318">
        <v>0</v>
      </c>
      <c r="FR67" s="691">
        <f t="shared" si="56"/>
        <v>0</v>
      </c>
      <c r="FS67" s="318">
        <v>0</v>
      </c>
      <c r="FT67" s="318">
        <v>0</v>
      </c>
      <c r="FU67" s="691">
        <f t="shared" si="57"/>
        <v>0</v>
      </c>
      <c r="FV67" s="318">
        <v>0</v>
      </c>
      <c r="FW67" s="318">
        <v>0</v>
      </c>
      <c r="FX67" s="691">
        <f t="shared" si="58"/>
        <v>0</v>
      </c>
      <c r="FY67" s="318">
        <v>0</v>
      </c>
      <c r="FZ67" s="318">
        <v>0</v>
      </c>
      <c r="GA67" s="691">
        <f t="shared" si="59"/>
        <v>0</v>
      </c>
      <c r="GB67" s="318">
        <v>0</v>
      </c>
      <c r="GC67" s="318">
        <v>0</v>
      </c>
      <c r="GD67" s="691">
        <f t="shared" si="60"/>
        <v>0</v>
      </c>
      <c r="GE67" s="318">
        <v>0</v>
      </c>
      <c r="GF67" s="318">
        <v>0</v>
      </c>
      <c r="GG67" s="691">
        <f t="shared" si="61"/>
        <v>0</v>
      </c>
      <c r="GH67" s="318">
        <v>0</v>
      </c>
      <c r="GI67" s="318">
        <v>0</v>
      </c>
      <c r="GJ67" s="691">
        <f t="shared" si="62"/>
        <v>0</v>
      </c>
      <c r="GK67" s="318">
        <v>14</v>
      </c>
      <c r="GL67" s="318">
        <v>13</v>
      </c>
      <c r="GM67" s="691">
        <f t="shared" si="63"/>
        <v>27</v>
      </c>
      <c r="GN67" s="318">
        <v>132</v>
      </c>
      <c r="GO67" s="318">
        <v>289</v>
      </c>
      <c r="GP67" s="691">
        <f t="shared" si="64"/>
        <v>421</v>
      </c>
      <c r="GQ67" s="318">
        <v>1</v>
      </c>
      <c r="GR67" s="318">
        <v>0</v>
      </c>
      <c r="GS67" s="691">
        <f t="shared" si="65"/>
        <v>1</v>
      </c>
      <c r="GT67" s="318">
        <v>4</v>
      </c>
      <c r="GU67" s="318">
        <v>0</v>
      </c>
      <c r="GV67" s="691">
        <f t="shared" si="66"/>
        <v>4</v>
      </c>
      <c r="GW67" s="318">
        <v>0</v>
      </c>
      <c r="GX67" s="318">
        <v>0</v>
      </c>
      <c r="GY67" s="691">
        <f t="shared" si="67"/>
        <v>0</v>
      </c>
      <c r="GZ67" s="318">
        <v>1</v>
      </c>
      <c r="HA67" s="318">
        <v>0</v>
      </c>
      <c r="HB67" s="691">
        <f t="shared" si="68"/>
        <v>1</v>
      </c>
      <c r="HC67" s="318">
        <v>0</v>
      </c>
      <c r="HD67" s="318">
        <v>0</v>
      </c>
      <c r="HE67" s="691">
        <f t="shared" si="69"/>
        <v>0</v>
      </c>
      <c r="HF67" s="318">
        <v>1</v>
      </c>
      <c r="HG67" s="318">
        <v>0</v>
      </c>
      <c r="HH67" s="691">
        <f t="shared" si="70"/>
        <v>1</v>
      </c>
      <c r="HI67" s="318">
        <v>11</v>
      </c>
      <c r="HJ67" s="318">
        <v>28</v>
      </c>
      <c r="HK67" s="691">
        <f t="shared" si="71"/>
        <v>39</v>
      </c>
      <c r="HL67" s="318">
        <v>0</v>
      </c>
      <c r="HM67" s="318">
        <v>42</v>
      </c>
      <c r="HN67" s="691">
        <f t="shared" si="72"/>
        <v>42</v>
      </c>
      <c r="HO67" s="318">
        <v>9</v>
      </c>
      <c r="HP67" s="318">
        <v>47</v>
      </c>
      <c r="HQ67" s="691">
        <f t="shared" si="73"/>
        <v>56</v>
      </c>
      <c r="HR67" s="318">
        <v>0</v>
      </c>
      <c r="HS67" s="318">
        <v>2</v>
      </c>
      <c r="HT67" s="691">
        <f t="shared" si="74"/>
        <v>2</v>
      </c>
      <c r="HU67" s="318">
        <v>0</v>
      </c>
      <c r="HV67" s="318">
        <v>2</v>
      </c>
      <c r="HW67" s="691">
        <f t="shared" si="75"/>
        <v>2</v>
      </c>
      <c r="HX67" s="318">
        <v>0</v>
      </c>
      <c r="HY67" s="318">
        <v>0</v>
      </c>
      <c r="HZ67" s="691">
        <f t="shared" si="76"/>
        <v>0</v>
      </c>
      <c r="IA67" s="318">
        <v>0</v>
      </c>
      <c r="IB67" s="318">
        <v>0</v>
      </c>
      <c r="IC67" s="691">
        <f t="shared" si="77"/>
        <v>0</v>
      </c>
      <c r="ID67" s="318">
        <v>9</v>
      </c>
      <c r="IE67" s="318">
        <v>0</v>
      </c>
      <c r="IF67" s="691">
        <f t="shared" si="78"/>
        <v>9</v>
      </c>
      <c r="IG67" s="318">
        <v>1</v>
      </c>
      <c r="IH67" s="318">
        <v>1</v>
      </c>
      <c r="II67" s="691">
        <f t="shared" si="79"/>
        <v>2</v>
      </c>
      <c r="IJ67" s="318">
        <v>45</v>
      </c>
      <c r="IK67" s="318">
        <v>0</v>
      </c>
      <c r="IL67" s="691">
        <f t="shared" si="80"/>
        <v>45</v>
      </c>
      <c r="IM67" s="318">
        <v>0</v>
      </c>
      <c r="IN67" s="318">
        <v>0</v>
      </c>
      <c r="IO67" s="691">
        <f t="shared" si="81"/>
        <v>0</v>
      </c>
      <c r="IP67" s="318">
        <v>0</v>
      </c>
      <c r="IQ67" s="318">
        <v>0</v>
      </c>
      <c r="IR67" s="691">
        <f t="shared" si="82"/>
        <v>0</v>
      </c>
      <c r="IS67" s="318">
        <v>87</v>
      </c>
      <c r="IT67" s="318">
        <v>16</v>
      </c>
      <c r="IU67" s="691">
        <f t="shared" si="83"/>
        <v>103</v>
      </c>
      <c r="IV67" s="318">
        <v>0</v>
      </c>
      <c r="IW67" s="318">
        <v>0</v>
      </c>
      <c r="IX67" s="691">
        <f t="shared" si="84"/>
        <v>0</v>
      </c>
      <c r="IY67" s="318">
        <v>0</v>
      </c>
      <c r="IZ67" s="318">
        <v>0</v>
      </c>
      <c r="JA67" s="691">
        <f t="shared" si="85"/>
        <v>0</v>
      </c>
      <c r="JB67" s="318">
        <v>0</v>
      </c>
      <c r="JC67" s="318">
        <v>1</v>
      </c>
      <c r="JD67" s="691">
        <f t="shared" si="86"/>
        <v>1</v>
      </c>
      <c r="JE67" s="318">
        <v>2143</v>
      </c>
      <c r="JF67" s="318">
        <v>467</v>
      </c>
      <c r="JG67" s="691">
        <f t="shared" si="87"/>
        <v>2610</v>
      </c>
      <c r="JH67" s="318">
        <v>1</v>
      </c>
      <c r="JI67" s="318">
        <v>0</v>
      </c>
      <c r="JJ67" s="691">
        <f t="shared" si="88"/>
        <v>1</v>
      </c>
      <c r="JK67" s="318">
        <v>0</v>
      </c>
      <c r="JL67" s="318">
        <v>0</v>
      </c>
      <c r="JM67" s="691">
        <f t="shared" si="89"/>
        <v>0</v>
      </c>
      <c r="JN67" s="318">
        <v>1</v>
      </c>
      <c r="JO67" s="318">
        <v>1</v>
      </c>
      <c r="JP67" s="691">
        <f t="shared" si="90"/>
        <v>2</v>
      </c>
      <c r="JQ67" s="318">
        <v>0</v>
      </c>
      <c r="JR67" s="318">
        <v>0</v>
      </c>
      <c r="JS67" s="691">
        <f t="shared" si="91"/>
        <v>0</v>
      </c>
      <c r="JT67" s="318">
        <v>0</v>
      </c>
      <c r="JU67" s="318">
        <v>0</v>
      </c>
      <c r="JV67" s="691">
        <f t="shared" si="92"/>
        <v>0</v>
      </c>
      <c r="JW67" s="318">
        <v>0</v>
      </c>
      <c r="JX67" s="318">
        <v>0</v>
      </c>
      <c r="JY67" s="691">
        <f t="shared" si="93"/>
        <v>0</v>
      </c>
      <c r="JZ67" s="318">
        <v>0</v>
      </c>
      <c r="KA67" s="318">
        <v>0</v>
      </c>
      <c r="KB67" s="691">
        <f t="shared" si="94"/>
        <v>0</v>
      </c>
      <c r="KC67" s="318">
        <v>0</v>
      </c>
      <c r="KD67" s="318">
        <v>0</v>
      </c>
      <c r="KE67" s="691">
        <f t="shared" si="95"/>
        <v>0</v>
      </c>
      <c r="KF67" s="318">
        <v>0</v>
      </c>
      <c r="KG67" s="318">
        <v>0</v>
      </c>
      <c r="KH67" s="691">
        <f t="shared" si="96"/>
        <v>0</v>
      </c>
      <c r="KI67" s="318">
        <v>0</v>
      </c>
      <c r="KJ67" s="318">
        <v>0</v>
      </c>
      <c r="KK67" s="691">
        <f t="shared" si="97"/>
        <v>0</v>
      </c>
      <c r="KL67" s="691">
        <v>0</v>
      </c>
      <c r="KM67" s="691">
        <v>0</v>
      </c>
      <c r="KN67" s="691">
        <f t="shared" si="98"/>
        <v>0</v>
      </c>
      <c r="KO67" s="691">
        <v>0</v>
      </c>
      <c r="KP67" s="691">
        <v>0</v>
      </c>
      <c r="KQ67" s="691">
        <f t="shared" si="99"/>
        <v>0</v>
      </c>
      <c r="KR67" s="691">
        <v>0</v>
      </c>
      <c r="KS67" s="691">
        <v>0</v>
      </c>
      <c r="KT67" s="691">
        <f t="shared" si="100"/>
        <v>0</v>
      </c>
      <c r="KU67" s="691">
        <v>0</v>
      </c>
      <c r="KV67" s="691">
        <v>0</v>
      </c>
      <c r="KW67" s="691">
        <f t="shared" si="101"/>
        <v>0</v>
      </c>
      <c r="KX67" s="691">
        <v>0</v>
      </c>
      <c r="KY67" s="691">
        <v>0</v>
      </c>
      <c r="KZ67" s="691">
        <f t="shared" si="102"/>
        <v>0</v>
      </c>
      <c r="LA67" s="691">
        <v>0</v>
      </c>
      <c r="LB67" s="691">
        <v>0</v>
      </c>
      <c r="LC67" s="691">
        <f t="shared" si="103"/>
        <v>0</v>
      </c>
      <c r="LD67" s="691">
        <v>0</v>
      </c>
      <c r="LE67" s="691">
        <v>0</v>
      </c>
      <c r="LF67" s="691">
        <f t="shared" si="104"/>
        <v>0</v>
      </c>
      <c r="LG67" s="691">
        <v>0</v>
      </c>
      <c r="LH67" s="691">
        <v>0</v>
      </c>
      <c r="LI67" s="691">
        <f t="shared" si="105"/>
        <v>0</v>
      </c>
      <c r="LJ67" s="318">
        <v>0</v>
      </c>
      <c r="LK67" s="318">
        <v>0</v>
      </c>
      <c r="LL67" s="692">
        <f t="shared" si="106"/>
        <v>0</v>
      </c>
    </row>
    <row r="68" spans="1:324" x14ac:dyDescent="0.35">
      <c r="A68" s="693">
        <v>3</v>
      </c>
      <c r="B68" s="383" t="s">
        <v>316</v>
      </c>
      <c r="C68" s="437" t="s">
        <v>148</v>
      </c>
      <c r="D68" s="324">
        <v>12896</v>
      </c>
      <c r="E68" s="324">
        <v>11934</v>
      </c>
      <c r="F68" s="694">
        <f t="shared" si="0"/>
        <v>24830</v>
      </c>
      <c r="G68" s="324">
        <v>14</v>
      </c>
      <c r="H68" s="324">
        <v>24413</v>
      </c>
      <c r="I68" s="694">
        <f t="shared" si="1"/>
        <v>24427</v>
      </c>
      <c r="J68" s="324">
        <v>17091</v>
      </c>
      <c r="K68" s="324">
        <v>14445</v>
      </c>
      <c r="L68" s="694">
        <f t="shared" si="2"/>
        <v>31536</v>
      </c>
      <c r="M68" s="324">
        <v>1153</v>
      </c>
      <c r="N68" s="324">
        <v>474</v>
      </c>
      <c r="O68" s="694">
        <f t="shared" si="3"/>
        <v>1627</v>
      </c>
      <c r="P68" s="324">
        <v>1161</v>
      </c>
      <c r="Q68" s="324">
        <v>972</v>
      </c>
      <c r="R68" s="694">
        <f t="shared" si="4"/>
        <v>2133</v>
      </c>
      <c r="S68" s="324">
        <v>526</v>
      </c>
      <c r="T68" s="324">
        <v>59</v>
      </c>
      <c r="U68" s="694">
        <f t="shared" si="5"/>
        <v>585</v>
      </c>
      <c r="V68" s="324">
        <v>190</v>
      </c>
      <c r="W68" s="324">
        <v>19</v>
      </c>
      <c r="X68" s="694">
        <f t="shared" si="6"/>
        <v>209</v>
      </c>
      <c r="Y68" s="324">
        <v>431</v>
      </c>
      <c r="Z68" s="324">
        <v>92</v>
      </c>
      <c r="AA68" s="694">
        <f t="shared" si="7"/>
        <v>523</v>
      </c>
      <c r="AB68" s="324">
        <v>97</v>
      </c>
      <c r="AC68" s="324">
        <v>31</v>
      </c>
      <c r="AD68" s="694">
        <f t="shared" si="8"/>
        <v>128</v>
      </c>
      <c r="AE68" s="324">
        <v>4</v>
      </c>
      <c r="AF68" s="324">
        <v>0</v>
      </c>
      <c r="AG68" s="694">
        <f t="shared" si="9"/>
        <v>4</v>
      </c>
      <c r="AH68" s="324">
        <v>1</v>
      </c>
      <c r="AI68" s="324">
        <v>0</v>
      </c>
      <c r="AJ68" s="694">
        <f t="shared" si="10"/>
        <v>1</v>
      </c>
      <c r="AK68" s="324">
        <v>53</v>
      </c>
      <c r="AL68" s="324">
        <v>8</v>
      </c>
      <c r="AM68" s="694">
        <f t="shared" si="11"/>
        <v>61</v>
      </c>
      <c r="AN68" s="324">
        <v>32</v>
      </c>
      <c r="AO68" s="324">
        <v>0</v>
      </c>
      <c r="AP68" s="694">
        <f t="shared" si="12"/>
        <v>32</v>
      </c>
      <c r="AQ68" s="324">
        <v>73</v>
      </c>
      <c r="AR68" s="324">
        <v>2</v>
      </c>
      <c r="AS68" s="694">
        <f t="shared" si="13"/>
        <v>75</v>
      </c>
      <c r="AT68" s="324">
        <v>20327</v>
      </c>
      <c r="AU68" s="324">
        <v>10789</v>
      </c>
      <c r="AV68" s="694">
        <f t="shared" si="14"/>
        <v>31116</v>
      </c>
      <c r="AW68" s="324">
        <v>436</v>
      </c>
      <c r="AX68" s="324">
        <v>242</v>
      </c>
      <c r="AY68" s="694">
        <f t="shared" si="15"/>
        <v>678</v>
      </c>
      <c r="AZ68" s="324">
        <v>11</v>
      </c>
      <c r="BA68" s="324">
        <v>13</v>
      </c>
      <c r="BB68" s="694">
        <f t="shared" si="16"/>
        <v>24</v>
      </c>
      <c r="BC68" s="324">
        <v>81</v>
      </c>
      <c r="BD68" s="324">
        <v>49</v>
      </c>
      <c r="BE68" s="694">
        <f t="shared" si="17"/>
        <v>130</v>
      </c>
      <c r="BF68" s="324">
        <v>2138</v>
      </c>
      <c r="BG68" s="324">
        <v>69</v>
      </c>
      <c r="BH68" s="694">
        <f t="shared" si="18"/>
        <v>2207</v>
      </c>
      <c r="BI68" s="324">
        <v>43</v>
      </c>
      <c r="BJ68" s="324">
        <v>6</v>
      </c>
      <c r="BK68" s="694">
        <f t="shared" si="19"/>
        <v>49</v>
      </c>
      <c r="BL68" s="324">
        <v>4</v>
      </c>
      <c r="BM68" s="324">
        <v>0</v>
      </c>
      <c r="BN68" s="694">
        <f t="shared" si="20"/>
        <v>4</v>
      </c>
      <c r="BO68" s="324">
        <v>1</v>
      </c>
      <c r="BP68" s="324">
        <v>0</v>
      </c>
      <c r="BQ68" s="694">
        <f t="shared" si="21"/>
        <v>1</v>
      </c>
      <c r="BR68" s="324">
        <v>0</v>
      </c>
      <c r="BS68" s="324">
        <v>32</v>
      </c>
      <c r="BT68" s="694">
        <f t="shared" si="22"/>
        <v>32</v>
      </c>
      <c r="BU68" s="324">
        <v>1</v>
      </c>
      <c r="BV68" s="324">
        <v>0</v>
      </c>
      <c r="BW68" s="694">
        <f t="shared" si="23"/>
        <v>1</v>
      </c>
      <c r="BX68" s="324">
        <v>4</v>
      </c>
      <c r="BY68" s="324">
        <v>0</v>
      </c>
      <c r="BZ68" s="694">
        <f t="shared" si="24"/>
        <v>4</v>
      </c>
      <c r="CA68" s="324">
        <v>7</v>
      </c>
      <c r="CB68" s="324">
        <v>0</v>
      </c>
      <c r="CC68" s="694">
        <f t="shared" si="25"/>
        <v>7</v>
      </c>
      <c r="CD68" s="324">
        <v>6</v>
      </c>
      <c r="CE68" s="324">
        <v>0</v>
      </c>
      <c r="CF68" s="694">
        <f t="shared" si="26"/>
        <v>6</v>
      </c>
      <c r="CG68" s="324">
        <v>0</v>
      </c>
      <c r="CH68" s="324">
        <v>0</v>
      </c>
      <c r="CI68" s="694">
        <f t="shared" si="27"/>
        <v>0</v>
      </c>
      <c r="CJ68" s="324">
        <v>3</v>
      </c>
      <c r="CK68" s="324">
        <v>0</v>
      </c>
      <c r="CL68" s="694">
        <f t="shared" si="28"/>
        <v>3</v>
      </c>
      <c r="CM68" s="324">
        <v>14</v>
      </c>
      <c r="CN68" s="324">
        <v>9</v>
      </c>
      <c r="CO68" s="694">
        <f t="shared" si="29"/>
        <v>23</v>
      </c>
      <c r="CP68" s="324">
        <v>0</v>
      </c>
      <c r="CQ68" s="324">
        <v>0</v>
      </c>
      <c r="CR68" s="694">
        <f t="shared" si="30"/>
        <v>0</v>
      </c>
      <c r="CS68" s="324">
        <v>1</v>
      </c>
      <c r="CT68" s="324">
        <v>3</v>
      </c>
      <c r="CU68" s="694">
        <f t="shared" si="31"/>
        <v>4</v>
      </c>
      <c r="CV68" s="324">
        <v>1</v>
      </c>
      <c r="CW68" s="324">
        <v>0</v>
      </c>
      <c r="CX68" s="694">
        <f t="shared" si="32"/>
        <v>1</v>
      </c>
      <c r="CY68" s="324">
        <v>0</v>
      </c>
      <c r="CZ68" s="324">
        <v>3</v>
      </c>
      <c r="DA68" s="694">
        <f t="shared" si="33"/>
        <v>3</v>
      </c>
      <c r="DB68" s="324">
        <v>27</v>
      </c>
      <c r="DC68" s="324">
        <v>0</v>
      </c>
      <c r="DD68" s="694">
        <f t="shared" si="34"/>
        <v>27</v>
      </c>
      <c r="DE68" s="324">
        <v>40</v>
      </c>
      <c r="DF68" s="324">
        <v>7</v>
      </c>
      <c r="DG68" s="694">
        <f t="shared" si="35"/>
        <v>47</v>
      </c>
      <c r="DH68" s="324">
        <v>0</v>
      </c>
      <c r="DI68" s="324">
        <v>0</v>
      </c>
      <c r="DJ68" s="694">
        <f t="shared" si="36"/>
        <v>0</v>
      </c>
      <c r="DK68" s="324">
        <v>0</v>
      </c>
      <c r="DL68" s="324">
        <v>0</v>
      </c>
      <c r="DM68" s="694">
        <f t="shared" si="37"/>
        <v>0</v>
      </c>
      <c r="DN68" s="324">
        <v>0</v>
      </c>
      <c r="DO68" s="324">
        <v>1</v>
      </c>
      <c r="DP68" s="694">
        <f t="shared" si="38"/>
        <v>1</v>
      </c>
      <c r="DQ68" s="324">
        <v>0</v>
      </c>
      <c r="DR68" s="324">
        <v>1</v>
      </c>
      <c r="DS68" s="694">
        <f t="shared" si="39"/>
        <v>1</v>
      </c>
      <c r="DT68" s="324">
        <v>0</v>
      </c>
      <c r="DU68" s="324">
        <v>0</v>
      </c>
      <c r="DV68" s="694">
        <f t="shared" si="40"/>
        <v>0</v>
      </c>
      <c r="DW68" s="324">
        <v>31</v>
      </c>
      <c r="DX68" s="324">
        <v>14</v>
      </c>
      <c r="DY68" s="694">
        <f t="shared" si="41"/>
        <v>45</v>
      </c>
      <c r="DZ68" s="324">
        <v>1</v>
      </c>
      <c r="EA68" s="324">
        <v>0</v>
      </c>
      <c r="EB68" s="694">
        <f t="shared" si="42"/>
        <v>1</v>
      </c>
      <c r="EC68" s="324">
        <v>65</v>
      </c>
      <c r="ED68" s="324">
        <v>14</v>
      </c>
      <c r="EE68" s="694">
        <f t="shared" si="43"/>
        <v>79</v>
      </c>
      <c r="EF68" s="324">
        <v>15</v>
      </c>
      <c r="EG68" s="324">
        <v>0</v>
      </c>
      <c r="EH68" s="694">
        <f t="shared" si="44"/>
        <v>15</v>
      </c>
      <c r="EI68" s="324">
        <v>3</v>
      </c>
      <c r="EJ68" s="324">
        <v>0</v>
      </c>
      <c r="EK68" s="694">
        <f t="shared" si="45"/>
        <v>3</v>
      </c>
      <c r="EL68" s="324">
        <v>0</v>
      </c>
      <c r="EM68" s="324">
        <v>0</v>
      </c>
      <c r="EN68" s="694">
        <f t="shared" si="46"/>
        <v>0</v>
      </c>
      <c r="EO68" s="324">
        <v>1</v>
      </c>
      <c r="EP68" s="324">
        <v>1</v>
      </c>
      <c r="EQ68" s="694">
        <f t="shared" si="47"/>
        <v>2</v>
      </c>
      <c r="ER68" s="324">
        <v>0</v>
      </c>
      <c r="ES68" s="324">
        <v>0</v>
      </c>
      <c r="ET68" s="694">
        <f t="shared" si="48"/>
        <v>0</v>
      </c>
      <c r="EU68" s="324">
        <v>0</v>
      </c>
      <c r="EV68" s="324">
        <v>0</v>
      </c>
      <c r="EW68" s="694">
        <f t="shared" si="49"/>
        <v>0</v>
      </c>
      <c r="EX68" s="324">
        <v>0</v>
      </c>
      <c r="EY68" s="324">
        <v>0</v>
      </c>
      <c r="EZ68" s="694">
        <f t="shared" si="50"/>
        <v>0</v>
      </c>
      <c r="FA68" s="324">
        <v>0</v>
      </c>
      <c r="FB68" s="324">
        <v>0</v>
      </c>
      <c r="FC68" s="694">
        <f t="shared" si="51"/>
        <v>0</v>
      </c>
      <c r="FD68" s="324">
        <v>0</v>
      </c>
      <c r="FE68" s="324">
        <v>0</v>
      </c>
      <c r="FF68" s="694">
        <f t="shared" si="52"/>
        <v>0</v>
      </c>
      <c r="FG68" s="324">
        <v>0</v>
      </c>
      <c r="FH68" s="324">
        <v>0</v>
      </c>
      <c r="FI68" s="694">
        <f t="shared" si="53"/>
        <v>0</v>
      </c>
      <c r="FJ68" s="324">
        <v>0</v>
      </c>
      <c r="FK68" s="324">
        <v>0</v>
      </c>
      <c r="FL68" s="694">
        <f t="shared" si="54"/>
        <v>0</v>
      </c>
      <c r="FM68" s="324">
        <v>0</v>
      </c>
      <c r="FN68" s="324">
        <v>0</v>
      </c>
      <c r="FO68" s="694">
        <f t="shared" si="55"/>
        <v>0</v>
      </c>
      <c r="FP68" s="324">
        <v>0</v>
      </c>
      <c r="FQ68" s="324">
        <v>0</v>
      </c>
      <c r="FR68" s="694">
        <f t="shared" si="56"/>
        <v>0</v>
      </c>
      <c r="FS68" s="324">
        <v>0</v>
      </c>
      <c r="FT68" s="324">
        <v>0</v>
      </c>
      <c r="FU68" s="694">
        <f t="shared" si="57"/>
        <v>0</v>
      </c>
      <c r="FV68" s="324">
        <v>0</v>
      </c>
      <c r="FW68" s="324">
        <v>0</v>
      </c>
      <c r="FX68" s="694">
        <f t="shared" si="58"/>
        <v>0</v>
      </c>
      <c r="FY68" s="324">
        <v>0</v>
      </c>
      <c r="FZ68" s="324">
        <v>0</v>
      </c>
      <c r="GA68" s="694">
        <f t="shared" si="59"/>
        <v>0</v>
      </c>
      <c r="GB68" s="324">
        <v>0</v>
      </c>
      <c r="GC68" s="324">
        <v>0</v>
      </c>
      <c r="GD68" s="694">
        <f t="shared" si="60"/>
        <v>0</v>
      </c>
      <c r="GE68" s="324">
        <v>0</v>
      </c>
      <c r="GF68" s="324">
        <v>0</v>
      </c>
      <c r="GG68" s="694">
        <f t="shared" si="61"/>
        <v>0</v>
      </c>
      <c r="GH68" s="324">
        <v>2</v>
      </c>
      <c r="GI68" s="324">
        <v>0</v>
      </c>
      <c r="GJ68" s="694">
        <f t="shared" si="62"/>
        <v>2</v>
      </c>
      <c r="GK68" s="324">
        <v>71</v>
      </c>
      <c r="GL68" s="324">
        <v>60</v>
      </c>
      <c r="GM68" s="694">
        <f t="shared" si="63"/>
        <v>131</v>
      </c>
      <c r="GN68" s="324">
        <v>348</v>
      </c>
      <c r="GO68" s="324">
        <v>978</v>
      </c>
      <c r="GP68" s="694">
        <f t="shared" si="64"/>
        <v>1326</v>
      </c>
      <c r="GQ68" s="324">
        <v>37</v>
      </c>
      <c r="GR68" s="324">
        <v>1</v>
      </c>
      <c r="GS68" s="694">
        <f t="shared" si="65"/>
        <v>38</v>
      </c>
      <c r="GT68" s="324">
        <v>38</v>
      </c>
      <c r="GU68" s="324">
        <v>9</v>
      </c>
      <c r="GV68" s="694">
        <f t="shared" si="66"/>
        <v>47</v>
      </c>
      <c r="GW68" s="324">
        <v>2</v>
      </c>
      <c r="GX68" s="324">
        <v>6</v>
      </c>
      <c r="GY68" s="694">
        <f t="shared" si="67"/>
        <v>8</v>
      </c>
      <c r="GZ68" s="324">
        <v>11</v>
      </c>
      <c r="HA68" s="324">
        <v>3</v>
      </c>
      <c r="HB68" s="694">
        <f t="shared" si="68"/>
        <v>14</v>
      </c>
      <c r="HC68" s="324">
        <v>2</v>
      </c>
      <c r="HD68" s="324">
        <v>1</v>
      </c>
      <c r="HE68" s="694">
        <f t="shared" si="69"/>
        <v>3</v>
      </c>
      <c r="HF68" s="324">
        <v>13</v>
      </c>
      <c r="HG68" s="324">
        <v>3</v>
      </c>
      <c r="HH68" s="694">
        <f t="shared" si="70"/>
        <v>16</v>
      </c>
      <c r="HI68" s="324">
        <v>69</v>
      </c>
      <c r="HJ68" s="324">
        <v>187</v>
      </c>
      <c r="HK68" s="694">
        <f t="shared" si="71"/>
        <v>256</v>
      </c>
      <c r="HL68" s="324">
        <v>0</v>
      </c>
      <c r="HM68" s="324">
        <v>88</v>
      </c>
      <c r="HN68" s="694">
        <f t="shared" si="72"/>
        <v>88</v>
      </c>
      <c r="HO68" s="324">
        <v>15</v>
      </c>
      <c r="HP68" s="324">
        <v>150</v>
      </c>
      <c r="HQ68" s="694">
        <f t="shared" si="73"/>
        <v>165</v>
      </c>
      <c r="HR68" s="324">
        <v>5</v>
      </c>
      <c r="HS68" s="324">
        <v>18</v>
      </c>
      <c r="HT68" s="694">
        <f t="shared" si="74"/>
        <v>23</v>
      </c>
      <c r="HU68" s="324">
        <v>1</v>
      </c>
      <c r="HV68" s="324">
        <v>7</v>
      </c>
      <c r="HW68" s="694">
        <f t="shared" si="75"/>
        <v>8</v>
      </c>
      <c r="HX68" s="324">
        <v>0</v>
      </c>
      <c r="HY68" s="324">
        <v>1</v>
      </c>
      <c r="HZ68" s="694">
        <f t="shared" si="76"/>
        <v>1</v>
      </c>
      <c r="IA68" s="324">
        <v>0</v>
      </c>
      <c r="IB68" s="324">
        <v>0</v>
      </c>
      <c r="IC68" s="694">
        <f t="shared" si="77"/>
        <v>0</v>
      </c>
      <c r="ID68" s="324">
        <v>48</v>
      </c>
      <c r="IE68" s="324">
        <v>0</v>
      </c>
      <c r="IF68" s="694">
        <f t="shared" si="78"/>
        <v>48</v>
      </c>
      <c r="IG68" s="324">
        <v>3</v>
      </c>
      <c r="IH68" s="324">
        <v>0</v>
      </c>
      <c r="II68" s="694">
        <f t="shared" si="79"/>
        <v>3</v>
      </c>
      <c r="IJ68" s="324">
        <v>222</v>
      </c>
      <c r="IK68" s="324">
        <v>0</v>
      </c>
      <c r="IL68" s="694">
        <f t="shared" si="80"/>
        <v>222</v>
      </c>
      <c r="IM68" s="324">
        <v>1</v>
      </c>
      <c r="IN68" s="324">
        <v>0</v>
      </c>
      <c r="IO68" s="694">
        <f t="shared" si="81"/>
        <v>1</v>
      </c>
      <c r="IP68" s="324">
        <v>1</v>
      </c>
      <c r="IQ68" s="324">
        <v>0</v>
      </c>
      <c r="IR68" s="694">
        <f t="shared" si="82"/>
        <v>1</v>
      </c>
      <c r="IS68" s="324">
        <v>306</v>
      </c>
      <c r="IT68" s="324">
        <v>88</v>
      </c>
      <c r="IU68" s="694">
        <f t="shared" si="83"/>
        <v>394</v>
      </c>
      <c r="IV68" s="324">
        <v>2</v>
      </c>
      <c r="IW68" s="324">
        <v>0</v>
      </c>
      <c r="IX68" s="694">
        <f t="shared" si="84"/>
        <v>2</v>
      </c>
      <c r="IY68" s="324">
        <v>0</v>
      </c>
      <c r="IZ68" s="324">
        <v>0</v>
      </c>
      <c r="JA68" s="694">
        <f t="shared" si="85"/>
        <v>0</v>
      </c>
      <c r="JB68" s="324">
        <v>0</v>
      </c>
      <c r="JC68" s="324">
        <v>9</v>
      </c>
      <c r="JD68" s="694">
        <f t="shared" si="86"/>
        <v>9</v>
      </c>
      <c r="JE68" s="324">
        <v>8574</v>
      </c>
      <c r="JF68" s="324">
        <v>1893</v>
      </c>
      <c r="JG68" s="694">
        <f t="shared" si="87"/>
        <v>10467</v>
      </c>
      <c r="JH68" s="324">
        <v>1</v>
      </c>
      <c r="JI68" s="324">
        <v>0</v>
      </c>
      <c r="JJ68" s="694">
        <f t="shared" si="88"/>
        <v>1</v>
      </c>
      <c r="JK68" s="324">
        <v>0</v>
      </c>
      <c r="JL68" s="324">
        <v>0</v>
      </c>
      <c r="JM68" s="694">
        <f t="shared" si="89"/>
        <v>0</v>
      </c>
      <c r="JN68" s="324">
        <v>0</v>
      </c>
      <c r="JO68" s="324">
        <v>0</v>
      </c>
      <c r="JP68" s="694">
        <f t="shared" si="90"/>
        <v>0</v>
      </c>
      <c r="JQ68" s="324">
        <v>1</v>
      </c>
      <c r="JR68" s="324">
        <v>0</v>
      </c>
      <c r="JS68" s="694">
        <f t="shared" si="91"/>
        <v>1</v>
      </c>
      <c r="JT68" s="324">
        <v>1</v>
      </c>
      <c r="JU68" s="324">
        <v>0</v>
      </c>
      <c r="JV68" s="694">
        <f t="shared" si="92"/>
        <v>1</v>
      </c>
      <c r="JW68" s="324">
        <v>0</v>
      </c>
      <c r="JX68" s="324">
        <v>0</v>
      </c>
      <c r="JY68" s="694">
        <f t="shared" si="93"/>
        <v>0</v>
      </c>
      <c r="JZ68" s="324">
        <v>0</v>
      </c>
      <c r="KA68" s="324">
        <v>0</v>
      </c>
      <c r="KB68" s="694">
        <f t="shared" si="94"/>
        <v>0</v>
      </c>
      <c r="KC68" s="324">
        <v>0</v>
      </c>
      <c r="KD68" s="324">
        <v>0</v>
      </c>
      <c r="KE68" s="694">
        <f t="shared" si="95"/>
        <v>0</v>
      </c>
      <c r="KF68" s="324">
        <v>0</v>
      </c>
      <c r="KG68" s="324">
        <v>1</v>
      </c>
      <c r="KH68" s="694">
        <f t="shared" si="96"/>
        <v>1</v>
      </c>
      <c r="KI68" s="324">
        <v>0</v>
      </c>
      <c r="KJ68" s="324">
        <v>0</v>
      </c>
      <c r="KK68" s="694">
        <f t="shared" si="97"/>
        <v>0</v>
      </c>
      <c r="KL68" s="694">
        <v>0</v>
      </c>
      <c r="KM68" s="694">
        <v>0</v>
      </c>
      <c r="KN68" s="694">
        <f t="shared" si="98"/>
        <v>0</v>
      </c>
      <c r="KO68" s="694">
        <v>0</v>
      </c>
      <c r="KP68" s="694">
        <v>0</v>
      </c>
      <c r="KQ68" s="694">
        <f t="shared" si="99"/>
        <v>0</v>
      </c>
      <c r="KR68" s="694">
        <v>0</v>
      </c>
      <c r="KS68" s="694">
        <v>0</v>
      </c>
      <c r="KT68" s="694">
        <f t="shared" si="100"/>
        <v>0</v>
      </c>
      <c r="KU68" s="694">
        <v>0</v>
      </c>
      <c r="KV68" s="694">
        <v>0</v>
      </c>
      <c r="KW68" s="694">
        <f t="shared" si="101"/>
        <v>0</v>
      </c>
      <c r="KX68" s="694">
        <v>0</v>
      </c>
      <c r="KY68" s="694">
        <v>0</v>
      </c>
      <c r="KZ68" s="694">
        <f t="shared" si="102"/>
        <v>0</v>
      </c>
      <c r="LA68" s="694">
        <v>0</v>
      </c>
      <c r="LB68" s="694">
        <v>0</v>
      </c>
      <c r="LC68" s="694">
        <f t="shared" si="103"/>
        <v>0</v>
      </c>
      <c r="LD68" s="694">
        <v>0</v>
      </c>
      <c r="LE68" s="694">
        <v>0</v>
      </c>
      <c r="LF68" s="694">
        <f t="shared" si="104"/>
        <v>0</v>
      </c>
      <c r="LG68" s="694">
        <v>0</v>
      </c>
      <c r="LH68" s="694">
        <v>0</v>
      </c>
      <c r="LI68" s="694">
        <f t="shared" si="105"/>
        <v>0</v>
      </c>
      <c r="LJ68" s="324">
        <v>2</v>
      </c>
      <c r="LK68" s="324">
        <v>0</v>
      </c>
      <c r="LL68" s="695">
        <f t="shared" si="106"/>
        <v>2</v>
      </c>
    </row>
    <row r="69" spans="1:324" x14ac:dyDescent="0.35">
      <c r="A69" s="696">
        <v>4</v>
      </c>
      <c r="B69" s="387" t="s">
        <v>317</v>
      </c>
      <c r="C69" s="440" t="s">
        <v>144</v>
      </c>
      <c r="D69" s="330">
        <v>5766</v>
      </c>
      <c r="E69" s="330">
        <v>5299</v>
      </c>
      <c r="F69" s="629">
        <f t="shared" ref="F69:F72" si="107">D69+E69</f>
        <v>11065</v>
      </c>
      <c r="G69" s="330">
        <v>8</v>
      </c>
      <c r="H69" s="330">
        <v>10726</v>
      </c>
      <c r="I69" s="629">
        <f t="shared" ref="I69:I72" si="108">G69+H69</f>
        <v>10734</v>
      </c>
      <c r="J69" s="330">
        <v>7254</v>
      </c>
      <c r="K69" s="330">
        <v>6016</v>
      </c>
      <c r="L69" s="629">
        <f t="shared" ref="L69:L72" si="109">J69+K69</f>
        <v>13270</v>
      </c>
      <c r="M69" s="330">
        <v>610</v>
      </c>
      <c r="N69" s="330">
        <v>263</v>
      </c>
      <c r="O69" s="629">
        <f t="shared" ref="O69:O72" si="110">M69+N69</f>
        <v>873</v>
      </c>
      <c r="P69" s="330">
        <v>528</v>
      </c>
      <c r="Q69" s="330">
        <v>468</v>
      </c>
      <c r="R69" s="629">
        <f t="shared" ref="R69:R72" si="111">P69+Q69</f>
        <v>996</v>
      </c>
      <c r="S69" s="330">
        <v>135</v>
      </c>
      <c r="T69" s="330">
        <v>22</v>
      </c>
      <c r="U69" s="629">
        <f t="shared" ref="U69:U72" si="112">S69+T69</f>
        <v>157</v>
      </c>
      <c r="V69" s="330">
        <v>61</v>
      </c>
      <c r="W69" s="330">
        <v>3</v>
      </c>
      <c r="X69" s="629">
        <f t="shared" ref="X69:X72" si="113">V69+W69</f>
        <v>64</v>
      </c>
      <c r="Y69" s="330">
        <v>193</v>
      </c>
      <c r="Z69" s="330">
        <v>47</v>
      </c>
      <c r="AA69" s="629">
        <f t="shared" ref="AA69:AA72" si="114">Y69+Z69</f>
        <v>240</v>
      </c>
      <c r="AB69" s="330">
        <v>32</v>
      </c>
      <c r="AC69" s="330">
        <v>14</v>
      </c>
      <c r="AD69" s="629">
        <f t="shared" ref="AD69:AD72" si="115">AB69+AC69</f>
        <v>46</v>
      </c>
      <c r="AE69" s="330">
        <v>0</v>
      </c>
      <c r="AF69" s="330">
        <v>0</v>
      </c>
      <c r="AG69" s="629">
        <f t="shared" ref="AG69:AG72" si="116">AE69+AF69</f>
        <v>0</v>
      </c>
      <c r="AH69" s="330">
        <v>0</v>
      </c>
      <c r="AI69" s="330">
        <v>0</v>
      </c>
      <c r="AJ69" s="629">
        <f t="shared" ref="AJ69:AJ72" si="117">AH69+AI69</f>
        <v>0</v>
      </c>
      <c r="AK69" s="330">
        <v>26</v>
      </c>
      <c r="AL69" s="330">
        <v>3</v>
      </c>
      <c r="AM69" s="629">
        <f t="shared" ref="AM69:AM72" si="118">AK69+AL69</f>
        <v>29</v>
      </c>
      <c r="AN69" s="330">
        <v>17</v>
      </c>
      <c r="AO69" s="330">
        <v>0</v>
      </c>
      <c r="AP69" s="629">
        <f t="shared" ref="AP69:AP72" si="119">AN69+AO69</f>
        <v>17</v>
      </c>
      <c r="AQ69" s="330">
        <v>26</v>
      </c>
      <c r="AR69" s="330">
        <v>0</v>
      </c>
      <c r="AS69" s="629">
        <f t="shared" ref="AS69:AS72" si="120">AQ69+AR69</f>
        <v>26</v>
      </c>
      <c r="AT69" s="330">
        <v>8999</v>
      </c>
      <c r="AU69" s="330">
        <v>5003</v>
      </c>
      <c r="AV69" s="629">
        <f t="shared" ref="AV69:AV72" si="121">AT69+AU69</f>
        <v>14002</v>
      </c>
      <c r="AW69" s="330">
        <v>191</v>
      </c>
      <c r="AX69" s="330">
        <v>117</v>
      </c>
      <c r="AY69" s="629">
        <f t="shared" ref="AY69:AY72" si="122">AW69+AX69</f>
        <v>308</v>
      </c>
      <c r="AZ69" s="330">
        <v>4</v>
      </c>
      <c r="BA69" s="330">
        <v>6</v>
      </c>
      <c r="BB69" s="629">
        <f t="shared" ref="BB69:BB72" si="123">AZ69+BA69</f>
        <v>10</v>
      </c>
      <c r="BC69" s="330">
        <v>39</v>
      </c>
      <c r="BD69" s="330">
        <v>20</v>
      </c>
      <c r="BE69" s="629">
        <f t="shared" ref="BE69:BE72" si="124">BC69+BD69</f>
        <v>59</v>
      </c>
      <c r="BF69" s="330">
        <v>883</v>
      </c>
      <c r="BG69" s="330">
        <v>28</v>
      </c>
      <c r="BH69" s="629">
        <f t="shared" ref="BH69:BH72" si="125">BF69+BG69</f>
        <v>911</v>
      </c>
      <c r="BI69" s="330">
        <v>17</v>
      </c>
      <c r="BJ69" s="330">
        <v>0</v>
      </c>
      <c r="BK69" s="629">
        <f t="shared" ref="BK69:BK72" si="126">BI69+BJ69</f>
        <v>17</v>
      </c>
      <c r="BL69" s="330">
        <v>1</v>
      </c>
      <c r="BM69" s="330">
        <v>0</v>
      </c>
      <c r="BN69" s="629">
        <f t="shared" ref="BN69:BN72" si="127">BL69+BM69</f>
        <v>1</v>
      </c>
      <c r="BO69" s="330">
        <v>0</v>
      </c>
      <c r="BP69" s="330">
        <v>0</v>
      </c>
      <c r="BQ69" s="629">
        <f t="shared" ref="BQ69:BQ72" si="128">BO69+BP69</f>
        <v>0</v>
      </c>
      <c r="BR69" s="330">
        <v>0</v>
      </c>
      <c r="BS69" s="330">
        <v>18</v>
      </c>
      <c r="BT69" s="629">
        <f t="shared" ref="BT69:BT72" si="129">BR69+BS69</f>
        <v>18</v>
      </c>
      <c r="BU69" s="330">
        <v>1</v>
      </c>
      <c r="BV69" s="330">
        <v>0</v>
      </c>
      <c r="BW69" s="629">
        <f t="shared" ref="BW69:BW72" si="130">BU69+BV69</f>
        <v>1</v>
      </c>
      <c r="BX69" s="330">
        <v>3</v>
      </c>
      <c r="BY69" s="330">
        <v>0</v>
      </c>
      <c r="BZ69" s="629">
        <f t="shared" ref="BZ69:BZ72" si="131">BX69+BY69</f>
        <v>3</v>
      </c>
      <c r="CA69" s="330">
        <v>5</v>
      </c>
      <c r="CB69" s="330">
        <v>0</v>
      </c>
      <c r="CC69" s="629">
        <f t="shared" ref="CC69:CC72" si="132">CA69+CB69</f>
        <v>5</v>
      </c>
      <c r="CD69" s="330">
        <v>2</v>
      </c>
      <c r="CE69" s="330">
        <v>0</v>
      </c>
      <c r="CF69" s="629">
        <f t="shared" ref="CF69:CF72" si="133">CD69+CE69</f>
        <v>2</v>
      </c>
      <c r="CG69" s="330">
        <v>0</v>
      </c>
      <c r="CH69" s="330">
        <v>0</v>
      </c>
      <c r="CI69" s="629">
        <f t="shared" ref="CI69:CI72" si="134">CG69+CH69</f>
        <v>0</v>
      </c>
      <c r="CJ69" s="330">
        <v>1</v>
      </c>
      <c r="CK69" s="330">
        <v>0</v>
      </c>
      <c r="CL69" s="629">
        <f t="shared" ref="CL69:CL72" si="135">CJ69+CK69</f>
        <v>1</v>
      </c>
      <c r="CM69" s="330">
        <v>6</v>
      </c>
      <c r="CN69" s="330">
        <v>5</v>
      </c>
      <c r="CO69" s="629">
        <f t="shared" ref="CO69:CO72" si="136">CM69+CN69</f>
        <v>11</v>
      </c>
      <c r="CP69" s="330">
        <v>0</v>
      </c>
      <c r="CQ69" s="330">
        <v>0</v>
      </c>
      <c r="CR69" s="629">
        <f t="shared" ref="CR69:CR72" si="137">CP69+CQ69</f>
        <v>0</v>
      </c>
      <c r="CS69" s="330">
        <v>1</v>
      </c>
      <c r="CT69" s="330">
        <v>1</v>
      </c>
      <c r="CU69" s="629">
        <f t="shared" ref="CU69:CU72" si="138">CS69+CT69</f>
        <v>2</v>
      </c>
      <c r="CV69" s="330">
        <v>1</v>
      </c>
      <c r="CW69" s="330">
        <v>0</v>
      </c>
      <c r="CX69" s="629">
        <f t="shared" ref="CX69:CX72" si="139">CV69+CW69</f>
        <v>1</v>
      </c>
      <c r="CY69" s="330">
        <v>0</v>
      </c>
      <c r="CZ69" s="330">
        <v>2</v>
      </c>
      <c r="DA69" s="629">
        <f t="shared" ref="DA69:DA72" si="140">CY69+CZ69</f>
        <v>2</v>
      </c>
      <c r="DB69" s="330">
        <v>13</v>
      </c>
      <c r="DC69" s="330">
        <v>0</v>
      </c>
      <c r="DD69" s="629">
        <f t="shared" ref="DD69:DD72" si="141">DB69+DC69</f>
        <v>13</v>
      </c>
      <c r="DE69" s="330">
        <v>16</v>
      </c>
      <c r="DF69" s="330">
        <v>4</v>
      </c>
      <c r="DG69" s="629">
        <f t="shared" ref="DG69:DG72" si="142">DE69+DF69</f>
        <v>20</v>
      </c>
      <c r="DH69" s="330">
        <v>0</v>
      </c>
      <c r="DI69" s="330">
        <v>0</v>
      </c>
      <c r="DJ69" s="629">
        <f t="shared" ref="DJ69:DJ72" si="143">DH69+DI69</f>
        <v>0</v>
      </c>
      <c r="DK69" s="330">
        <v>0</v>
      </c>
      <c r="DL69" s="330">
        <v>0</v>
      </c>
      <c r="DM69" s="629">
        <f t="shared" ref="DM69:DM72" si="144">DK69+DL69</f>
        <v>0</v>
      </c>
      <c r="DN69" s="330">
        <v>0</v>
      </c>
      <c r="DO69" s="330">
        <v>1</v>
      </c>
      <c r="DP69" s="629">
        <f t="shared" ref="DP69:DP72" si="145">DN69+DO69</f>
        <v>1</v>
      </c>
      <c r="DQ69" s="330">
        <v>0</v>
      </c>
      <c r="DR69" s="330">
        <v>0</v>
      </c>
      <c r="DS69" s="629">
        <f t="shared" ref="DS69:DS72" si="146">DQ69+DR69</f>
        <v>0</v>
      </c>
      <c r="DT69" s="330">
        <v>0</v>
      </c>
      <c r="DU69" s="330">
        <v>0</v>
      </c>
      <c r="DV69" s="629">
        <f t="shared" ref="DV69:DV72" si="147">DT69+DU69</f>
        <v>0</v>
      </c>
      <c r="DW69" s="330">
        <v>13</v>
      </c>
      <c r="DX69" s="330">
        <v>9</v>
      </c>
      <c r="DY69" s="629">
        <f t="shared" ref="DY69:DY72" si="148">DW69+DX69</f>
        <v>22</v>
      </c>
      <c r="DZ69" s="330">
        <v>0</v>
      </c>
      <c r="EA69" s="330">
        <v>0</v>
      </c>
      <c r="EB69" s="629">
        <f t="shared" ref="EB69:EB72" si="149">DZ69+EA69</f>
        <v>0</v>
      </c>
      <c r="EC69" s="330">
        <v>31</v>
      </c>
      <c r="ED69" s="330">
        <v>7</v>
      </c>
      <c r="EE69" s="629">
        <f t="shared" ref="EE69:EE72" si="150">EC69+ED69</f>
        <v>38</v>
      </c>
      <c r="EF69" s="330">
        <v>11</v>
      </c>
      <c r="EG69" s="330">
        <v>0</v>
      </c>
      <c r="EH69" s="629">
        <f t="shared" ref="EH69:EH72" si="151">EF69+EG69</f>
        <v>11</v>
      </c>
      <c r="EI69" s="330">
        <v>3</v>
      </c>
      <c r="EJ69" s="330">
        <v>0</v>
      </c>
      <c r="EK69" s="629">
        <f t="shared" ref="EK69:EK72" si="152">EI69+EJ69</f>
        <v>3</v>
      </c>
      <c r="EL69" s="330">
        <v>0</v>
      </c>
      <c r="EM69" s="330">
        <v>0</v>
      </c>
      <c r="EN69" s="629">
        <f t="shared" ref="EN69:EN72" si="153">EL69+EM69</f>
        <v>0</v>
      </c>
      <c r="EO69" s="330">
        <v>0</v>
      </c>
      <c r="EP69" s="330">
        <v>0</v>
      </c>
      <c r="EQ69" s="629">
        <f t="shared" ref="EQ69:EQ72" si="154">EO69+EP69</f>
        <v>0</v>
      </c>
      <c r="ER69" s="330">
        <v>0</v>
      </c>
      <c r="ES69" s="330">
        <v>0</v>
      </c>
      <c r="ET69" s="629">
        <f t="shared" ref="ET69:ET72" si="155">ER69+ES69</f>
        <v>0</v>
      </c>
      <c r="EU69" s="330">
        <v>0</v>
      </c>
      <c r="EV69" s="330">
        <v>0</v>
      </c>
      <c r="EW69" s="629">
        <f t="shared" ref="EW69:EW72" si="156">EU69+EV69</f>
        <v>0</v>
      </c>
      <c r="EX69" s="330">
        <v>0</v>
      </c>
      <c r="EY69" s="330">
        <v>0</v>
      </c>
      <c r="EZ69" s="629">
        <f t="shared" ref="EZ69:EZ72" si="157">EX69+EY69</f>
        <v>0</v>
      </c>
      <c r="FA69" s="330">
        <v>0</v>
      </c>
      <c r="FB69" s="330">
        <v>0</v>
      </c>
      <c r="FC69" s="629">
        <f t="shared" ref="FC69:FC72" si="158">FA69+FB69</f>
        <v>0</v>
      </c>
      <c r="FD69" s="330">
        <v>0</v>
      </c>
      <c r="FE69" s="330">
        <v>0</v>
      </c>
      <c r="FF69" s="629">
        <f t="shared" ref="FF69:FF72" si="159">FD69+FE69</f>
        <v>0</v>
      </c>
      <c r="FG69" s="330">
        <v>0</v>
      </c>
      <c r="FH69" s="330">
        <v>0</v>
      </c>
      <c r="FI69" s="629">
        <f t="shared" ref="FI69:FI72" si="160">FG69+FH69</f>
        <v>0</v>
      </c>
      <c r="FJ69" s="330">
        <v>0</v>
      </c>
      <c r="FK69" s="330">
        <v>0</v>
      </c>
      <c r="FL69" s="629">
        <f t="shared" ref="FL69:FL72" si="161">FJ69+FK69</f>
        <v>0</v>
      </c>
      <c r="FM69" s="330">
        <v>0</v>
      </c>
      <c r="FN69" s="330">
        <v>0</v>
      </c>
      <c r="FO69" s="629">
        <f t="shared" ref="FO69:FO72" si="162">FM69+FN69</f>
        <v>0</v>
      </c>
      <c r="FP69" s="330">
        <v>0</v>
      </c>
      <c r="FQ69" s="330">
        <v>0</v>
      </c>
      <c r="FR69" s="629">
        <f t="shared" ref="FR69:FR72" si="163">FP69+FQ69</f>
        <v>0</v>
      </c>
      <c r="FS69" s="330">
        <v>0</v>
      </c>
      <c r="FT69" s="330">
        <v>0</v>
      </c>
      <c r="FU69" s="629">
        <f t="shared" ref="FU69:FU72" si="164">FS69+FT69</f>
        <v>0</v>
      </c>
      <c r="FV69" s="330">
        <v>0</v>
      </c>
      <c r="FW69" s="330">
        <v>0</v>
      </c>
      <c r="FX69" s="629">
        <f t="shared" ref="FX69:FX72" si="165">FV69+FW69</f>
        <v>0</v>
      </c>
      <c r="FY69" s="330">
        <v>0</v>
      </c>
      <c r="FZ69" s="330">
        <v>0</v>
      </c>
      <c r="GA69" s="629">
        <f t="shared" ref="GA69:GA72" si="166">FY69+FZ69</f>
        <v>0</v>
      </c>
      <c r="GB69" s="330">
        <v>0</v>
      </c>
      <c r="GC69" s="330">
        <v>0</v>
      </c>
      <c r="GD69" s="629">
        <f t="shared" ref="GD69:GD72" si="167">GB69+GC69</f>
        <v>0</v>
      </c>
      <c r="GE69" s="330">
        <v>0</v>
      </c>
      <c r="GF69" s="330">
        <v>0</v>
      </c>
      <c r="GG69" s="629">
        <f t="shared" ref="GG69:GG72" si="168">GE69+GF69</f>
        <v>0</v>
      </c>
      <c r="GH69" s="330">
        <v>1</v>
      </c>
      <c r="GI69" s="330">
        <v>0</v>
      </c>
      <c r="GJ69" s="629">
        <f t="shared" ref="GJ69:GJ72" si="169">GH69+GI69</f>
        <v>1</v>
      </c>
      <c r="GK69" s="330">
        <v>26</v>
      </c>
      <c r="GL69" s="330">
        <v>25</v>
      </c>
      <c r="GM69" s="629">
        <f t="shared" ref="GM69:GM72" si="170">GK69+GL69</f>
        <v>51</v>
      </c>
      <c r="GN69" s="330">
        <v>123</v>
      </c>
      <c r="GO69" s="330">
        <v>373</v>
      </c>
      <c r="GP69" s="629">
        <f t="shared" ref="GP69:GP72" si="171">GN69+GO69</f>
        <v>496</v>
      </c>
      <c r="GQ69" s="330">
        <v>12</v>
      </c>
      <c r="GR69" s="330">
        <v>0</v>
      </c>
      <c r="GS69" s="629">
        <f t="shared" ref="GS69:GS72" si="172">GQ69+GR69</f>
        <v>12</v>
      </c>
      <c r="GT69" s="330">
        <v>19</v>
      </c>
      <c r="GU69" s="330">
        <v>4</v>
      </c>
      <c r="GV69" s="629">
        <f t="shared" ref="GV69:GV72" si="173">GT69+GU69</f>
        <v>23</v>
      </c>
      <c r="GW69" s="330">
        <v>0</v>
      </c>
      <c r="GX69" s="330">
        <v>0</v>
      </c>
      <c r="GY69" s="629">
        <f t="shared" ref="GY69:GY72" si="174">GW69+GX69</f>
        <v>0</v>
      </c>
      <c r="GZ69" s="330">
        <v>2</v>
      </c>
      <c r="HA69" s="330">
        <v>1</v>
      </c>
      <c r="HB69" s="629">
        <f t="shared" ref="HB69:HB72" si="175">GZ69+HA69</f>
        <v>3</v>
      </c>
      <c r="HC69" s="330">
        <v>1</v>
      </c>
      <c r="HD69" s="330">
        <v>0</v>
      </c>
      <c r="HE69" s="629">
        <f t="shared" ref="HE69:HE72" si="176">HC69+HD69</f>
        <v>1</v>
      </c>
      <c r="HF69" s="330">
        <v>4</v>
      </c>
      <c r="HG69" s="330">
        <v>0</v>
      </c>
      <c r="HH69" s="629">
        <f t="shared" ref="HH69:HH72" si="177">HF69+HG69</f>
        <v>4</v>
      </c>
      <c r="HI69" s="330">
        <v>33</v>
      </c>
      <c r="HJ69" s="330">
        <v>60</v>
      </c>
      <c r="HK69" s="629">
        <f t="shared" ref="HK69:HK72" si="178">HI69+HJ69</f>
        <v>93</v>
      </c>
      <c r="HL69" s="330">
        <v>0</v>
      </c>
      <c r="HM69" s="330">
        <v>30</v>
      </c>
      <c r="HN69" s="629">
        <f t="shared" ref="HN69:HN72" si="179">HL69+HM69</f>
        <v>30</v>
      </c>
      <c r="HO69" s="330">
        <v>9</v>
      </c>
      <c r="HP69" s="330">
        <v>65</v>
      </c>
      <c r="HQ69" s="629">
        <f t="shared" ref="HQ69:HQ72" si="180">HO69+HP69</f>
        <v>74</v>
      </c>
      <c r="HR69" s="330">
        <v>0</v>
      </c>
      <c r="HS69" s="330">
        <v>9</v>
      </c>
      <c r="HT69" s="629">
        <f t="shared" ref="HT69:HT72" si="181">HR69+HS69</f>
        <v>9</v>
      </c>
      <c r="HU69" s="330">
        <v>0</v>
      </c>
      <c r="HV69" s="330">
        <v>2</v>
      </c>
      <c r="HW69" s="629">
        <f t="shared" ref="HW69:HW72" si="182">HU69+HV69</f>
        <v>2</v>
      </c>
      <c r="HX69" s="330">
        <v>0</v>
      </c>
      <c r="HY69" s="330">
        <v>0</v>
      </c>
      <c r="HZ69" s="629">
        <f t="shared" ref="HZ69:HZ72" si="183">HX69+HY69</f>
        <v>0</v>
      </c>
      <c r="IA69" s="330">
        <v>0</v>
      </c>
      <c r="IB69" s="330">
        <v>0</v>
      </c>
      <c r="IC69" s="629">
        <f t="shared" ref="IC69:IC72" si="184">IA69+IB69</f>
        <v>0</v>
      </c>
      <c r="ID69" s="330">
        <v>23</v>
      </c>
      <c r="IE69" s="330">
        <v>0</v>
      </c>
      <c r="IF69" s="629">
        <f t="shared" ref="IF69:IF72" si="185">ID69+IE69</f>
        <v>23</v>
      </c>
      <c r="IG69" s="330">
        <v>0</v>
      </c>
      <c r="IH69" s="330">
        <v>0</v>
      </c>
      <c r="II69" s="629">
        <f t="shared" ref="II69:II72" si="186">IG69+IH69</f>
        <v>0</v>
      </c>
      <c r="IJ69" s="330">
        <v>74</v>
      </c>
      <c r="IK69" s="330">
        <v>0</v>
      </c>
      <c r="IL69" s="629">
        <f t="shared" ref="IL69:IL72" si="187">IJ69+IK69</f>
        <v>74</v>
      </c>
      <c r="IM69" s="330">
        <v>1</v>
      </c>
      <c r="IN69" s="330">
        <v>0</v>
      </c>
      <c r="IO69" s="629">
        <f t="shared" ref="IO69:IO72" si="188">IM69+IN69</f>
        <v>1</v>
      </c>
      <c r="IP69" s="330">
        <v>1</v>
      </c>
      <c r="IQ69" s="330">
        <v>0</v>
      </c>
      <c r="IR69" s="629">
        <f t="shared" ref="IR69:IR72" si="189">IP69+IQ69</f>
        <v>1</v>
      </c>
      <c r="IS69" s="330">
        <v>135</v>
      </c>
      <c r="IT69" s="330">
        <v>43</v>
      </c>
      <c r="IU69" s="629">
        <f t="shared" ref="IU69:IU72" si="190">IS69+IT69</f>
        <v>178</v>
      </c>
      <c r="IV69" s="330">
        <v>1</v>
      </c>
      <c r="IW69" s="330">
        <v>0</v>
      </c>
      <c r="IX69" s="629">
        <f t="shared" ref="IX69:IX72" si="191">IV69+IW69</f>
        <v>1</v>
      </c>
      <c r="IY69" s="330">
        <v>0</v>
      </c>
      <c r="IZ69" s="330">
        <v>0</v>
      </c>
      <c r="JA69" s="629">
        <f t="shared" ref="JA69:JA72" si="192">IY69+IZ69</f>
        <v>0</v>
      </c>
      <c r="JB69" s="330">
        <v>0</v>
      </c>
      <c r="JC69" s="330">
        <v>0</v>
      </c>
      <c r="JD69" s="629">
        <f t="shared" ref="JD69:JD72" si="193">JB69+JC69</f>
        <v>0</v>
      </c>
      <c r="JE69" s="330">
        <v>3913</v>
      </c>
      <c r="JF69" s="330">
        <v>925</v>
      </c>
      <c r="JG69" s="629">
        <f t="shared" ref="JG69:JG72" si="194">JE69+JF69</f>
        <v>4838</v>
      </c>
      <c r="JH69" s="330">
        <v>0</v>
      </c>
      <c r="JI69" s="330">
        <v>0</v>
      </c>
      <c r="JJ69" s="629">
        <f t="shared" ref="JJ69:JJ72" si="195">JH69+JI69</f>
        <v>0</v>
      </c>
      <c r="JK69" s="330">
        <v>0</v>
      </c>
      <c r="JL69" s="330">
        <v>0</v>
      </c>
      <c r="JM69" s="629">
        <f t="shared" ref="JM69:JM72" si="196">JK69+JL69</f>
        <v>0</v>
      </c>
      <c r="JN69" s="330">
        <v>0</v>
      </c>
      <c r="JO69" s="330">
        <v>0</v>
      </c>
      <c r="JP69" s="629">
        <f t="shared" ref="JP69:JP72" si="197">JN69+JO69</f>
        <v>0</v>
      </c>
      <c r="JQ69" s="330">
        <v>1</v>
      </c>
      <c r="JR69" s="330">
        <v>0</v>
      </c>
      <c r="JS69" s="629">
        <f t="shared" ref="JS69:JS72" si="198">JQ69+JR69</f>
        <v>1</v>
      </c>
      <c r="JT69" s="330">
        <v>1</v>
      </c>
      <c r="JU69" s="330">
        <v>0</v>
      </c>
      <c r="JV69" s="629">
        <f t="shared" ref="JV69:JV72" si="199">JT69+JU69</f>
        <v>1</v>
      </c>
      <c r="JW69" s="330">
        <v>0</v>
      </c>
      <c r="JX69" s="330">
        <v>0</v>
      </c>
      <c r="JY69" s="629">
        <f t="shared" ref="JY69:JY72" si="200">JW69+JX69</f>
        <v>0</v>
      </c>
      <c r="JZ69" s="330">
        <v>0</v>
      </c>
      <c r="KA69" s="330">
        <v>0</v>
      </c>
      <c r="KB69" s="629">
        <f t="shared" ref="KB69:KB72" si="201">JZ69+KA69</f>
        <v>0</v>
      </c>
      <c r="KC69" s="330">
        <v>0</v>
      </c>
      <c r="KD69" s="330">
        <v>0</v>
      </c>
      <c r="KE69" s="629">
        <f t="shared" ref="KE69:KE72" si="202">KC69+KD69</f>
        <v>0</v>
      </c>
      <c r="KF69" s="330">
        <v>0</v>
      </c>
      <c r="KG69" s="330">
        <v>1</v>
      </c>
      <c r="KH69" s="629">
        <f t="shared" ref="KH69:KH72" si="203">KF69+KG69</f>
        <v>1</v>
      </c>
      <c r="KI69" s="330">
        <v>0</v>
      </c>
      <c r="KJ69" s="330">
        <v>0</v>
      </c>
      <c r="KK69" s="629">
        <f t="shared" ref="KK69:KK72" si="204">KI69+KJ69</f>
        <v>0</v>
      </c>
      <c r="KL69" s="629">
        <v>0</v>
      </c>
      <c r="KM69" s="629">
        <v>0</v>
      </c>
      <c r="KN69" s="629">
        <f t="shared" ref="KN69:KN72" si="205">KL69+KM69</f>
        <v>0</v>
      </c>
      <c r="KO69" s="629">
        <v>0</v>
      </c>
      <c r="KP69" s="629">
        <v>0</v>
      </c>
      <c r="KQ69" s="629">
        <f t="shared" ref="KQ69:KQ72" si="206">KO69+KP69</f>
        <v>0</v>
      </c>
      <c r="KR69" s="629">
        <v>0</v>
      </c>
      <c r="KS69" s="629">
        <v>0</v>
      </c>
      <c r="KT69" s="629">
        <f t="shared" ref="KT69:KT72" si="207">KR69+KS69</f>
        <v>0</v>
      </c>
      <c r="KU69" s="629">
        <v>0</v>
      </c>
      <c r="KV69" s="629">
        <v>0</v>
      </c>
      <c r="KW69" s="629">
        <f t="shared" ref="KW69:KW72" si="208">KU69+KV69</f>
        <v>0</v>
      </c>
      <c r="KX69" s="629">
        <v>0</v>
      </c>
      <c r="KY69" s="629">
        <v>0</v>
      </c>
      <c r="KZ69" s="629">
        <f t="shared" ref="KZ69:KZ72" si="209">KX69+KY69</f>
        <v>0</v>
      </c>
      <c r="LA69" s="629">
        <v>0</v>
      </c>
      <c r="LB69" s="629">
        <v>0</v>
      </c>
      <c r="LC69" s="629">
        <f t="shared" ref="LC69:LC72" si="210">LA69+LB69</f>
        <v>0</v>
      </c>
      <c r="LD69" s="629">
        <v>0</v>
      </c>
      <c r="LE69" s="629">
        <v>0</v>
      </c>
      <c r="LF69" s="629">
        <f t="shared" ref="LF69:LF72" si="211">LD69+LE69</f>
        <v>0</v>
      </c>
      <c r="LG69" s="629">
        <v>0</v>
      </c>
      <c r="LH69" s="629">
        <v>0</v>
      </c>
      <c r="LI69" s="629">
        <f t="shared" ref="LI69:LI72" si="212">LG69+LH69</f>
        <v>0</v>
      </c>
      <c r="LJ69" s="330">
        <v>2</v>
      </c>
      <c r="LK69" s="330">
        <v>0</v>
      </c>
      <c r="LL69" s="697">
        <f t="shared" ref="LL69:LL72" si="213">LJ69+LK69</f>
        <v>2</v>
      </c>
    </row>
    <row r="70" spans="1:324" x14ac:dyDescent="0.35">
      <c r="A70" s="696">
        <v>4</v>
      </c>
      <c r="B70" s="387" t="s">
        <v>318</v>
      </c>
      <c r="C70" s="440" t="s">
        <v>146</v>
      </c>
      <c r="D70" s="330">
        <v>2254</v>
      </c>
      <c r="E70" s="330">
        <v>2105</v>
      </c>
      <c r="F70" s="629">
        <f t="shared" si="107"/>
        <v>4359</v>
      </c>
      <c r="G70" s="330">
        <v>1</v>
      </c>
      <c r="H70" s="330">
        <v>4426</v>
      </c>
      <c r="I70" s="629">
        <f t="shared" si="108"/>
        <v>4427</v>
      </c>
      <c r="J70" s="330">
        <v>3114</v>
      </c>
      <c r="K70" s="330">
        <v>2657</v>
      </c>
      <c r="L70" s="629">
        <f t="shared" si="109"/>
        <v>5771</v>
      </c>
      <c r="M70" s="330">
        <v>146</v>
      </c>
      <c r="N70" s="330">
        <v>62</v>
      </c>
      <c r="O70" s="629">
        <f t="shared" si="110"/>
        <v>208</v>
      </c>
      <c r="P70" s="330">
        <v>186</v>
      </c>
      <c r="Q70" s="330">
        <v>176</v>
      </c>
      <c r="R70" s="629">
        <f t="shared" si="111"/>
        <v>362</v>
      </c>
      <c r="S70" s="330">
        <v>148</v>
      </c>
      <c r="T70" s="330">
        <v>12</v>
      </c>
      <c r="U70" s="629">
        <f t="shared" si="112"/>
        <v>160</v>
      </c>
      <c r="V70" s="330">
        <v>32</v>
      </c>
      <c r="W70" s="330">
        <v>4</v>
      </c>
      <c r="X70" s="629">
        <f t="shared" si="113"/>
        <v>36</v>
      </c>
      <c r="Y70" s="330">
        <v>107</v>
      </c>
      <c r="Z70" s="330">
        <v>18</v>
      </c>
      <c r="AA70" s="629">
        <f t="shared" si="114"/>
        <v>125</v>
      </c>
      <c r="AB70" s="330">
        <v>22</v>
      </c>
      <c r="AC70" s="330">
        <v>6</v>
      </c>
      <c r="AD70" s="629">
        <f t="shared" si="115"/>
        <v>28</v>
      </c>
      <c r="AE70" s="330">
        <v>3</v>
      </c>
      <c r="AF70" s="330">
        <v>0</v>
      </c>
      <c r="AG70" s="629">
        <f t="shared" si="116"/>
        <v>3</v>
      </c>
      <c r="AH70" s="330">
        <v>0</v>
      </c>
      <c r="AI70" s="330">
        <v>0</v>
      </c>
      <c r="AJ70" s="629">
        <f t="shared" si="117"/>
        <v>0</v>
      </c>
      <c r="AK70" s="330">
        <v>6</v>
      </c>
      <c r="AL70" s="330">
        <v>1</v>
      </c>
      <c r="AM70" s="629">
        <f t="shared" si="118"/>
        <v>7</v>
      </c>
      <c r="AN70" s="330">
        <v>7</v>
      </c>
      <c r="AO70" s="330">
        <v>0</v>
      </c>
      <c r="AP70" s="629">
        <f t="shared" si="119"/>
        <v>7</v>
      </c>
      <c r="AQ70" s="330">
        <v>22</v>
      </c>
      <c r="AR70" s="330">
        <v>0</v>
      </c>
      <c r="AS70" s="629">
        <f t="shared" si="120"/>
        <v>22</v>
      </c>
      <c r="AT70" s="330">
        <v>3444</v>
      </c>
      <c r="AU70" s="330">
        <v>1850</v>
      </c>
      <c r="AV70" s="629">
        <f t="shared" si="121"/>
        <v>5294</v>
      </c>
      <c r="AW70" s="330">
        <v>57</v>
      </c>
      <c r="AX70" s="330">
        <v>31</v>
      </c>
      <c r="AY70" s="629">
        <f t="shared" si="122"/>
        <v>88</v>
      </c>
      <c r="AZ70" s="330">
        <v>2</v>
      </c>
      <c r="BA70" s="330">
        <v>3</v>
      </c>
      <c r="BB70" s="629">
        <f t="shared" si="123"/>
        <v>5</v>
      </c>
      <c r="BC70" s="330">
        <v>12</v>
      </c>
      <c r="BD70" s="330">
        <v>14</v>
      </c>
      <c r="BE70" s="629">
        <f t="shared" si="124"/>
        <v>26</v>
      </c>
      <c r="BF70" s="330">
        <v>370</v>
      </c>
      <c r="BG70" s="330">
        <v>13</v>
      </c>
      <c r="BH70" s="629">
        <f t="shared" si="125"/>
        <v>383</v>
      </c>
      <c r="BI70" s="330">
        <v>7</v>
      </c>
      <c r="BJ70" s="330">
        <v>2</v>
      </c>
      <c r="BK70" s="629">
        <f t="shared" si="126"/>
        <v>9</v>
      </c>
      <c r="BL70" s="330">
        <v>1</v>
      </c>
      <c r="BM70" s="330">
        <v>0</v>
      </c>
      <c r="BN70" s="629">
        <f t="shared" si="127"/>
        <v>1</v>
      </c>
      <c r="BO70" s="330">
        <v>0</v>
      </c>
      <c r="BP70" s="330">
        <v>0</v>
      </c>
      <c r="BQ70" s="629">
        <f t="shared" si="128"/>
        <v>0</v>
      </c>
      <c r="BR70" s="330">
        <v>0</v>
      </c>
      <c r="BS70" s="330">
        <v>3</v>
      </c>
      <c r="BT70" s="629">
        <f t="shared" si="129"/>
        <v>3</v>
      </c>
      <c r="BU70" s="330">
        <v>0</v>
      </c>
      <c r="BV70" s="330">
        <v>0</v>
      </c>
      <c r="BW70" s="629">
        <f t="shared" si="130"/>
        <v>0</v>
      </c>
      <c r="BX70" s="330">
        <v>1</v>
      </c>
      <c r="BY70" s="330">
        <v>0</v>
      </c>
      <c r="BZ70" s="629">
        <f t="shared" si="131"/>
        <v>1</v>
      </c>
      <c r="CA70" s="330">
        <v>1</v>
      </c>
      <c r="CB70" s="330">
        <v>0</v>
      </c>
      <c r="CC70" s="629">
        <f t="shared" si="132"/>
        <v>1</v>
      </c>
      <c r="CD70" s="330">
        <v>2</v>
      </c>
      <c r="CE70" s="330">
        <v>0</v>
      </c>
      <c r="CF70" s="629">
        <f t="shared" si="133"/>
        <v>2</v>
      </c>
      <c r="CG70" s="330">
        <v>0</v>
      </c>
      <c r="CH70" s="330">
        <v>0</v>
      </c>
      <c r="CI70" s="629">
        <f t="shared" si="134"/>
        <v>0</v>
      </c>
      <c r="CJ70" s="330">
        <v>0</v>
      </c>
      <c r="CK70" s="330">
        <v>0</v>
      </c>
      <c r="CL70" s="629">
        <f t="shared" si="135"/>
        <v>0</v>
      </c>
      <c r="CM70" s="330">
        <v>3</v>
      </c>
      <c r="CN70" s="330">
        <v>1</v>
      </c>
      <c r="CO70" s="629">
        <f t="shared" si="136"/>
        <v>4</v>
      </c>
      <c r="CP70" s="330">
        <v>0</v>
      </c>
      <c r="CQ70" s="330">
        <v>0</v>
      </c>
      <c r="CR70" s="629">
        <f t="shared" si="137"/>
        <v>0</v>
      </c>
      <c r="CS70" s="330">
        <v>0</v>
      </c>
      <c r="CT70" s="330">
        <v>1</v>
      </c>
      <c r="CU70" s="629">
        <f t="shared" si="138"/>
        <v>1</v>
      </c>
      <c r="CV70" s="330">
        <v>0</v>
      </c>
      <c r="CW70" s="330">
        <v>0</v>
      </c>
      <c r="CX70" s="629">
        <f t="shared" si="139"/>
        <v>0</v>
      </c>
      <c r="CY70" s="330">
        <v>0</v>
      </c>
      <c r="CZ70" s="330">
        <v>1</v>
      </c>
      <c r="DA70" s="629">
        <f t="shared" si="140"/>
        <v>1</v>
      </c>
      <c r="DB70" s="330">
        <v>7</v>
      </c>
      <c r="DC70" s="330">
        <v>0</v>
      </c>
      <c r="DD70" s="629">
        <f t="shared" si="141"/>
        <v>7</v>
      </c>
      <c r="DE70" s="330">
        <v>7</v>
      </c>
      <c r="DF70" s="330">
        <v>1</v>
      </c>
      <c r="DG70" s="629">
        <f t="shared" si="142"/>
        <v>8</v>
      </c>
      <c r="DH70" s="330">
        <v>0</v>
      </c>
      <c r="DI70" s="330">
        <v>0</v>
      </c>
      <c r="DJ70" s="629">
        <f t="shared" si="143"/>
        <v>0</v>
      </c>
      <c r="DK70" s="330">
        <v>0</v>
      </c>
      <c r="DL70" s="330">
        <v>0</v>
      </c>
      <c r="DM70" s="629">
        <f t="shared" si="144"/>
        <v>0</v>
      </c>
      <c r="DN70" s="330">
        <v>0</v>
      </c>
      <c r="DO70" s="330">
        <v>0</v>
      </c>
      <c r="DP70" s="629">
        <f t="shared" si="145"/>
        <v>0</v>
      </c>
      <c r="DQ70" s="330">
        <v>0</v>
      </c>
      <c r="DR70" s="330">
        <v>0</v>
      </c>
      <c r="DS70" s="629">
        <f t="shared" si="146"/>
        <v>0</v>
      </c>
      <c r="DT70" s="330">
        <v>0</v>
      </c>
      <c r="DU70" s="330">
        <v>0</v>
      </c>
      <c r="DV70" s="629">
        <f t="shared" si="147"/>
        <v>0</v>
      </c>
      <c r="DW70" s="330">
        <v>1</v>
      </c>
      <c r="DX70" s="330">
        <v>0</v>
      </c>
      <c r="DY70" s="629">
        <f t="shared" si="148"/>
        <v>1</v>
      </c>
      <c r="DZ70" s="330">
        <v>0</v>
      </c>
      <c r="EA70" s="330">
        <v>0</v>
      </c>
      <c r="EB70" s="629">
        <f t="shared" si="149"/>
        <v>0</v>
      </c>
      <c r="EC70" s="330">
        <v>5</v>
      </c>
      <c r="ED70" s="330">
        <v>4</v>
      </c>
      <c r="EE70" s="629">
        <f t="shared" si="150"/>
        <v>9</v>
      </c>
      <c r="EF70" s="330">
        <v>1</v>
      </c>
      <c r="EG70" s="330">
        <v>0</v>
      </c>
      <c r="EH70" s="629">
        <f t="shared" si="151"/>
        <v>1</v>
      </c>
      <c r="EI70" s="330">
        <v>0</v>
      </c>
      <c r="EJ70" s="330">
        <v>0</v>
      </c>
      <c r="EK70" s="629">
        <f t="shared" si="152"/>
        <v>0</v>
      </c>
      <c r="EL70" s="330">
        <v>0</v>
      </c>
      <c r="EM70" s="330">
        <v>0</v>
      </c>
      <c r="EN70" s="629">
        <f t="shared" si="153"/>
        <v>0</v>
      </c>
      <c r="EO70" s="330">
        <v>1</v>
      </c>
      <c r="EP70" s="330">
        <v>0</v>
      </c>
      <c r="EQ70" s="629">
        <f t="shared" si="154"/>
        <v>1</v>
      </c>
      <c r="ER70" s="330">
        <v>0</v>
      </c>
      <c r="ES70" s="330">
        <v>0</v>
      </c>
      <c r="ET70" s="629">
        <f t="shared" si="155"/>
        <v>0</v>
      </c>
      <c r="EU70" s="330">
        <v>0</v>
      </c>
      <c r="EV70" s="330">
        <v>0</v>
      </c>
      <c r="EW70" s="629">
        <f t="shared" si="156"/>
        <v>0</v>
      </c>
      <c r="EX70" s="330">
        <v>0</v>
      </c>
      <c r="EY70" s="330">
        <v>0</v>
      </c>
      <c r="EZ70" s="629">
        <f t="shared" si="157"/>
        <v>0</v>
      </c>
      <c r="FA70" s="330">
        <v>0</v>
      </c>
      <c r="FB70" s="330">
        <v>0</v>
      </c>
      <c r="FC70" s="629">
        <f t="shared" si="158"/>
        <v>0</v>
      </c>
      <c r="FD70" s="330">
        <v>0</v>
      </c>
      <c r="FE70" s="330">
        <v>0</v>
      </c>
      <c r="FF70" s="629">
        <f t="shared" si="159"/>
        <v>0</v>
      </c>
      <c r="FG70" s="330">
        <v>0</v>
      </c>
      <c r="FH70" s="330">
        <v>0</v>
      </c>
      <c r="FI70" s="629">
        <f t="shared" si="160"/>
        <v>0</v>
      </c>
      <c r="FJ70" s="330">
        <v>0</v>
      </c>
      <c r="FK70" s="330">
        <v>0</v>
      </c>
      <c r="FL70" s="629">
        <f t="shared" si="161"/>
        <v>0</v>
      </c>
      <c r="FM70" s="330">
        <v>0</v>
      </c>
      <c r="FN70" s="330">
        <v>0</v>
      </c>
      <c r="FO70" s="629">
        <f t="shared" si="162"/>
        <v>0</v>
      </c>
      <c r="FP70" s="330">
        <v>0</v>
      </c>
      <c r="FQ70" s="330">
        <v>0</v>
      </c>
      <c r="FR70" s="629">
        <f t="shared" si="163"/>
        <v>0</v>
      </c>
      <c r="FS70" s="330">
        <v>0</v>
      </c>
      <c r="FT70" s="330">
        <v>0</v>
      </c>
      <c r="FU70" s="629">
        <f t="shared" si="164"/>
        <v>0</v>
      </c>
      <c r="FV70" s="330">
        <v>0</v>
      </c>
      <c r="FW70" s="330">
        <v>0</v>
      </c>
      <c r="FX70" s="629">
        <f t="shared" si="165"/>
        <v>0</v>
      </c>
      <c r="FY70" s="330">
        <v>0</v>
      </c>
      <c r="FZ70" s="330">
        <v>0</v>
      </c>
      <c r="GA70" s="629">
        <f t="shared" si="166"/>
        <v>0</v>
      </c>
      <c r="GB70" s="330">
        <v>0</v>
      </c>
      <c r="GC70" s="330">
        <v>0</v>
      </c>
      <c r="GD70" s="629">
        <f t="shared" si="167"/>
        <v>0</v>
      </c>
      <c r="GE70" s="330">
        <v>0</v>
      </c>
      <c r="GF70" s="330">
        <v>0</v>
      </c>
      <c r="GG70" s="629">
        <f t="shared" si="168"/>
        <v>0</v>
      </c>
      <c r="GH70" s="330">
        <v>0</v>
      </c>
      <c r="GI70" s="330">
        <v>0</v>
      </c>
      <c r="GJ70" s="629">
        <f t="shared" si="169"/>
        <v>0</v>
      </c>
      <c r="GK70" s="330">
        <v>17</v>
      </c>
      <c r="GL70" s="330">
        <v>11</v>
      </c>
      <c r="GM70" s="629">
        <f t="shared" si="170"/>
        <v>28</v>
      </c>
      <c r="GN70" s="330">
        <v>58</v>
      </c>
      <c r="GO70" s="330">
        <v>159</v>
      </c>
      <c r="GP70" s="629">
        <f t="shared" si="171"/>
        <v>217</v>
      </c>
      <c r="GQ70" s="330">
        <v>6</v>
      </c>
      <c r="GR70" s="330">
        <v>1</v>
      </c>
      <c r="GS70" s="629">
        <f t="shared" si="172"/>
        <v>7</v>
      </c>
      <c r="GT70" s="330">
        <v>7</v>
      </c>
      <c r="GU70" s="330">
        <v>1</v>
      </c>
      <c r="GV70" s="629">
        <f t="shared" si="173"/>
        <v>8</v>
      </c>
      <c r="GW70" s="330">
        <v>1</v>
      </c>
      <c r="GX70" s="330">
        <v>1</v>
      </c>
      <c r="GY70" s="629">
        <f t="shared" si="174"/>
        <v>2</v>
      </c>
      <c r="GZ70" s="330">
        <v>3</v>
      </c>
      <c r="HA70" s="330">
        <v>0</v>
      </c>
      <c r="HB70" s="629">
        <f t="shared" si="175"/>
        <v>3</v>
      </c>
      <c r="HC70" s="330">
        <v>0</v>
      </c>
      <c r="HD70" s="330">
        <v>0</v>
      </c>
      <c r="HE70" s="629">
        <f t="shared" si="176"/>
        <v>0</v>
      </c>
      <c r="HF70" s="330">
        <v>2</v>
      </c>
      <c r="HG70" s="330">
        <v>1</v>
      </c>
      <c r="HH70" s="629">
        <f t="shared" si="177"/>
        <v>3</v>
      </c>
      <c r="HI70" s="330">
        <v>9</v>
      </c>
      <c r="HJ70" s="330">
        <v>45</v>
      </c>
      <c r="HK70" s="629">
        <f t="shared" si="178"/>
        <v>54</v>
      </c>
      <c r="HL70" s="330">
        <v>0</v>
      </c>
      <c r="HM70" s="330">
        <v>11</v>
      </c>
      <c r="HN70" s="629">
        <f t="shared" si="179"/>
        <v>11</v>
      </c>
      <c r="HO70" s="330">
        <v>3</v>
      </c>
      <c r="HP70" s="330">
        <v>20</v>
      </c>
      <c r="HQ70" s="629">
        <f t="shared" si="180"/>
        <v>23</v>
      </c>
      <c r="HR70" s="330">
        <v>1</v>
      </c>
      <c r="HS70" s="330">
        <v>2</v>
      </c>
      <c r="HT70" s="629">
        <f t="shared" si="181"/>
        <v>3</v>
      </c>
      <c r="HU70" s="330">
        <v>0</v>
      </c>
      <c r="HV70" s="330">
        <v>1</v>
      </c>
      <c r="HW70" s="629">
        <f t="shared" si="182"/>
        <v>1</v>
      </c>
      <c r="HX70" s="330">
        <v>0</v>
      </c>
      <c r="HY70" s="330">
        <v>1</v>
      </c>
      <c r="HZ70" s="629">
        <f t="shared" si="183"/>
        <v>1</v>
      </c>
      <c r="IA70" s="330">
        <v>0</v>
      </c>
      <c r="IB70" s="330">
        <v>0</v>
      </c>
      <c r="IC70" s="629">
        <f t="shared" si="184"/>
        <v>0</v>
      </c>
      <c r="ID70" s="330">
        <v>7</v>
      </c>
      <c r="IE70" s="330">
        <v>0</v>
      </c>
      <c r="IF70" s="629">
        <f t="shared" si="185"/>
        <v>7</v>
      </c>
      <c r="IG70" s="330">
        <v>0</v>
      </c>
      <c r="IH70" s="330">
        <v>0</v>
      </c>
      <c r="II70" s="629">
        <f t="shared" si="186"/>
        <v>0</v>
      </c>
      <c r="IJ70" s="330">
        <v>51</v>
      </c>
      <c r="IK70" s="330">
        <v>0</v>
      </c>
      <c r="IL70" s="629">
        <f t="shared" si="187"/>
        <v>51</v>
      </c>
      <c r="IM70" s="330">
        <v>0</v>
      </c>
      <c r="IN70" s="330">
        <v>0</v>
      </c>
      <c r="IO70" s="629">
        <f t="shared" si="188"/>
        <v>0</v>
      </c>
      <c r="IP70" s="330">
        <v>0</v>
      </c>
      <c r="IQ70" s="330">
        <v>0</v>
      </c>
      <c r="IR70" s="629">
        <f t="shared" si="189"/>
        <v>0</v>
      </c>
      <c r="IS70" s="330">
        <v>69</v>
      </c>
      <c r="IT70" s="330">
        <v>21</v>
      </c>
      <c r="IU70" s="629">
        <f t="shared" si="190"/>
        <v>90</v>
      </c>
      <c r="IV70" s="330">
        <v>0</v>
      </c>
      <c r="IW70" s="330">
        <v>0</v>
      </c>
      <c r="IX70" s="629">
        <f t="shared" si="191"/>
        <v>0</v>
      </c>
      <c r="IY70" s="330">
        <v>0</v>
      </c>
      <c r="IZ70" s="330">
        <v>0</v>
      </c>
      <c r="JA70" s="629">
        <f t="shared" si="192"/>
        <v>0</v>
      </c>
      <c r="JB70" s="330">
        <v>0</v>
      </c>
      <c r="JC70" s="330">
        <v>0</v>
      </c>
      <c r="JD70" s="629">
        <f t="shared" si="193"/>
        <v>0</v>
      </c>
      <c r="JE70" s="330">
        <v>1602</v>
      </c>
      <c r="JF70" s="330">
        <v>331</v>
      </c>
      <c r="JG70" s="629">
        <f t="shared" si="194"/>
        <v>1933</v>
      </c>
      <c r="JH70" s="330">
        <v>1</v>
      </c>
      <c r="JI70" s="330">
        <v>0</v>
      </c>
      <c r="JJ70" s="629">
        <f t="shared" si="195"/>
        <v>1</v>
      </c>
      <c r="JK70" s="330">
        <v>0</v>
      </c>
      <c r="JL70" s="330">
        <v>0</v>
      </c>
      <c r="JM70" s="629">
        <f t="shared" si="196"/>
        <v>0</v>
      </c>
      <c r="JN70" s="330">
        <v>0</v>
      </c>
      <c r="JO70" s="330">
        <v>0</v>
      </c>
      <c r="JP70" s="629">
        <f t="shared" si="197"/>
        <v>0</v>
      </c>
      <c r="JQ70" s="330">
        <v>0</v>
      </c>
      <c r="JR70" s="330">
        <v>0</v>
      </c>
      <c r="JS70" s="629">
        <f t="shared" si="198"/>
        <v>0</v>
      </c>
      <c r="JT70" s="330">
        <v>0</v>
      </c>
      <c r="JU70" s="330">
        <v>0</v>
      </c>
      <c r="JV70" s="629">
        <f t="shared" si="199"/>
        <v>0</v>
      </c>
      <c r="JW70" s="330">
        <v>0</v>
      </c>
      <c r="JX70" s="330">
        <v>0</v>
      </c>
      <c r="JY70" s="629">
        <f t="shared" si="200"/>
        <v>0</v>
      </c>
      <c r="JZ70" s="330">
        <v>0</v>
      </c>
      <c r="KA70" s="330">
        <v>0</v>
      </c>
      <c r="KB70" s="629">
        <f t="shared" si="201"/>
        <v>0</v>
      </c>
      <c r="KC70" s="330">
        <v>0</v>
      </c>
      <c r="KD70" s="330">
        <v>0</v>
      </c>
      <c r="KE70" s="629">
        <f t="shared" si="202"/>
        <v>0</v>
      </c>
      <c r="KF70" s="330">
        <v>0</v>
      </c>
      <c r="KG70" s="330">
        <v>0</v>
      </c>
      <c r="KH70" s="629">
        <f t="shared" si="203"/>
        <v>0</v>
      </c>
      <c r="KI70" s="330">
        <v>0</v>
      </c>
      <c r="KJ70" s="330">
        <v>0</v>
      </c>
      <c r="KK70" s="629">
        <f t="shared" si="204"/>
        <v>0</v>
      </c>
      <c r="KL70" s="629">
        <v>0</v>
      </c>
      <c r="KM70" s="629">
        <v>0</v>
      </c>
      <c r="KN70" s="629">
        <f t="shared" si="205"/>
        <v>0</v>
      </c>
      <c r="KO70" s="629">
        <v>0</v>
      </c>
      <c r="KP70" s="629">
        <v>0</v>
      </c>
      <c r="KQ70" s="629">
        <f t="shared" si="206"/>
        <v>0</v>
      </c>
      <c r="KR70" s="629">
        <v>0</v>
      </c>
      <c r="KS70" s="629">
        <v>0</v>
      </c>
      <c r="KT70" s="629">
        <f t="shared" si="207"/>
        <v>0</v>
      </c>
      <c r="KU70" s="629">
        <v>0</v>
      </c>
      <c r="KV70" s="629">
        <v>0</v>
      </c>
      <c r="KW70" s="629">
        <f t="shared" si="208"/>
        <v>0</v>
      </c>
      <c r="KX70" s="629">
        <v>0</v>
      </c>
      <c r="KY70" s="629">
        <v>0</v>
      </c>
      <c r="KZ70" s="629">
        <f t="shared" si="209"/>
        <v>0</v>
      </c>
      <c r="LA70" s="629">
        <v>0</v>
      </c>
      <c r="LB70" s="629">
        <v>0</v>
      </c>
      <c r="LC70" s="629">
        <f t="shared" si="210"/>
        <v>0</v>
      </c>
      <c r="LD70" s="629">
        <v>0</v>
      </c>
      <c r="LE70" s="629">
        <v>0</v>
      </c>
      <c r="LF70" s="629">
        <f t="shared" si="211"/>
        <v>0</v>
      </c>
      <c r="LG70" s="629">
        <v>0</v>
      </c>
      <c r="LH70" s="629">
        <v>0</v>
      </c>
      <c r="LI70" s="629">
        <f t="shared" si="212"/>
        <v>0</v>
      </c>
      <c r="LJ70" s="330">
        <v>0</v>
      </c>
      <c r="LK70" s="330">
        <v>0</v>
      </c>
      <c r="LL70" s="697">
        <f t="shared" si="213"/>
        <v>0</v>
      </c>
    </row>
    <row r="71" spans="1:324" x14ac:dyDescent="0.35">
      <c r="A71" s="696">
        <v>4</v>
      </c>
      <c r="B71" s="387" t="s">
        <v>319</v>
      </c>
      <c r="C71" s="440" t="s">
        <v>149</v>
      </c>
      <c r="D71" s="330">
        <v>1992</v>
      </c>
      <c r="E71" s="330">
        <v>1847</v>
      </c>
      <c r="F71" s="629">
        <f t="shared" si="107"/>
        <v>3839</v>
      </c>
      <c r="G71" s="330">
        <v>0</v>
      </c>
      <c r="H71" s="330">
        <v>3823</v>
      </c>
      <c r="I71" s="629">
        <f t="shared" si="108"/>
        <v>3823</v>
      </c>
      <c r="J71" s="330">
        <v>3152</v>
      </c>
      <c r="K71" s="330">
        <v>2683</v>
      </c>
      <c r="L71" s="629">
        <f t="shared" si="109"/>
        <v>5835</v>
      </c>
      <c r="M71" s="330">
        <v>174</v>
      </c>
      <c r="N71" s="330">
        <v>79</v>
      </c>
      <c r="O71" s="629">
        <f t="shared" si="110"/>
        <v>253</v>
      </c>
      <c r="P71" s="330">
        <v>221</v>
      </c>
      <c r="Q71" s="330">
        <v>164</v>
      </c>
      <c r="R71" s="629">
        <f t="shared" si="111"/>
        <v>385</v>
      </c>
      <c r="S71" s="330">
        <v>69</v>
      </c>
      <c r="T71" s="330">
        <v>7</v>
      </c>
      <c r="U71" s="629">
        <f t="shared" si="112"/>
        <v>76</v>
      </c>
      <c r="V71" s="330">
        <v>34</v>
      </c>
      <c r="W71" s="330">
        <v>9</v>
      </c>
      <c r="X71" s="629">
        <f t="shared" si="113"/>
        <v>43</v>
      </c>
      <c r="Y71" s="330">
        <v>28</v>
      </c>
      <c r="Z71" s="330">
        <v>9</v>
      </c>
      <c r="AA71" s="629">
        <f t="shared" si="114"/>
        <v>37</v>
      </c>
      <c r="AB71" s="330">
        <v>13</v>
      </c>
      <c r="AC71" s="330">
        <v>3</v>
      </c>
      <c r="AD71" s="629">
        <f t="shared" si="115"/>
        <v>16</v>
      </c>
      <c r="AE71" s="330">
        <v>0</v>
      </c>
      <c r="AF71" s="330">
        <v>0</v>
      </c>
      <c r="AG71" s="629">
        <f t="shared" si="116"/>
        <v>0</v>
      </c>
      <c r="AH71" s="330">
        <v>0</v>
      </c>
      <c r="AI71" s="330">
        <v>0</v>
      </c>
      <c r="AJ71" s="629">
        <f t="shared" si="117"/>
        <v>0</v>
      </c>
      <c r="AK71" s="330">
        <v>5</v>
      </c>
      <c r="AL71" s="330">
        <v>1</v>
      </c>
      <c r="AM71" s="629">
        <f t="shared" si="118"/>
        <v>6</v>
      </c>
      <c r="AN71" s="330">
        <v>1</v>
      </c>
      <c r="AO71" s="330">
        <v>0</v>
      </c>
      <c r="AP71" s="629">
        <f t="shared" si="119"/>
        <v>1</v>
      </c>
      <c r="AQ71" s="330">
        <v>9</v>
      </c>
      <c r="AR71" s="330">
        <v>0</v>
      </c>
      <c r="AS71" s="629">
        <f t="shared" si="120"/>
        <v>9</v>
      </c>
      <c r="AT71" s="330">
        <v>3453</v>
      </c>
      <c r="AU71" s="330">
        <v>1905</v>
      </c>
      <c r="AV71" s="629">
        <f t="shared" si="121"/>
        <v>5358</v>
      </c>
      <c r="AW71" s="330">
        <v>126</v>
      </c>
      <c r="AX71" s="330">
        <v>62</v>
      </c>
      <c r="AY71" s="629">
        <f t="shared" si="122"/>
        <v>188</v>
      </c>
      <c r="AZ71" s="330">
        <v>3</v>
      </c>
      <c r="BA71" s="330">
        <v>4</v>
      </c>
      <c r="BB71" s="629">
        <f t="shared" si="123"/>
        <v>7</v>
      </c>
      <c r="BC71" s="330">
        <v>11</v>
      </c>
      <c r="BD71" s="330">
        <v>6</v>
      </c>
      <c r="BE71" s="629">
        <f t="shared" si="124"/>
        <v>17</v>
      </c>
      <c r="BF71" s="330">
        <v>324</v>
      </c>
      <c r="BG71" s="330">
        <v>14</v>
      </c>
      <c r="BH71" s="629">
        <f t="shared" si="125"/>
        <v>338</v>
      </c>
      <c r="BI71" s="330">
        <v>3</v>
      </c>
      <c r="BJ71" s="330">
        <v>0</v>
      </c>
      <c r="BK71" s="629">
        <f t="shared" si="126"/>
        <v>3</v>
      </c>
      <c r="BL71" s="330">
        <v>2</v>
      </c>
      <c r="BM71" s="330">
        <v>0</v>
      </c>
      <c r="BN71" s="629">
        <f t="shared" si="127"/>
        <v>2</v>
      </c>
      <c r="BO71" s="330">
        <v>0</v>
      </c>
      <c r="BP71" s="330">
        <v>0</v>
      </c>
      <c r="BQ71" s="629">
        <f t="shared" si="128"/>
        <v>0</v>
      </c>
      <c r="BR71" s="330">
        <v>0</v>
      </c>
      <c r="BS71" s="330">
        <v>5</v>
      </c>
      <c r="BT71" s="629">
        <f t="shared" si="129"/>
        <v>5</v>
      </c>
      <c r="BU71" s="330">
        <v>0</v>
      </c>
      <c r="BV71" s="330">
        <v>0</v>
      </c>
      <c r="BW71" s="629">
        <f t="shared" si="130"/>
        <v>0</v>
      </c>
      <c r="BX71" s="330">
        <v>0</v>
      </c>
      <c r="BY71" s="330">
        <v>0</v>
      </c>
      <c r="BZ71" s="629">
        <f t="shared" si="131"/>
        <v>0</v>
      </c>
      <c r="CA71" s="330">
        <v>0</v>
      </c>
      <c r="CB71" s="330">
        <v>0</v>
      </c>
      <c r="CC71" s="629">
        <f t="shared" si="132"/>
        <v>0</v>
      </c>
      <c r="CD71" s="330">
        <v>0</v>
      </c>
      <c r="CE71" s="330">
        <v>0</v>
      </c>
      <c r="CF71" s="629">
        <f t="shared" si="133"/>
        <v>0</v>
      </c>
      <c r="CG71" s="330">
        <v>0</v>
      </c>
      <c r="CH71" s="330">
        <v>0</v>
      </c>
      <c r="CI71" s="629">
        <f t="shared" si="134"/>
        <v>0</v>
      </c>
      <c r="CJ71" s="330">
        <v>1</v>
      </c>
      <c r="CK71" s="330">
        <v>0</v>
      </c>
      <c r="CL71" s="629">
        <f t="shared" si="135"/>
        <v>1</v>
      </c>
      <c r="CM71" s="330">
        <v>2</v>
      </c>
      <c r="CN71" s="330">
        <v>1</v>
      </c>
      <c r="CO71" s="629">
        <f t="shared" si="136"/>
        <v>3</v>
      </c>
      <c r="CP71" s="330">
        <v>0</v>
      </c>
      <c r="CQ71" s="330">
        <v>0</v>
      </c>
      <c r="CR71" s="629">
        <f t="shared" si="137"/>
        <v>0</v>
      </c>
      <c r="CS71" s="330">
        <v>0</v>
      </c>
      <c r="CT71" s="330">
        <v>1</v>
      </c>
      <c r="CU71" s="629">
        <f t="shared" si="138"/>
        <v>1</v>
      </c>
      <c r="CV71" s="330">
        <v>0</v>
      </c>
      <c r="CW71" s="330">
        <v>0</v>
      </c>
      <c r="CX71" s="629">
        <f t="shared" si="139"/>
        <v>0</v>
      </c>
      <c r="CY71" s="330">
        <v>0</v>
      </c>
      <c r="CZ71" s="330">
        <v>0</v>
      </c>
      <c r="DA71" s="629">
        <f t="shared" si="140"/>
        <v>0</v>
      </c>
      <c r="DB71" s="330">
        <v>2</v>
      </c>
      <c r="DC71" s="330">
        <v>0</v>
      </c>
      <c r="DD71" s="629">
        <f t="shared" si="141"/>
        <v>2</v>
      </c>
      <c r="DE71" s="330">
        <v>3</v>
      </c>
      <c r="DF71" s="330">
        <v>1</v>
      </c>
      <c r="DG71" s="629">
        <f t="shared" si="142"/>
        <v>4</v>
      </c>
      <c r="DH71" s="330">
        <v>0</v>
      </c>
      <c r="DI71" s="330">
        <v>0</v>
      </c>
      <c r="DJ71" s="629">
        <f t="shared" si="143"/>
        <v>0</v>
      </c>
      <c r="DK71" s="330">
        <v>0</v>
      </c>
      <c r="DL71" s="330">
        <v>0</v>
      </c>
      <c r="DM71" s="629">
        <f t="shared" si="144"/>
        <v>0</v>
      </c>
      <c r="DN71" s="330">
        <v>0</v>
      </c>
      <c r="DO71" s="330">
        <v>0</v>
      </c>
      <c r="DP71" s="629">
        <f t="shared" si="145"/>
        <v>0</v>
      </c>
      <c r="DQ71" s="330">
        <v>0</v>
      </c>
      <c r="DR71" s="330">
        <v>1</v>
      </c>
      <c r="DS71" s="629">
        <f t="shared" si="146"/>
        <v>1</v>
      </c>
      <c r="DT71" s="330">
        <v>0</v>
      </c>
      <c r="DU71" s="330">
        <v>0</v>
      </c>
      <c r="DV71" s="629">
        <f t="shared" si="147"/>
        <v>0</v>
      </c>
      <c r="DW71" s="330">
        <v>5</v>
      </c>
      <c r="DX71" s="330">
        <v>0</v>
      </c>
      <c r="DY71" s="629">
        <f t="shared" si="148"/>
        <v>5</v>
      </c>
      <c r="DZ71" s="330">
        <v>0</v>
      </c>
      <c r="EA71" s="330">
        <v>0</v>
      </c>
      <c r="EB71" s="629">
        <f t="shared" si="149"/>
        <v>0</v>
      </c>
      <c r="EC71" s="330">
        <v>15</v>
      </c>
      <c r="ED71" s="330">
        <v>2</v>
      </c>
      <c r="EE71" s="629">
        <f t="shared" si="150"/>
        <v>17</v>
      </c>
      <c r="EF71" s="330">
        <v>1</v>
      </c>
      <c r="EG71" s="330">
        <v>0</v>
      </c>
      <c r="EH71" s="629">
        <f t="shared" si="151"/>
        <v>1</v>
      </c>
      <c r="EI71" s="330">
        <v>0</v>
      </c>
      <c r="EJ71" s="330">
        <v>0</v>
      </c>
      <c r="EK71" s="629">
        <f t="shared" si="152"/>
        <v>0</v>
      </c>
      <c r="EL71" s="330">
        <v>0</v>
      </c>
      <c r="EM71" s="330">
        <v>0</v>
      </c>
      <c r="EN71" s="629">
        <f t="shared" si="153"/>
        <v>0</v>
      </c>
      <c r="EO71" s="330">
        <v>0</v>
      </c>
      <c r="EP71" s="330">
        <v>1</v>
      </c>
      <c r="EQ71" s="629">
        <f t="shared" si="154"/>
        <v>1</v>
      </c>
      <c r="ER71" s="330">
        <v>0</v>
      </c>
      <c r="ES71" s="330">
        <v>0</v>
      </c>
      <c r="ET71" s="629">
        <f t="shared" si="155"/>
        <v>0</v>
      </c>
      <c r="EU71" s="330">
        <v>0</v>
      </c>
      <c r="EV71" s="330">
        <v>0</v>
      </c>
      <c r="EW71" s="629">
        <f t="shared" si="156"/>
        <v>0</v>
      </c>
      <c r="EX71" s="330">
        <v>0</v>
      </c>
      <c r="EY71" s="330">
        <v>0</v>
      </c>
      <c r="EZ71" s="629">
        <f t="shared" si="157"/>
        <v>0</v>
      </c>
      <c r="FA71" s="330">
        <v>0</v>
      </c>
      <c r="FB71" s="330">
        <v>0</v>
      </c>
      <c r="FC71" s="629">
        <f t="shared" si="158"/>
        <v>0</v>
      </c>
      <c r="FD71" s="330">
        <v>0</v>
      </c>
      <c r="FE71" s="330">
        <v>0</v>
      </c>
      <c r="FF71" s="629">
        <f t="shared" si="159"/>
        <v>0</v>
      </c>
      <c r="FG71" s="330">
        <v>0</v>
      </c>
      <c r="FH71" s="330">
        <v>0</v>
      </c>
      <c r="FI71" s="629">
        <f t="shared" si="160"/>
        <v>0</v>
      </c>
      <c r="FJ71" s="330">
        <v>0</v>
      </c>
      <c r="FK71" s="330">
        <v>0</v>
      </c>
      <c r="FL71" s="629">
        <f t="shared" si="161"/>
        <v>0</v>
      </c>
      <c r="FM71" s="330">
        <v>0</v>
      </c>
      <c r="FN71" s="330">
        <v>0</v>
      </c>
      <c r="FO71" s="629">
        <f t="shared" si="162"/>
        <v>0</v>
      </c>
      <c r="FP71" s="330">
        <v>0</v>
      </c>
      <c r="FQ71" s="330">
        <v>0</v>
      </c>
      <c r="FR71" s="629">
        <f t="shared" si="163"/>
        <v>0</v>
      </c>
      <c r="FS71" s="330">
        <v>0</v>
      </c>
      <c r="FT71" s="330">
        <v>0</v>
      </c>
      <c r="FU71" s="629">
        <f t="shared" si="164"/>
        <v>0</v>
      </c>
      <c r="FV71" s="330">
        <v>0</v>
      </c>
      <c r="FW71" s="330">
        <v>0</v>
      </c>
      <c r="FX71" s="629">
        <f t="shared" si="165"/>
        <v>0</v>
      </c>
      <c r="FY71" s="330">
        <v>0</v>
      </c>
      <c r="FZ71" s="330">
        <v>0</v>
      </c>
      <c r="GA71" s="629">
        <f t="shared" si="166"/>
        <v>0</v>
      </c>
      <c r="GB71" s="330">
        <v>0</v>
      </c>
      <c r="GC71" s="330">
        <v>0</v>
      </c>
      <c r="GD71" s="629">
        <f t="shared" si="167"/>
        <v>0</v>
      </c>
      <c r="GE71" s="330">
        <v>0</v>
      </c>
      <c r="GF71" s="330">
        <v>0</v>
      </c>
      <c r="GG71" s="629">
        <f t="shared" si="168"/>
        <v>0</v>
      </c>
      <c r="GH71" s="330">
        <v>1</v>
      </c>
      <c r="GI71" s="330">
        <v>0</v>
      </c>
      <c r="GJ71" s="629">
        <f t="shared" si="169"/>
        <v>1</v>
      </c>
      <c r="GK71" s="330">
        <v>14</v>
      </c>
      <c r="GL71" s="330">
        <v>13</v>
      </c>
      <c r="GM71" s="629">
        <f t="shared" si="170"/>
        <v>27</v>
      </c>
      <c r="GN71" s="330">
        <v>63</v>
      </c>
      <c r="GO71" s="330">
        <v>190</v>
      </c>
      <c r="GP71" s="629">
        <f t="shared" si="171"/>
        <v>253</v>
      </c>
      <c r="GQ71" s="330">
        <v>17</v>
      </c>
      <c r="GR71" s="330">
        <v>0</v>
      </c>
      <c r="GS71" s="629">
        <f t="shared" si="172"/>
        <v>17</v>
      </c>
      <c r="GT71" s="330">
        <v>8</v>
      </c>
      <c r="GU71" s="330">
        <v>1</v>
      </c>
      <c r="GV71" s="629">
        <f t="shared" si="173"/>
        <v>9</v>
      </c>
      <c r="GW71" s="330">
        <v>1</v>
      </c>
      <c r="GX71" s="330">
        <v>4</v>
      </c>
      <c r="GY71" s="629">
        <f t="shared" si="174"/>
        <v>5</v>
      </c>
      <c r="GZ71" s="330">
        <v>4</v>
      </c>
      <c r="HA71" s="330">
        <v>1</v>
      </c>
      <c r="HB71" s="629">
        <f t="shared" si="175"/>
        <v>5</v>
      </c>
      <c r="HC71" s="330">
        <v>1</v>
      </c>
      <c r="HD71" s="330">
        <v>0</v>
      </c>
      <c r="HE71" s="629">
        <f t="shared" si="176"/>
        <v>1</v>
      </c>
      <c r="HF71" s="330">
        <v>6</v>
      </c>
      <c r="HG71" s="330">
        <v>1</v>
      </c>
      <c r="HH71" s="629">
        <f t="shared" si="177"/>
        <v>7</v>
      </c>
      <c r="HI71" s="330">
        <v>22</v>
      </c>
      <c r="HJ71" s="330">
        <v>49</v>
      </c>
      <c r="HK71" s="629">
        <f t="shared" si="178"/>
        <v>71</v>
      </c>
      <c r="HL71" s="330">
        <v>0</v>
      </c>
      <c r="HM71" s="330">
        <v>18</v>
      </c>
      <c r="HN71" s="629">
        <f t="shared" si="179"/>
        <v>18</v>
      </c>
      <c r="HO71" s="330">
        <v>0</v>
      </c>
      <c r="HP71" s="330">
        <v>19</v>
      </c>
      <c r="HQ71" s="629">
        <f t="shared" si="180"/>
        <v>19</v>
      </c>
      <c r="HR71" s="330">
        <v>2</v>
      </c>
      <c r="HS71" s="330">
        <v>3</v>
      </c>
      <c r="HT71" s="629">
        <f t="shared" si="181"/>
        <v>5</v>
      </c>
      <c r="HU71" s="330">
        <v>1</v>
      </c>
      <c r="HV71" s="330">
        <v>3</v>
      </c>
      <c r="HW71" s="629">
        <f t="shared" si="182"/>
        <v>4</v>
      </c>
      <c r="HX71" s="330">
        <v>0</v>
      </c>
      <c r="HY71" s="330">
        <v>0</v>
      </c>
      <c r="HZ71" s="629">
        <f t="shared" si="183"/>
        <v>0</v>
      </c>
      <c r="IA71" s="330">
        <v>0</v>
      </c>
      <c r="IB71" s="330">
        <v>0</v>
      </c>
      <c r="IC71" s="629">
        <f t="shared" si="184"/>
        <v>0</v>
      </c>
      <c r="ID71" s="330">
        <v>5</v>
      </c>
      <c r="IE71" s="330">
        <v>0</v>
      </c>
      <c r="IF71" s="629">
        <f t="shared" si="185"/>
        <v>5</v>
      </c>
      <c r="IG71" s="330">
        <v>2</v>
      </c>
      <c r="IH71" s="330">
        <v>0</v>
      </c>
      <c r="II71" s="629">
        <f t="shared" si="186"/>
        <v>2</v>
      </c>
      <c r="IJ71" s="330">
        <v>36</v>
      </c>
      <c r="IK71" s="330">
        <v>0</v>
      </c>
      <c r="IL71" s="629">
        <f t="shared" si="187"/>
        <v>36</v>
      </c>
      <c r="IM71" s="330">
        <v>0</v>
      </c>
      <c r="IN71" s="330">
        <v>0</v>
      </c>
      <c r="IO71" s="629">
        <f t="shared" si="188"/>
        <v>0</v>
      </c>
      <c r="IP71" s="330">
        <v>0</v>
      </c>
      <c r="IQ71" s="330">
        <v>0</v>
      </c>
      <c r="IR71" s="629">
        <f t="shared" si="189"/>
        <v>0</v>
      </c>
      <c r="IS71" s="330">
        <v>35</v>
      </c>
      <c r="IT71" s="330">
        <v>9</v>
      </c>
      <c r="IU71" s="629">
        <f t="shared" si="190"/>
        <v>44</v>
      </c>
      <c r="IV71" s="330">
        <v>0</v>
      </c>
      <c r="IW71" s="330">
        <v>0</v>
      </c>
      <c r="IX71" s="629">
        <f t="shared" si="191"/>
        <v>0</v>
      </c>
      <c r="IY71" s="330">
        <v>0</v>
      </c>
      <c r="IZ71" s="330">
        <v>0</v>
      </c>
      <c r="JA71" s="629">
        <f t="shared" si="192"/>
        <v>0</v>
      </c>
      <c r="JB71" s="330">
        <v>0</v>
      </c>
      <c r="JC71" s="330">
        <v>2</v>
      </c>
      <c r="JD71" s="629">
        <f t="shared" si="193"/>
        <v>2</v>
      </c>
      <c r="JE71" s="330">
        <v>1450</v>
      </c>
      <c r="JF71" s="330">
        <v>318</v>
      </c>
      <c r="JG71" s="629">
        <f t="shared" si="194"/>
        <v>1768</v>
      </c>
      <c r="JH71" s="330">
        <v>0</v>
      </c>
      <c r="JI71" s="330">
        <v>0</v>
      </c>
      <c r="JJ71" s="629">
        <f t="shared" si="195"/>
        <v>0</v>
      </c>
      <c r="JK71" s="330">
        <v>0</v>
      </c>
      <c r="JL71" s="330">
        <v>0</v>
      </c>
      <c r="JM71" s="629">
        <f t="shared" si="196"/>
        <v>0</v>
      </c>
      <c r="JN71" s="330">
        <v>0</v>
      </c>
      <c r="JO71" s="330">
        <v>0</v>
      </c>
      <c r="JP71" s="629">
        <f t="shared" si="197"/>
        <v>0</v>
      </c>
      <c r="JQ71" s="330">
        <v>0</v>
      </c>
      <c r="JR71" s="330">
        <v>0</v>
      </c>
      <c r="JS71" s="629">
        <f t="shared" si="198"/>
        <v>0</v>
      </c>
      <c r="JT71" s="330">
        <v>0</v>
      </c>
      <c r="JU71" s="330">
        <v>0</v>
      </c>
      <c r="JV71" s="629">
        <f t="shared" si="199"/>
        <v>0</v>
      </c>
      <c r="JW71" s="330">
        <v>0</v>
      </c>
      <c r="JX71" s="330">
        <v>0</v>
      </c>
      <c r="JY71" s="629">
        <f t="shared" si="200"/>
        <v>0</v>
      </c>
      <c r="JZ71" s="330">
        <v>0</v>
      </c>
      <c r="KA71" s="330">
        <v>0</v>
      </c>
      <c r="KB71" s="629">
        <f t="shared" si="201"/>
        <v>0</v>
      </c>
      <c r="KC71" s="330">
        <v>0</v>
      </c>
      <c r="KD71" s="330">
        <v>0</v>
      </c>
      <c r="KE71" s="629">
        <f t="shared" si="202"/>
        <v>0</v>
      </c>
      <c r="KF71" s="330">
        <v>0</v>
      </c>
      <c r="KG71" s="330">
        <v>0</v>
      </c>
      <c r="KH71" s="629">
        <f t="shared" si="203"/>
        <v>0</v>
      </c>
      <c r="KI71" s="330">
        <v>0</v>
      </c>
      <c r="KJ71" s="330">
        <v>0</v>
      </c>
      <c r="KK71" s="629">
        <f t="shared" si="204"/>
        <v>0</v>
      </c>
      <c r="KL71" s="629">
        <v>0</v>
      </c>
      <c r="KM71" s="629">
        <v>0</v>
      </c>
      <c r="KN71" s="629">
        <f t="shared" si="205"/>
        <v>0</v>
      </c>
      <c r="KO71" s="629">
        <v>0</v>
      </c>
      <c r="KP71" s="629">
        <v>0</v>
      </c>
      <c r="KQ71" s="629">
        <f t="shared" si="206"/>
        <v>0</v>
      </c>
      <c r="KR71" s="629">
        <v>0</v>
      </c>
      <c r="KS71" s="629">
        <v>0</v>
      </c>
      <c r="KT71" s="629">
        <f t="shared" si="207"/>
        <v>0</v>
      </c>
      <c r="KU71" s="629">
        <v>0</v>
      </c>
      <c r="KV71" s="629">
        <v>0</v>
      </c>
      <c r="KW71" s="629">
        <f t="shared" si="208"/>
        <v>0</v>
      </c>
      <c r="KX71" s="629">
        <v>0</v>
      </c>
      <c r="KY71" s="629">
        <v>0</v>
      </c>
      <c r="KZ71" s="629">
        <f t="shared" si="209"/>
        <v>0</v>
      </c>
      <c r="LA71" s="629">
        <v>0</v>
      </c>
      <c r="LB71" s="629">
        <v>0</v>
      </c>
      <c r="LC71" s="629">
        <f t="shared" si="210"/>
        <v>0</v>
      </c>
      <c r="LD71" s="629">
        <v>0</v>
      </c>
      <c r="LE71" s="629">
        <v>0</v>
      </c>
      <c r="LF71" s="629">
        <f t="shared" si="211"/>
        <v>0</v>
      </c>
      <c r="LG71" s="629">
        <v>0</v>
      </c>
      <c r="LH71" s="629">
        <v>0</v>
      </c>
      <c r="LI71" s="629">
        <f t="shared" si="212"/>
        <v>0</v>
      </c>
      <c r="LJ71" s="330">
        <v>0</v>
      </c>
      <c r="LK71" s="330">
        <v>0</v>
      </c>
      <c r="LL71" s="697">
        <f t="shared" si="213"/>
        <v>0</v>
      </c>
    </row>
    <row r="72" spans="1:324" ht="15" thickBot="1" x14ac:dyDescent="0.4">
      <c r="A72" s="701">
        <v>4</v>
      </c>
      <c r="B72" s="395" t="s">
        <v>320</v>
      </c>
      <c r="C72" s="446" t="s">
        <v>151</v>
      </c>
      <c r="D72" s="344">
        <v>2884</v>
      </c>
      <c r="E72" s="344">
        <v>2683</v>
      </c>
      <c r="F72" s="631">
        <f t="shared" si="107"/>
        <v>5567</v>
      </c>
      <c r="G72" s="344">
        <v>5</v>
      </c>
      <c r="H72" s="344">
        <v>5438</v>
      </c>
      <c r="I72" s="631">
        <f t="shared" si="108"/>
        <v>5443</v>
      </c>
      <c r="J72" s="344">
        <v>3571</v>
      </c>
      <c r="K72" s="344">
        <v>3089</v>
      </c>
      <c r="L72" s="631">
        <f t="shared" si="109"/>
        <v>6660</v>
      </c>
      <c r="M72" s="344">
        <v>223</v>
      </c>
      <c r="N72" s="344">
        <v>70</v>
      </c>
      <c r="O72" s="631">
        <f t="shared" si="110"/>
        <v>293</v>
      </c>
      <c r="P72" s="344">
        <v>226</v>
      </c>
      <c r="Q72" s="344">
        <v>164</v>
      </c>
      <c r="R72" s="631">
        <f t="shared" si="111"/>
        <v>390</v>
      </c>
      <c r="S72" s="344">
        <v>174</v>
      </c>
      <c r="T72" s="344">
        <v>18</v>
      </c>
      <c r="U72" s="631">
        <f t="shared" si="112"/>
        <v>192</v>
      </c>
      <c r="V72" s="344">
        <v>63</v>
      </c>
      <c r="W72" s="344">
        <v>3</v>
      </c>
      <c r="X72" s="631">
        <f t="shared" si="113"/>
        <v>66</v>
      </c>
      <c r="Y72" s="344">
        <v>103</v>
      </c>
      <c r="Z72" s="344">
        <v>18</v>
      </c>
      <c r="AA72" s="631">
        <f t="shared" si="114"/>
        <v>121</v>
      </c>
      <c r="AB72" s="344">
        <v>30</v>
      </c>
      <c r="AC72" s="344">
        <v>8</v>
      </c>
      <c r="AD72" s="631">
        <f t="shared" si="115"/>
        <v>38</v>
      </c>
      <c r="AE72" s="344">
        <v>1</v>
      </c>
      <c r="AF72" s="344">
        <v>0</v>
      </c>
      <c r="AG72" s="631">
        <f t="shared" si="116"/>
        <v>1</v>
      </c>
      <c r="AH72" s="344">
        <v>1</v>
      </c>
      <c r="AI72" s="344">
        <v>0</v>
      </c>
      <c r="AJ72" s="631">
        <f t="shared" si="117"/>
        <v>1</v>
      </c>
      <c r="AK72" s="344">
        <v>16</v>
      </c>
      <c r="AL72" s="344">
        <v>3</v>
      </c>
      <c r="AM72" s="631">
        <f t="shared" si="118"/>
        <v>19</v>
      </c>
      <c r="AN72" s="344">
        <v>7</v>
      </c>
      <c r="AO72" s="344">
        <v>0</v>
      </c>
      <c r="AP72" s="631">
        <f t="shared" si="119"/>
        <v>7</v>
      </c>
      <c r="AQ72" s="344">
        <v>16</v>
      </c>
      <c r="AR72" s="344">
        <v>2</v>
      </c>
      <c r="AS72" s="631">
        <f t="shared" si="120"/>
        <v>18</v>
      </c>
      <c r="AT72" s="344">
        <v>4431</v>
      </c>
      <c r="AU72" s="344">
        <v>2031</v>
      </c>
      <c r="AV72" s="631">
        <f t="shared" si="121"/>
        <v>6462</v>
      </c>
      <c r="AW72" s="344">
        <v>62</v>
      </c>
      <c r="AX72" s="344">
        <v>32</v>
      </c>
      <c r="AY72" s="631">
        <f t="shared" si="122"/>
        <v>94</v>
      </c>
      <c r="AZ72" s="344">
        <v>2</v>
      </c>
      <c r="BA72" s="344">
        <v>0</v>
      </c>
      <c r="BB72" s="631">
        <f t="shared" si="123"/>
        <v>2</v>
      </c>
      <c r="BC72" s="344">
        <v>19</v>
      </c>
      <c r="BD72" s="344">
        <v>9</v>
      </c>
      <c r="BE72" s="631">
        <f t="shared" si="124"/>
        <v>28</v>
      </c>
      <c r="BF72" s="344">
        <v>561</v>
      </c>
      <c r="BG72" s="344">
        <v>14</v>
      </c>
      <c r="BH72" s="631">
        <f t="shared" si="125"/>
        <v>575</v>
      </c>
      <c r="BI72" s="344">
        <v>16</v>
      </c>
      <c r="BJ72" s="344">
        <v>4</v>
      </c>
      <c r="BK72" s="631">
        <f t="shared" si="126"/>
        <v>20</v>
      </c>
      <c r="BL72" s="344">
        <v>0</v>
      </c>
      <c r="BM72" s="344">
        <v>0</v>
      </c>
      <c r="BN72" s="631">
        <f t="shared" si="127"/>
        <v>0</v>
      </c>
      <c r="BO72" s="344">
        <v>1</v>
      </c>
      <c r="BP72" s="344">
        <v>0</v>
      </c>
      <c r="BQ72" s="631">
        <f t="shared" si="128"/>
        <v>1</v>
      </c>
      <c r="BR72" s="344">
        <v>0</v>
      </c>
      <c r="BS72" s="344">
        <v>6</v>
      </c>
      <c r="BT72" s="631">
        <f t="shared" si="129"/>
        <v>6</v>
      </c>
      <c r="BU72" s="344">
        <v>0</v>
      </c>
      <c r="BV72" s="344">
        <v>0</v>
      </c>
      <c r="BW72" s="631">
        <f t="shared" si="130"/>
        <v>0</v>
      </c>
      <c r="BX72" s="344">
        <v>0</v>
      </c>
      <c r="BY72" s="344">
        <v>0</v>
      </c>
      <c r="BZ72" s="631">
        <f t="shared" si="131"/>
        <v>0</v>
      </c>
      <c r="CA72" s="344">
        <v>1</v>
      </c>
      <c r="CB72" s="344">
        <v>0</v>
      </c>
      <c r="CC72" s="631">
        <f t="shared" si="132"/>
        <v>1</v>
      </c>
      <c r="CD72" s="344">
        <v>2</v>
      </c>
      <c r="CE72" s="344">
        <v>0</v>
      </c>
      <c r="CF72" s="631">
        <f t="shared" si="133"/>
        <v>2</v>
      </c>
      <c r="CG72" s="344">
        <v>0</v>
      </c>
      <c r="CH72" s="344">
        <v>0</v>
      </c>
      <c r="CI72" s="631">
        <f t="shared" si="134"/>
        <v>0</v>
      </c>
      <c r="CJ72" s="344">
        <v>1</v>
      </c>
      <c r="CK72" s="344">
        <v>0</v>
      </c>
      <c r="CL72" s="631">
        <f t="shared" si="135"/>
        <v>1</v>
      </c>
      <c r="CM72" s="344">
        <v>3</v>
      </c>
      <c r="CN72" s="344">
        <v>2</v>
      </c>
      <c r="CO72" s="631">
        <f t="shared" si="136"/>
        <v>5</v>
      </c>
      <c r="CP72" s="344">
        <v>0</v>
      </c>
      <c r="CQ72" s="344">
        <v>0</v>
      </c>
      <c r="CR72" s="631">
        <f t="shared" si="137"/>
        <v>0</v>
      </c>
      <c r="CS72" s="344">
        <v>0</v>
      </c>
      <c r="CT72" s="344">
        <v>0</v>
      </c>
      <c r="CU72" s="631">
        <f t="shared" si="138"/>
        <v>0</v>
      </c>
      <c r="CV72" s="344">
        <v>0</v>
      </c>
      <c r="CW72" s="344">
        <v>0</v>
      </c>
      <c r="CX72" s="631">
        <f t="shared" si="139"/>
        <v>0</v>
      </c>
      <c r="CY72" s="344">
        <v>0</v>
      </c>
      <c r="CZ72" s="344">
        <v>0</v>
      </c>
      <c r="DA72" s="631">
        <f t="shared" si="140"/>
        <v>0</v>
      </c>
      <c r="DB72" s="344">
        <v>5</v>
      </c>
      <c r="DC72" s="344">
        <v>0</v>
      </c>
      <c r="DD72" s="631">
        <f t="shared" si="141"/>
        <v>5</v>
      </c>
      <c r="DE72" s="344">
        <v>14</v>
      </c>
      <c r="DF72" s="344">
        <v>1</v>
      </c>
      <c r="DG72" s="631">
        <f t="shared" si="142"/>
        <v>15</v>
      </c>
      <c r="DH72" s="344">
        <v>0</v>
      </c>
      <c r="DI72" s="344">
        <v>0</v>
      </c>
      <c r="DJ72" s="631">
        <f t="shared" si="143"/>
        <v>0</v>
      </c>
      <c r="DK72" s="344">
        <v>0</v>
      </c>
      <c r="DL72" s="344">
        <v>0</v>
      </c>
      <c r="DM72" s="631">
        <f t="shared" si="144"/>
        <v>0</v>
      </c>
      <c r="DN72" s="344">
        <v>0</v>
      </c>
      <c r="DO72" s="344">
        <v>0</v>
      </c>
      <c r="DP72" s="631">
        <f t="shared" si="145"/>
        <v>0</v>
      </c>
      <c r="DQ72" s="344">
        <v>0</v>
      </c>
      <c r="DR72" s="344">
        <v>0</v>
      </c>
      <c r="DS72" s="631">
        <f t="shared" si="146"/>
        <v>0</v>
      </c>
      <c r="DT72" s="344">
        <v>0</v>
      </c>
      <c r="DU72" s="344">
        <v>0</v>
      </c>
      <c r="DV72" s="631">
        <f t="shared" si="147"/>
        <v>0</v>
      </c>
      <c r="DW72" s="344">
        <v>12</v>
      </c>
      <c r="DX72" s="344">
        <v>5</v>
      </c>
      <c r="DY72" s="631">
        <f t="shared" si="148"/>
        <v>17</v>
      </c>
      <c r="DZ72" s="344">
        <v>1</v>
      </c>
      <c r="EA72" s="344">
        <v>0</v>
      </c>
      <c r="EB72" s="631">
        <f t="shared" si="149"/>
        <v>1</v>
      </c>
      <c r="EC72" s="344">
        <v>14</v>
      </c>
      <c r="ED72" s="344">
        <v>1</v>
      </c>
      <c r="EE72" s="631">
        <f t="shared" si="150"/>
        <v>15</v>
      </c>
      <c r="EF72" s="344">
        <v>2</v>
      </c>
      <c r="EG72" s="344">
        <v>0</v>
      </c>
      <c r="EH72" s="631">
        <f t="shared" si="151"/>
        <v>2</v>
      </c>
      <c r="EI72" s="344">
        <v>0</v>
      </c>
      <c r="EJ72" s="344">
        <v>0</v>
      </c>
      <c r="EK72" s="631">
        <f t="shared" si="152"/>
        <v>0</v>
      </c>
      <c r="EL72" s="344">
        <v>0</v>
      </c>
      <c r="EM72" s="344">
        <v>0</v>
      </c>
      <c r="EN72" s="631">
        <f t="shared" si="153"/>
        <v>0</v>
      </c>
      <c r="EO72" s="344">
        <v>0</v>
      </c>
      <c r="EP72" s="344">
        <v>0</v>
      </c>
      <c r="EQ72" s="631">
        <f t="shared" si="154"/>
        <v>0</v>
      </c>
      <c r="ER72" s="344">
        <v>0</v>
      </c>
      <c r="ES72" s="344">
        <v>0</v>
      </c>
      <c r="ET72" s="631">
        <f t="shared" si="155"/>
        <v>0</v>
      </c>
      <c r="EU72" s="344">
        <v>0</v>
      </c>
      <c r="EV72" s="344">
        <v>0</v>
      </c>
      <c r="EW72" s="631">
        <f t="shared" si="156"/>
        <v>0</v>
      </c>
      <c r="EX72" s="344">
        <v>0</v>
      </c>
      <c r="EY72" s="344">
        <v>0</v>
      </c>
      <c r="EZ72" s="631">
        <f t="shared" si="157"/>
        <v>0</v>
      </c>
      <c r="FA72" s="344">
        <v>0</v>
      </c>
      <c r="FB72" s="344">
        <v>0</v>
      </c>
      <c r="FC72" s="631">
        <f t="shared" si="158"/>
        <v>0</v>
      </c>
      <c r="FD72" s="344">
        <v>0</v>
      </c>
      <c r="FE72" s="344">
        <v>0</v>
      </c>
      <c r="FF72" s="631">
        <f t="shared" si="159"/>
        <v>0</v>
      </c>
      <c r="FG72" s="344">
        <v>0</v>
      </c>
      <c r="FH72" s="344">
        <v>0</v>
      </c>
      <c r="FI72" s="631">
        <f t="shared" si="160"/>
        <v>0</v>
      </c>
      <c r="FJ72" s="344">
        <v>0</v>
      </c>
      <c r="FK72" s="344">
        <v>0</v>
      </c>
      <c r="FL72" s="631">
        <f t="shared" si="161"/>
        <v>0</v>
      </c>
      <c r="FM72" s="344">
        <v>0</v>
      </c>
      <c r="FN72" s="344">
        <v>0</v>
      </c>
      <c r="FO72" s="631">
        <f t="shared" si="162"/>
        <v>0</v>
      </c>
      <c r="FP72" s="344">
        <v>0</v>
      </c>
      <c r="FQ72" s="344">
        <v>0</v>
      </c>
      <c r="FR72" s="631">
        <f t="shared" si="163"/>
        <v>0</v>
      </c>
      <c r="FS72" s="344">
        <v>0</v>
      </c>
      <c r="FT72" s="344">
        <v>0</v>
      </c>
      <c r="FU72" s="631">
        <f t="shared" si="164"/>
        <v>0</v>
      </c>
      <c r="FV72" s="344">
        <v>0</v>
      </c>
      <c r="FW72" s="344">
        <v>0</v>
      </c>
      <c r="FX72" s="631">
        <f t="shared" si="165"/>
        <v>0</v>
      </c>
      <c r="FY72" s="344">
        <v>0</v>
      </c>
      <c r="FZ72" s="344">
        <v>0</v>
      </c>
      <c r="GA72" s="631">
        <f t="shared" si="166"/>
        <v>0</v>
      </c>
      <c r="GB72" s="344">
        <v>0</v>
      </c>
      <c r="GC72" s="344">
        <v>0</v>
      </c>
      <c r="GD72" s="631">
        <f t="shared" si="167"/>
        <v>0</v>
      </c>
      <c r="GE72" s="344">
        <v>0</v>
      </c>
      <c r="GF72" s="344">
        <v>0</v>
      </c>
      <c r="GG72" s="631">
        <f t="shared" si="168"/>
        <v>0</v>
      </c>
      <c r="GH72" s="344">
        <v>0</v>
      </c>
      <c r="GI72" s="344">
        <v>0</v>
      </c>
      <c r="GJ72" s="631">
        <f t="shared" si="169"/>
        <v>0</v>
      </c>
      <c r="GK72" s="344">
        <v>14</v>
      </c>
      <c r="GL72" s="344">
        <v>11</v>
      </c>
      <c r="GM72" s="631">
        <f t="shared" si="170"/>
        <v>25</v>
      </c>
      <c r="GN72" s="344">
        <v>104</v>
      </c>
      <c r="GO72" s="344">
        <v>256</v>
      </c>
      <c r="GP72" s="631">
        <f t="shared" si="171"/>
        <v>360</v>
      </c>
      <c r="GQ72" s="344">
        <v>2</v>
      </c>
      <c r="GR72" s="344">
        <v>0</v>
      </c>
      <c r="GS72" s="631">
        <f t="shared" si="172"/>
        <v>2</v>
      </c>
      <c r="GT72" s="344">
        <v>4</v>
      </c>
      <c r="GU72" s="344">
        <v>3</v>
      </c>
      <c r="GV72" s="631">
        <f t="shared" si="173"/>
        <v>7</v>
      </c>
      <c r="GW72" s="344">
        <v>0</v>
      </c>
      <c r="GX72" s="344">
        <v>1</v>
      </c>
      <c r="GY72" s="631">
        <f t="shared" si="174"/>
        <v>1</v>
      </c>
      <c r="GZ72" s="344">
        <v>2</v>
      </c>
      <c r="HA72" s="344">
        <v>1</v>
      </c>
      <c r="HB72" s="631">
        <f t="shared" si="175"/>
        <v>3</v>
      </c>
      <c r="HC72" s="344">
        <v>0</v>
      </c>
      <c r="HD72" s="344">
        <v>1</v>
      </c>
      <c r="HE72" s="631">
        <f t="shared" si="176"/>
        <v>1</v>
      </c>
      <c r="HF72" s="344">
        <v>1</v>
      </c>
      <c r="HG72" s="344">
        <v>1</v>
      </c>
      <c r="HH72" s="631">
        <f t="shared" si="177"/>
        <v>2</v>
      </c>
      <c r="HI72" s="344">
        <v>5</v>
      </c>
      <c r="HJ72" s="344">
        <v>33</v>
      </c>
      <c r="HK72" s="631">
        <f t="shared" si="178"/>
        <v>38</v>
      </c>
      <c r="HL72" s="344">
        <v>0</v>
      </c>
      <c r="HM72" s="344">
        <v>29</v>
      </c>
      <c r="HN72" s="631">
        <f t="shared" si="179"/>
        <v>29</v>
      </c>
      <c r="HO72" s="344">
        <v>3</v>
      </c>
      <c r="HP72" s="344">
        <v>46</v>
      </c>
      <c r="HQ72" s="631">
        <f t="shared" si="180"/>
        <v>49</v>
      </c>
      <c r="HR72" s="344">
        <v>2</v>
      </c>
      <c r="HS72" s="344">
        <v>4</v>
      </c>
      <c r="HT72" s="631">
        <f t="shared" si="181"/>
        <v>6</v>
      </c>
      <c r="HU72" s="344">
        <v>0</v>
      </c>
      <c r="HV72" s="344">
        <v>1</v>
      </c>
      <c r="HW72" s="631">
        <f t="shared" si="182"/>
        <v>1</v>
      </c>
      <c r="HX72" s="344">
        <v>0</v>
      </c>
      <c r="HY72" s="344">
        <v>0</v>
      </c>
      <c r="HZ72" s="631">
        <f t="shared" si="183"/>
        <v>0</v>
      </c>
      <c r="IA72" s="344">
        <v>0</v>
      </c>
      <c r="IB72" s="344">
        <v>0</v>
      </c>
      <c r="IC72" s="631">
        <f t="shared" si="184"/>
        <v>0</v>
      </c>
      <c r="ID72" s="344">
        <v>13</v>
      </c>
      <c r="IE72" s="344">
        <v>0</v>
      </c>
      <c r="IF72" s="631">
        <f t="shared" si="185"/>
        <v>13</v>
      </c>
      <c r="IG72" s="344">
        <v>1</v>
      </c>
      <c r="IH72" s="344">
        <v>0</v>
      </c>
      <c r="II72" s="631">
        <f t="shared" si="186"/>
        <v>1</v>
      </c>
      <c r="IJ72" s="344">
        <v>61</v>
      </c>
      <c r="IK72" s="344">
        <v>0</v>
      </c>
      <c r="IL72" s="631">
        <f t="shared" si="187"/>
        <v>61</v>
      </c>
      <c r="IM72" s="344">
        <v>0</v>
      </c>
      <c r="IN72" s="344">
        <v>0</v>
      </c>
      <c r="IO72" s="631">
        <f t="shared" si="188"/>
        <v>0</v>
      </c>
      <c r="IP72" s="344">
        <v>0</v>
      </c>
      <c r="IQ72" s="344">
        <v>0</v>
      </c>
      <c r="IR72" s="631">
        <f t="shared" si="189"/>
        <v>0</v>
      </c>
      <c r="IS72" s="344">
        <v>67</v>
      </c>
      <c r="IT72" s="344">
        <v>15</v>
      </c>
      <c r="IU72" s="631">
        <f t="shared" si="190"/>
        <v>82</v>
      </c>
      <c r="IV72" s="344">
        <v>1</v>
      </c>
      <c r="IW72" s="344">
        <v>0</v>
      </c>
      <c r="IX72" s="631">
        <f t="shared" si="191"/>
        <v>1</v>
      </c>
      <c r="IY72" s="344">
        <v>0</v>
      </c>
      <c r="IZ72" s="344">
        <v>0</v>
      </c>
      <c r="JA72" s="631">
        <f t="shared" si="192"/>
        <v>0</v>
      </c>
      <c r="JB72" s="344">
        <v>0</v>
      </c>
      <c r="JC72" s="344">
        <v>7</v>
      </c>
      <c r="JD72" s="631">
        <f t="shared" si="193"/>
        <v>7</v>
      </c>
      <c r="JE72" s="344">
        <v>1609</v>
      </c>
      <c r="JF72" s="344">
        <v>319</v>
      </c>
      <c r="JG72" s="631">
        <f t="shared" si="194"/>
        <v>1928</v>
      </c>
      <c r="JH72" s="344">
        <v>0</v>
      </c>
      <c r="JI72" s="344">
        <v>0</v>
      </c>
      <c r="JJ72" s="631">
        <f t="shared" si="195"/>
        <v>0</v>
      </c>
      <c r="JK72" s="344">
        <v>0</v>
      </c>
      <c r="JL72" s="344">
        <v>0</v>
      </c>
      <c r="JM72" s="631">
        <f t="shared" si="196"/>
        <v>0</v>
      </c>
      <c r="JN72" s="344">
        <v>0</v>
      </c>
      <c r="JO72" s="344">
        <v>0</v>
      </c>
      <c r="JP72" s="631">
        <f t="shared" si="197"/>
        <v>0</v>
      </c>
      <c r="JQ72" s="344">
        <v>0</v>
      </c>
      <c r="JR72" s="344">
        <v>0</v>
      </c>
      <c r="JS72" s="631">
        <f t="shared" si="198"/>
        <v>0</v>
      </c>
      <c r="JT72" s="344">
        <v>0</v>
      </c>
      <c r="JU72" s="344">
        <v>0</v>
      </c>
      <c r="JV72" s="631">
        <f t="shared" si="199"/>
        <v>0</v>
      </c>
      <c r="JW72" s="344">
        <v>0</v>
      </c>
      <c r="JX72" s="344">
        <v>0</v>
      </c>
      <c r="JY72" s="631">
        <f t="shared" si="200"/>
        <v>0</v>
      </c>
      <c r="JZ72" s="344">
        <v>0</v>
      </c>
      <c r="KA72" s="344">
        <v>0</v>
      </c>
      <c r="KB72" s="631">
        <f t="shared" si="201"/>
        <v>0</v>
      </c>
      <c r="KC72" s="344">
        <v>0</v>
      </c>
      <c r="KD72" s="344">
        <v>0</v>
      </c>
      <c r="KE72" s="631">
        <f t="shared" si="202"/>
        <v>0</v>
      </c>
      <c r="KF72" s="344">
        <v>0</v>
      </c>
      <c r="KG72" s="344">
        <v>0</v>
      </c>
      <c r="KH72" s="631">
        <f t="shared" si="203"/>
        <v>0</v>
      </c>
      <c r="KI72" s="344">
        <v>0</v>
      </c>
      <c r="KJ72" s="344">
        <v>0</v>
      </c>
      <c r="KK72" s="631">
        <f t="shared" si="204"/>
        <v>0</v>
      </c>
      <c r="KL72" s="631">
        <v>0</v>
      </c>
      <c r="KM72" s="631">
        <v>0</v>
      </c>
      <c r="KN72" s="631">
        <f t="shared" si="205"/>
        <v>0</v>
      </c>
      <c r="KO72" s="631">
        <v>0</v>
      </c>
      <c r="KP72" s="631">
        <v>0</v>
      </c>
      <c r="KQ72" s="631">
        <f t="shared" si="206"/>
        <v>0</v>
      </c>
      <c r="KR72" s="631">
        <v>0</v>
      </c>
      <c r="KS72" s="631">
        <v>0</v>
      </c>
      <c r="KT72" s="631">
        <f t="shared" si="207"/>
        <v>0</v>
      </c>
      <c r="KU72" s="631">
        <v>0</v>
      </c>
      <c r="KV72" s="631">
        <v>0</v>
      </c>
      <c r="KW72" s="631">
        <f t="shared" si="208"/>
        <v>0</v>
      </c>
      <c r="KX72" s="631">
        <v>0</v>
      </c>
      <c r="KY72" s="631">
        <v>0</v>
      </c>
      <c r="KZ72" s="631">
        <f t="shared" si="209"/>
        <v>0</v>
      </c>
      <c r="LA72" s="631">
        <v>0</v>
      </c>
      <c r="LB72" s="631">
        <v>0</v>
      </c>
      <c r="LC72" s="631">
        <f t="shared" si="210"/>
        <v>0</v>
      </c>
      <c r="LD72" s="631">
        <v>0</v>
      </c>
      <c r="LE72" s="631">
        <v>0</v>
      </c>
      <c r="LF72" s="631">
        <f t="shared" si="211"/>
        <v>0</v>
      </c>
      <c r="LG72" s="631">
        <v>0</v>
      </c>
      <c r="LH72" s="631">
        <v>0</v>
      </c>
      <c r="LI72" s="631">
        <f t="shared" si="212"/>
        <v>0</v>
      </c>
      <c r="LJ72" s="344">
        <v>0</v>
      </c>
      <c r="LK72" s="344">
        <v>0</v>
      </c>
      <c r="LL72" s="702">
        <f t="shared" si="213"/>
        <v>0</v>
      </c>
    </row>
    <row r="73" spans="1:324" x14ac:dyDescent="0.35">
      <c r="D73" s="703"/>
      <c r="E73" s="703"/>
    </row>
    <row r="74" spans="1:324" x14ac:dyDescent="0.35">
      <c r="D74" s="703"/>
      <c r="E74" s="703"/>
    </row>
  </sheetData>
  <pageMargins left="0.98425196850393704" right="0.59055118110236227" top="0.19685039370078741" bottom="0.19685039370078741" header="0.31496062992125984" footer="0.31496062992125984"/>
  <pageSetup paperSize="5" scale="45" orientation="landscape" horizontalDpi="360" verticalDpi="360" r:id="rId1"/>
  <colBreaks count="1" manualBreakCount="1">
    <brk id="25" max="71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FEE75-D3F3-4555-88F6-15295F24C2F2}">
  <sheetPr>
    <tabColor rgb="FF00B050"/>
  </sheetPr>
  <dimension ref="A1:AP74"/>
  <sheetViews>
    <sheetView tabSelected="1" view="pageBreakPreview" topLeftCell="A61" zoomScale="78" zoomScaleNormal="60" zoomScaleSheetLayoutView="78" workbookViewId="0">
      <selection activeCell="T83" sqref="T83"/>
    </sheetView>
  </sheetViews>
  <sheetFormatPr defaultColWidth="8.7265625" defaultRowHeight="14.5" x14ac:dyDescent="0.35"/>
  <cols>
    <col min="1" max="1" width="10.54296875" style="294" customWidth="1"/>
    <col min="2" max="2" width="19.81640625" style="294" bestFit="1" customWidth="1"/>
    <col min="3" max="38" width="8.81640625" style="294" bestFit="1" customWidth="1"/>
    <col min="39" max="41" width="10.81640625" style="294" customWidth="1"/>
    <col min="42" max="42" width="11.1796875" style="294" bestFit="1" customWidth="1"/>
    <col min="43" max="16384" width="8.7265625" style="294"/>
  </cols>
  <sheetData>
    <row r="1" spans="1:42" s="289" customFormat="1" ht="20" x14ac:dyDescent="0.4">
      <c r="A1" s="398" t="s">
        <v>343</v>
      </c>
      <c r="B1" s="398"/>
      <c r="C1" s="398"/>
      <c r="D1" s="398"/>
      <c r="E1" s="398"/>
      <c r="F1" s="398"/>
      <c r="G1" s="398"/>
      <c r="H1" s="398"/>
      <c r="I1" s="398"/>
      <c r="J1" s="398"/>
      <c r="K1" s="398"/>
      <c r="L1" s="398"/>
      <c r="M1" s="398"/>
      <c r="N1" s="398"/>
      <c r="O1" s="398"/>
      <c r="P1" s="398"/>
      <c r="Q1" s="398"/>
      <c r="R1" s="398"/>
      <c r="S1" s="398"/>
      <c r="T1" s="398"/>
      <c r="U1" s="398"/>
      <c r="V1" s="398"/>
      <c r="W1" s="398"/>
      <c r="X1" s="398"/>
      <c r="Y1" s="398"/>
      <c r="Z1" s="398"/>
      <c r="AA1" s="398"/>
      <c r="AB1" s="398"/>
      <c r="AC1" s="398"/>
      <c r="AD1" s="398"/>
      <c r="AE1" s="398"/>
      <c r="AF1" s="398"/>
      <c r="AG1" s="398"/>
      <c r="AH1" s="398"/>
      <c r="AI1" s="398"/>
      <c r="AJ1" s="398"/>
      <c r="AK1" s="398"/>
      <c r="AL1" s="398"/>
      <c r="AM1" s="398"/>
      <c r="AN1" s="398"/>
    </row>
    <row r="2" spans="1:42" s="289" customFormat="1" ht="20" x14ac:dyDescent="0.4">
      <c r="A2" s="398" t="s">
        <v>344</v>
      </c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398"/>
      <c r="M2" s="398"/>
      <c r="N2" s="398"/>
      <c r="O2" s="398"/>
      <c r="P2" s="398"/>
      <c r="Q2" s="398"/>
      <c r="R2" s="398"/>
      <c r="S2" s="398"/>
      <c r="T2" s="398"/>
      <c r="U2" s="398"/>
      <c r="V2" s="398"/>
      <c r="W2" s="398"/>
      <c r="X2" s="398"/>
      <c r="Y2" s="398"/>
      <c r="Z2" s="398"/>
      <c r="AA2" s="398"/>
      <c r="AB2" s="398"/>
      <c r="AC2" s="398"/>
      <c r="AD2" s="398"/>
      <c r="AE2" s="398"/>
      <c r="AF2" s="398"/>
      <c r="AG2" s="398"/>
      <c r="AH2" s="398"/>
      <c r="AI2" s="398"/>
      <c r="AJ2" s="398"/>
      <c r="AK2" s="398"/>
      <c r="AL2" s="398"/>
      <c r="AM2" s="398"/>
      <c r="AN2" s="398"/>
    </row>
    <row r="3" spans="1:42" s="289" customFormat="1" ht="20.5" thickBot="1" x14ac:dyDescent="0.45">
      <c r="A3" s="398"/>
      <c r="B3" s="398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</row>
    <row r="4" spans="1:42" ht="42" x14ac:dyDescent="0.35">
      <c r="A4" s="290" t="s">
        <v>14</v>
      </c>
      <c r="B4" s="399" t="s">
        <v>15</v>
      </c>
      <c r="C4" s="290" t="s">
        <v>345</v>
      </c>
      <c r="D4" s="291" t="s">
        <v>346</v>
      </c>
      <c r="E4" s="400" t="s">
        <v>347</v>
      </c>
      <c r="F4" s="290" t="s">
        <v>348</v>
      </c>
      <c r="G4" s="291" t="s">
        <v>349</v>
      </c>
      <c r="H4" s="400" t="s">
        <v>350</v>
      </c>
      <c r="I4" s="290" t="s">
        <v>351</v>
      </c>
      <c r="J4" s="291" t="s">
        <v>352</v>
      </c>
      <c r="K4" s="400" t="s">
        <v>353</v>
      </c>
      <c r="L4" s="290" t="s">
        <v>354</v>
      </c>
      <c r="M4" s="291" t="s">
        <v>355</v>
      </c>
      <c r="N4" s="400" t="s">
        <v>356</v>
      </c>
      <c r="O4" s="290" t="s">
        <v>357</v>
      </c>
      <c r="P4" s="291" t="s">
        <v>358</v>
      </c>
      <c r="Q4" s="400" t="s">
        <v>359</v>
      </c>
      <c r="R4" s="290" t="s">
        <v>360</v>
      </c>
      <c r="S4" s="291" t="s">
        <v>361</v>
      </c>
      <c r="T4" s="400" t="s">
        <v>362</v>
      </c>
      <c r="U4" s="290" t="s">
        <v>363</v>
      </c>
      <c r="V4" s="291" t="s">
        <v>364</v>
      </c>
      <c r="W4" s="400" t="s">
        <v>365</v>
      </c>
      <c r="X4" s="290" t="s">
        <v>366</v>
      </c>
      <c r="Y4" s="291" t="s">
        <v>367</v>
      </c>
      <c r="Z4" s="400" t="s">
        <v>368</v>
      </c>
      <c r="AA4" s="290" t="s">
        <v>369</v>
      </c>
      <c r="AB4" s="291" t="s">
        <v>370</v>
      </c>
      <c r="AC4" s="400" t="s">
        <v>371</v>
      </c>
      <c r="AD4" s="290" t="s">
        <v>372</v>
      </c>
      <c r="AE4" s="291" t="s">
        <v>373</v>
      </c>
      <c r="AF4" s="400" t="s">
        <v>374</v>
      </c>
      <c r="AG4" s="290" t="s">
        <v>375</v>
      </c>
      <c r="AH4" s="291" t="s">
        <v>376</v>
      </c>
      <c r="AI4" s="400" t="s">
        <v>377</v>
      </c>
      <c r="AJ4" s="290" t="s">
        <v>378</v>
      </c>
      <c r="AK4" s="291" t="s">
        <v>379</v>
      </c>
      <c r="AL4" s="400" t="s">
        <v>380</v>
      </c>
      <c r="AM4" s="290" t="s">
        <v>381</v>
      </c>
      <c r="AN4" s="291" t="s">
        <v>382</v>
      </c>
      <c r="AO4" s="400" t="s">
        <v>383</v>
      </c>
    </row>
    <row r="5" spans="1:42" x14ac:dyDescent="0.35">
      <c r="A5" s="401"/>
      <c r="B5" s="402" t="s">
        <v>252</v>
      </c>
      <c r="C5" s="656">
        <f>E6/$AP$6*100</f>
        <v>4.037667302841923</v>
      </c>
      <c r="D5" s="657"/>
      <c r="E5" s="658"/>
      <c r="F5" s="656">
        <f>H6/$AP$6*100</f>
        <v>4.7749581167575927</v>
      </c>
      <c r="G5" s="657"/>
      <c r="H5" s="658"/>
      <c r="I5" s="656">
        <f>K6/$AP$6*100</f>
        <v>1.7113063275913913</v>
      </c>
      <c r="J5" s="657"/>
      <c r="K5" s="658"/>
      <c r="L5" s="656">
        <f>N6/$AP$6*100</f>
        <v>8.6645765957055101</v>
      </c>
      <c r="M5" s="657"/>
      <c r="N5" s="658"/>
      <c r="O5" s="656">
        <f>Q6/$AP$6*100</f>
        <v>0.57079341896129565</v>
      </c>
      <c r="P5" s="657"/>
      <c r="Q5" s="658"/>
      <c r="R5" s="656">
        <f>T6/$AP$6*100</f>
        <v>2.5122274520874118E-2</v>
      </c>
      <c r="S5" s="657"/>
      <c r="T5" s="658"/>
      <c r="U5" s="656">
        <f>W6/$AP$6*100</f>
        <v>0.21156407062159027</v>
      </c>
      <c r="V5" s="657"/>
      <c r="W5" s="658"/>
      <c r="X5" s="656">
        <f>Z6/$AP$6*100</f>
        <v>1.4421336213509418E-2</v>
      </c>
      <c r="Y5" s="657"/>
      <c r="Z5" s="658"/>
      <c r="AA5" s="656">
        <f>AC6/$AP$6*100</f>
        <v>8.0813179260277493E-2</v>
      </c>
      <c r="AB5" s="657"/>
      <c r="AC5" s="658"/>
      <c r="AD5" s="656">
        <f>AF6/$AP$6*100</f>
        <v>2.8842672427018837E-2</v>
      </c>
      <c r="AE5" s="657"/>
      <c r="AF5" s="658"/>
      <c r="AG5" s="656">
        <f>AI6/$AP$6*100</f>
        <v>0.16975753744944863</v>
      </c>
      <c r="AH5" s="657"/>
      <c r="AI5" s="658"/>
      <c r="AJ5" s="656">
        <f>AL6/$AP$6*100</f>
        <v>0.16975753744944863</v>
      </c>
      <c r="AK5" s="657"/>
      <c r="AL5" s="658"/>
      <c r="AM5" s="656">
        <f>AO6/$AP$6*100</f>
        <v>79.54041963020012</v>
      </c>
      <c r="AN5" s="657"/>
      <c r="AO5" s="658"/>
      <c r="AP5" s="403"/>
    </row>
    <row r="6" spans="1:42" ht="15" thickBot="1" x14ac:dyDescent="0.4">
      <c r="A6" s="404" t="s">
        <v>251</v>
      </c>
      <c r="B6" s="405" t="s">
        <v>22</v>
      </c>
      <c r="C6" s="406">
        <v>50684</v>
      </c>
      <c r="D6" s="406">
        <v>54588</v>
      </c>
      <c r="E6" s="406">
        <v>105272</v>
      </c>
      <c r="F6" s="406">
        <v>59673</v>
      </c>
      <c r="G6" s="406">
        <v>64822</v>
      </c>
      <c r="H6" s="406">
        <v>124495</v>
      </c>
      <c r="I6" s="406">
        <v>22291</v>
      </c>
      <c r="J6" s="406">
        <v>22327</v>
      </c>
      <c r="K6" s="406">
        <v>44618</v>
      </c>
      <c r="L6" s="406">
        <v>113602</v>
      </c>
      <c r="M6" s="406">
        <v>112305</v>
      </c>
      <c r="N6" s="406">
        <v>225907</v>
      </c>
      <c r="O6" s="406">
        <v>7022</v>
      </c>
      <c r="P6" s="406">
        <v>7860</v>
      </c>
      <c r="Q6" s="406">
        <v>14882</v>
      </c>
      <c r="R6" s="406">
        <v>313</v>
      </c>
      <c r="S6" s="406">
        <v>342</v>
      </c>
      <c r="T6" s="406">
        <v>655</v>
      </c>
      <c r="U6" s="406">
        <v>2529</v>
      </c>
      <c r="V6" s="406">
        <v>2987</v>
      </c>
      <c r="W6" s="406">
        <v>5516</v>
      </c>
      <c r="X6" s="406">
        <v>175</v>
      </c>
      <c r="Y6" s="406">
        <v>201</v>
      </c>
      <c r="Z6" s="406">
        <v>376</v>
      </c>
      <c r="AA6" s="406">
        <v>942</v>
      </c>
      <c r="AB6" s="406">
        <v>1165</v>
      </c>
      <c r="AC6" s="406">
        <v>2107</v>
      </c>
      <c r="AD6" s="406">
        <v>367</v>
      </c>
      <c r="AE6" s="406">
        <v>385</v>
      </c>
      <c r="AF6" s="406">
        <v>752</v>
      </c>
      <c r="AG6" s="406">
        <v>2052</v>
      </c>
      <c r="AH6" s="406">
        <v>2374</v>
      </c>
      <c r="AI6" s="406">
        <v>4426</v>
      </c>
      <c r="AJ6" s="406">
        <v>2201</v>
      </c>
      <c r="AK6" s="406">
        <v>2225</v>
      </c>
      <c r="AL6" s="406">
        <v>4426</v>
      </c>
      <c r="AM6" s="406">
        <v>1038971</v>
      </c>
      <c r="AN6" s="406">
        <v>1034845</v>
      </c>
      <c r="AO6" s="407">
        <v>2073816</v>
      </c>
      <c r="AP6" s="408">
        <f>E6+H6+K6+N6+Q6+T6+W6+Z6+AC6+AF6+AI6+AL6+AO6</f>
        <v>2607248</v>
      </c>
    </row>
    <row r="7" spans="1:42" x14ac:dyDescent="0.35">
      <c r="A7" s="303" t="s">
        <v>253</v>
      </c>
      <c r="B7" s="304" t="s">
        <v>20</v>
      </c>
      <c r="C7" s="305">
        <v>5736</v>
      </c>
      <c r="D7" s="305">
        <v>6113</v>
      </c>
      <c r="E7" s="305">
        <v>11849</v>
      </c>
      <c r="F7" s="305">
        <v>6719</v>
      </c>
      <c r="G7" s="305">
        <v>7385</v>
      </c>
      <c r="H7" s="305">
        <v>14104</v>
      </c>
      <c r="I7" s="305">
        <v>2571</v>
      </c>
      <c r="J7" s="305">
        <v>2736</v>
      </c>
      <c r="K7" s="305">
        <v>5307</v>
      </c>
      <c r="L7" s="305">
        <v>12806</v>
      </c>
      <c r="M7" s="305">
        <v>12676</v>
      </c>
      <c r="N7" s="305">
        <v>25482</v>
      </c>
      <c r="O7" s="305">
        <v>474</v>
      </c>
      <c r="P7" s="305">
        <v>568</v>
      </c>
      <c r="Q7" s="305">
        <v>1042</v>
      </c>
      <c r="R7" s="305">
        <v>15</v>
      </c>
      <c r="S7" s="305">
        <v>19</v>
      </c>
      <c r="T7" s="305">
        <v>34</v>
      </c>
      <c r="U7" s="305">
        <v>248</v>
      </c>
      <c r="V7" s="305">
        <v>252</v>
      </c>
      <c r="W7" s="305">
        <v>500</v>
      </c>
      <c r="X7" s="305">
        <v>19</v>
      </c>
      <c r="Y7" s="305">
        <v>10</v>
      </c>
      <c r="Z7" s="305">
        <v>29</v>
      </c>
      <c r="AA7" s="305">
        <v>88</v>
      </c>
      <c r="AB7" s="305">
        <v>114</v>
      </c>
      <c r="AC7" s="305">
        <v>202</v>
      </c>
      <c r="AD7" s="305">
        <v>34</v>
      </c>
      <c r="AE7" s="305">
        <v>41</v>
      </c>
      <c r="AF7" s="305">
        <v>75</v>
      </c>
      <c r="AG7" s="305">
        <v>199</v>
      </c>
      <c r="AH7" s="305">
        <v>235</v>
      </c>
      <c r="AI7" s="305">
        <v>434</v>
      </c>
      <c r="AJ7" s="305">
        <v>135</v>
      </c>
      <c r="AK7" s="305">
        <v>127</v>
      </c>
      <c r="AL7" s="305">
        <v>262</v>
      </c>
      <c r="AM7" s="305">
        <v>108226</v>
      </c>
      <c r="AN7" s="305">
        <v>108765</v>
      </c>
      <c r="AO7" s="409">
        <v>216991</v>
      </c>
    </row>
    <row r="8" spans="1:42" x14ac:dyDescent="0.35">
      <c r="A8" s="310" t="s">
        <v>254</v>
      </c>
      <c r="B8" s="311" t="s">
        <v>19</v>
      </c>
      <c r="C8" s="312">
        <v>1494</v>
      </c>
      <c r="D8" s="312">
        <v>1480</v>
      </c>
      <c r="E8" s="312">
        <v>2974</v>
      </c>
      <c r="F8" s="312">
        <v>1500</v>
      </c>
      <c r="G8" s="312">
        <v>1697</v>
      </c>
      <c r="H8" s="312">
        <v>3197</v>
      </c>
      <c r="I8" s="312">
        <v>562</v>
      </c>
      <c r="J8" s="312">
        <v>629</v>
      </c>
      <c r="K8" s="312">
        <v>1191</v>
      </c>
      <c r="L8" s="312">
        <v>2992</v>
      </c>
      <c r="M8" s="312">
        <v>2958</v>
      </c>
      <c r="N8" s="312">
        <v>5950</v>
      </c>
      <c r="O8" s="312">
        <v>70</v>
      </c>
      <c r="P8" s="312">
        <v>85</v>
      </c>
      <c r="Q8" s="312">
        <v>155</v>
      </c>
      <c r="R8" s="312">
        <v>2</v>
      </c>
      <c r="S8" s="312">
        <v>3</v>
      </c>
      <c r="T8" s="312">
        <v>5</v>
      </c>
      <c r="U8" s="312">
        <v>35</v>
      </c>
      <c r="V8" s="312">
        <v>60</v>
      </c>
      <c r="W8" s="312">
        <v>95</v>
      </c>
      <c r="X8" s="312">
        <v>7</v>
      </c>
      <c r="Y8" s="312">
        <v>2</v>
      </c>
      <c r="Z8" s="312">
        <v>9</v>
      </c>
      <c r="AA8" s="312">
        <v>30</v>
      </c>
      <c r="AB8" s="312">
        <v>28</v>
      </c>
      <c r="AC8" s="312">
        <v>58</v>
      </c>
      <c r="AD8" s="312">
        <v>14</v>
      </c>
      <c r="AE8" s="312">
        <v>17</v>
      </c>
      <c r="AF8" s="312">
        <v>31</v>
      </c>
      <c r="AG8" s="312">
        <v>41</v>
      </c>
      <c r="AH8" s="312">
        <v>49</v>
      </c>
      <c r="AI8" s="312">
        <v>90</v>
      </c>
      <c r="AJ8" s="312">
        <v>39</v>
      </c>
      <c r="AK8" s="312">
        <v>32</v>
      </c>
      <c r="AL8" s="312">
        <v>71</v>
      </c>
      <c r="AM8" s="312">
        <v>26177</v>
      </c>
      <c r="AN8" s="312">
        <v>26380</v>
      </c>
      <c r="AO8" s="410">
        <v>52557</v>
      </c>
    </row>
    <row r="9" spans="1:42" x14ac:dyDescent="0.35">
      <c r="A9" s="310" t="s">
        <v>255</v>
      </c>
      <c r="B9" s="311" t="s">
        <v>23</v>
      </c>
      <c r="C9" s="312">
        <v>1161</v>
      </c>
      <c r="D9" s="312">
        <v>1222</v>
      </c>
      <c r="E9" s="312">
        <v>2383</v>
      </c>
      <c r="F9" s="312">
        <v>1389</v>
      </c>
      <c r="G9" s="312">
        <v>1513</v>
      </c>
      <c r="H9" s="312">
        <v>2902</v>
      </c>
      <c r="I9" s="312">
        <v>568</v>
      </c>
      <c r="J9" s="312">
        <v>621</v>
      </c>
      <c r="K9" s="312">
        <v>1189</v>
      </c>
      <c r="L9" s="312">
        <v>2637</v>
      </c>
      <c r="M9" s="312">
        <v>2537</v>
      </c>
      <c r="N9" s="312">
        <v>5174</v>
      </c>
      <c r="O9" s="312">
        <v>156</v>
      </c>
      <c r="P9" s="312">
        <v>174</v>
      </c>
      <c r="Q9" s="312">
        <v>330</v>
      </c>
      <c r="R9" s="312">
        <v>6</v>
      </c>
      <c r="S9" s="312">
        <v>7</v>
      </c>
      <c r="T9" s="312">
        <v>13</v>
      </c>
      <c r="U9" s="312">
        <v>54</v>
      </c>
      <c r="V9" s="312">
        <v>55</v>
      </c>
      <c r="W9" s="312">
        <v>109</v>
      </c>
      <c r="X9" s="312">
        <v>5</v>
      </c>
      <c r="Y9" s="312">
        <v>2</v>
      </c>
      <c r="Z9" s="312">
        <v>7</v>
      </c>
      <c r="AA9" s="312">
        <v>16</v>
      </c>
      <c r="AB9" s="312">
        <v>24</v>
      </c>
      <c r="AC9" s="312">
        <v>40</v>
      </c>
      <c r="AD9" s="312">
        <v>6</v>
      </c>
      <c r="AE9" s="312">
        <v>6</v>
      </c>
      <c r="AF9" s="312">
        <v>12</v>
      </c>
      <c r="AG9" s="312">
        <v>48</v>
      </c>
      <c r="AH9" s="312">
        <v>59</v>
      </c>
      <c r="AI9" s="312">
        <v>107</v>
      </c>
      <c r="AJ9" s="312">
        <v>37</v>
      </c>
      <c r="AK9" s="312">
        <v>36</v>
      </c>
      <c r="AL9" s="312">
        <v>73</v>
      </c>
      <c r="AM9" s="312">
        <v>27337</v>
      </c>
      <c r="AN9" s="312">
        <v>27083</v>
      </c>
      <c r="AO9" s="410">
        <v>54420</v>
      </c>
    </row>
    <row r="10" spans="1:42" x14ac:dyDescent="0.35">
      <c r="A10" s="310" t="s">
        <v>256</v>
      </c>
      <c r="B10" s="311" t="s">
        <v>25</v>
      </c>
      <c r="C10" s="312">
        <v>1546</v>
      </c>
      <c r="D10" s="312">
        <v>1778</v>
      </c>
      <c r="E10" s="312">
        <v>3324</v>
      </c>
      <c r="F10" s="312">
        <v>1988</v>
      </c>
      <c r="G10" s="312">
        <v>2120</v>
      </c>
      <c r="H10" s="312">
        <v>4108</v>
      </c>
      <c r="I10" s="312">
        <v>752</v>
      </c>
      <c r="J10" s="312">
        <v>775</v>
      </c>
      <c r="K10" s="312">
        <v>1527</v>
      </c>
      <c r="L10" s="312">
        <v>3756</v>
      </c>
      <c r="M10" s="312">
        <v>3705</v>
      </c>
      <c r="N10" s="312">
        <v>7461</v>
      </c>
      <c r="O10" s="312">
        <v>86</v>
      </c>
      <c r="P10" s="312">
        <v>98</v>
      </c>
      <c r="Q10" s="312">
        <v>184</v>
      </c>
      <c r="R10" s="312">
        <v>4</v>
      </c>
      <c r="S10" s="312">
        <v>7</v>
      </c>
      <c r="T10" s="312">
        <v>11</v>
      </c>
      <c r="U10" s="312">
        <v>95</v>
      </c>
      <c r="V10" s="312">
        <v>93</v>
      </c>
      <c r="W10" s="312">
        <v>188</v>
      </c>
      <c r="X10" s="312">
        <v>5</v>
      </c>
      <c r="Y10" s="312">
        <v>3</v>
      </c>
      <c r="Z10" s="312">
        <v>8</v>
      </c>
      <c r="AA10" s="312">
        <v>27</v>
      </c>
      <c r="AB10" s="312">
        <v>45</v>
      </c>
      <c r="AC10" s="312">
        <v>72</v>
      </c>
      <c r="AD10" s="312">
        <v>6</v>
      </c>
      <c r="AE10" s="312">
        <v>7</v>
      </c>
      <c r="AF10" s="312">
        <v>13</v>
      </c>
      <c r="AG10" s="312">
        <v>74</v>
      </c>
      <c r="AH10" s="312">
        <v>84</v>
      </c>
      <c r="AI10" s="312">
        <v>158</v>
      </c>
      <c r="AJ10" s="312">
        <v>35</v>
      </c>
      <c r="AK10" s="312">
        <v>33</v>
      </c>
      <c r="AL10" s="312">
        <v>68</v>
      </c>
      <c r="AM10" s="312">
        <v>29548</v>
      </c>
      <c r="AN10" s="312">
        <v>29848</v>
      </c>
      <c r="AO10" s="410">
        <v>59396</v>
      </c>
    </row>
    <row r="11" spans="1:42" ht="15" thickBot="1" x14ac:dyDescent="0.4">
      <c r="A11" s="316" t="s">
        <v>257</v>
      </c>
      <c r="B11" s="317" t="s">
        <v>27</v>
      </c>
      <c r="C11" s="318">
        <v>1535</v>
      </c>
      <c r="D11" s="318">
        <v>1633</v>
      </c>
      <c r="E11" s="318">
        <v>3168</v>
      </c>
      <c r="F11" s="318">
        <v>1842</v>
      </c>
      <c r="G11" s="318">
        <v>2055</v>
      </c>
      <c r="H11" s="318">
        <v>3897</v>
      </c>
      <c r="I11" s="318">
        <v>689</v>
      </c>
      <c r="J11" s="318">
        <v>711</v>
      </c>
      <c r="K11" s="318">
        <v>1400</v>
      </c>
      <c r="L11" s="318">
        <v>3421</v>
      </c>
      <c r="M11" s="318">
        <v>3476</v>
      </c>
      <c r="N11" s="318">
        <v>6897</v>
      </c>
      <c r="O11" s="318">
        <v>162</v>
      </c>
      <c r="P11" s="318">
        <v>211</v>
      </c>
      <c r="Q11" s="318">
        <v>373</v>
      </c>
      <c r="R11" s="318">
        <v>3</v>
      </c>
      <c r="S11" s="318">
        <v>2</v>
      </c>
      <c r="T11" s="318">
        <v>5</v>
      </c>
      <c r="U11" s="318">
        <v>64</v>
      </c>
      <c r="V11" s="318">
        <v>44</v>
      </c>
      <c r="W11" s="318">
        <v>108</v>
      </c>
      <c r="X11" s="318">
        <v>2</v>
      </c>
      <c r="Y11" s="318">
        <v>3</v>
      </c>
      <c r="Z11" s="318">
        <v>5</v>
      </c>
      <c r="AA11" s="318">
        <v>15</v>
      </c>
      <c r="AB11" s="318">
        <v>17</v>
      </c>
      <c r="AC11" s="318">
        <v>32</v>
      </c>
      <c r="AD11" s="318">
        <v>8</v>
      </c>
      <c r="AE11" s="318">
        <v>11</v>
      </c>
      <c r="AF11" s="318">
        <v>19</v>
      </c>
      <c r="AG11" s="318">
        <v>36</v>
      </c>
      <c r="AH11" s="318">
        <v>43</v>
      </c>
      <c r="AI11" s="318">
        <v>79</v>
      </c>
      <c r="AJ11" s="318">
        <v>24</v>
      </c>
      <c r="AK11" s="318">
        <v>26</v>
      </c>
      <c r="AL11" s="318">
        <v>50</v>
      </c>
      <c r="AM11" s="318">
        <v>25164</v>
      </c>
      <c r="AN11" s="318">
        <v>25454</v>
      </c>
      <c r="AO11" s="411">
        <v>50618</v>
      </c>
    </row>
    <row r="12" spans="1:42" x14ac:dyDescent="0.35">
      <c r="A12" s="322" t="s">
        <v>258</v>
      </c>
      <c r="B12" s="323" t="s">
        <v>34</v>
      </c>
      <c r="C12" s="324">
        <v>5277</v>
      </c>
      <c r="D12" s="324">
        <v>5770</v>
      </c>
      <c r="E12" s="324">
        <v>11047</v>
      </c>
      <c r="F12" s="324">
        <v>6385</v>
      </c>
      <c r="G12" s="324">
        <v>7020</v>
      </c>
      <c r="H12" s="324">
        <v>13405</v>
      </c>
      <c r="I12" s="324">
        <v>2367</v>
      </c>
      <c r="J12" s="324">
        <v>2508</v>
      </c>
      <c r="K12" s="324">
        <v>4875</v>
      </c>
      <c r="L12" s="324">
        <v>11690</v>
      </c>
      <c r="M12" s="324">
        <v>11629</v>
      </c>
      <c r="N12" s="324">
        <v>23319</v>
      </c>
      <c r="O12" s="324">
        <v>689</v>
      </c>
      <c r="P12" s="324">
        <v>770</v>
      </c>
      <c r="Q12" s="324">
        <v>1459</v>
      </c>
      <c r="R12" s="324">
        <v>18</v>
      </c>
      <c r="S12" s="324">
        <v>19</v>
      </c>
      <c r="T12" s="324">
        <v>37</v>
      </c>
      <c r="U12" s="324">
        <v>260</v>
      </c>
      <c r="V12" s="324">
        <v>279</v>
      </c>
      <c r="W12" s="324">
        <v>539</v>
      </c>
      <c r="X12" s="324">
        <v>10</v>
      </c>
      <c r="Y12" s="324">
        <v>14</v>
      </c>
      <c r="Z12" s="324">
        <v>24</v>
      </c>
      <c r="AA12" s="324">
        <v>94</v>
      </c>
      <c r="AB12" s="324">
        <v>107</v>
      </c>
      <c r="AC12" s="324">
        <v>201</v>
      </c>
      <c r="AD12" s="324">
        <v>36</v>
      </c>
      <c r="AE12" s="324">
        <v>29</v>
      </c>
      <c r="AF12" s="324">
        <v>65</v>
      </c>
      <c r="AG12" s="324">
        <v>209</v>
      </c>
      <c r="AH12" s="324">
        <v>232</v>
      </c>
      <c r="AI12" s="324">
        <v>441</v>
      </c>
      <c r="AJ12" s="324">
        <v>180</v>
      </c>
      <c r="AK12" s="324">
        <v>204</v>
      </c>
      <c r="AL12" s="324">
        <v>384</v>
      </c>
      <c r="AM12" s="324">
        <v>108614</v>
      </c>
      <c r="AN12" s="324">
        <v>107846</v>
      </c>
      <c r="AO12" s="412">
        <v>216460</v>
      </c>
    </row>
    <row r="13" spans="1:42" x14ac:dyDescent="0.35">
      <c r="A13" s="328" t="s">
        <v>259</v>
      </c>
      <c r="B13" s="329" t="s">
        <v>30</v>
      </c>
      <c r="C13" s="330">
        <v>1324</v>
      </c>
      <c r="D13" s="330">
        <v>1419</v>
      </c>
      <c r="E13" s="330">
        <v>2743</v>
      </c>
      <c r="F13" s="330">
        <v>1681</v>
      </c>
      <c r="G13" s="330">
        <v>1782</v>
      </c>
      <c r="H13" s="330">
        <v>3463</v>
      </c>
      <c r="I13" s="330">
        <v>596</v>
      </c>
      <c r="J13" s="330">
        <v>609</v>
      </c>
      <c r="K13" s="330">
        <v>1205</v>
      </c>
      <c r="L13" s="330">
        <v>2852</v>
      </c>
      <c r="M13" s="330">
        <v>2956</v>
      </c>
      <c r="N13" s="330">
        <v>5808</v>
      </c>
      <c r="O13" s="330">
        <v>100</v>
      </c>
      <c r="P13" s="330">
        <v>116</v>
      </c>
      <c r="Q13" s="330">
        <v>216</v>
      </c>
      <c r="R13" s="330">
        <v>8</v>
      </c>
      <c r="S13" s="330">
        <v>4</v>
      </c>
      <c r="T13" s="330">
        <v>12</v>
      </c>
      <c r="U13" s="330">
        <v>60</v>
      </c>
      <c r="V13" s="330">
        <v>69</v>
      </c>
      <c r="W13" s="330">
        <v>129</v>
      </c>
      <c r="X13" s="330">
        <v>3</v>
      </c>
      <c r="Y13" s="330">
        <v>3</v>
      </c>
      <c r="Z13" s="330">
        <v>6</v>
      </c>
      <c r="AA13" s="330">
        <v>16</v>
      </c>
      <c r="AB13" s="330">
        <v>19</v>
      </c>
      <c r="AC13" s="330">
        <v>35</v>
      </c>
      <c r="AD13" s="330">
        <v>10</v>
      </c>
      <c r="AE13" s="330">
        <v>8</v>
      </c>
      <c r="AF13" s="330">
        <v>18</v>
      </c>
      <c r="AG13" s="330">
        <v>43</v>
      </c>
      <c r="AH13" s="330">
        <v>44</v>
      </c>
      <c r="AI13" s="330">
        <v>87</v>
      </c>
      <c r="AJ13" s="330">
        <v>42</v>
      </c>
      <c r="AK13" s="330">
        <v>65</v>
      </c>
      <c r="AL13" s="330">
        <v>107</v>
      </c>
      <c r="AM13" s="330">
        <v>26095</v>
      </c>
      <c r="AN13" s="330">
        <v>25592</v>
      </c>
      <c r="AO13" s="413">
        <v>51687</v>
      </c>
    </row>
    <row r="14" spans="1:42" x14ac:dyDescent="0.35">
      <c r="A14" s="328" t="s">
        <v>260</v>
      </c>
      <c r="B14" s="329" t="s">
        <v>33</v>
      </c>
      <c r="C14" s="330">
        <v>649</v>
      </c>
      <c r="D14" s="330">
        <v>730</v>
      </c>
      <c r="E14" s="330">
        <v>1379</v>
      </c>
      <c r="F14" s="330">
        <v>832</v>
      </c>
      <c r="G14" s="330">
        <v>921</v>
      </c>
      <c r="H14" s="330">
        <v>1753</v>
      </c>
      <c r="I14" s="330">
        <v>330</v>
      </c>
      <c r="J14" s="330">
        <v>332</v>
      </c>
      <c r="K14" s="330">
        <v>662</v>
      </c>
      <c r="L14" s="330">
        <v>1572</v>
      </c>
      <c r="M14" s="330">
        <v>1568</v>
      </c>
      <c r="N14" s="330">
        <v>3140</v>
      </c>
      <c r="O14" s="330">
        <v>189</v>
      </c>
      <c r="P14" s="330">
        <v>193</v>
      </c>
      <c r="Q14" s="330">
        <v>382</v>
      </c>
      <c r="R14" s="330">
        <v>0</v>
      </c>
      <c r="S14" s="330">
        <v>3</v>
      </c>
      <c r="T14" s="330">
        <v>3</v>
      </c>
      <c r="U14" s="330">
        <v>35</v>
      </c>
      <c r="V14" s="330">
        <v>37</v>
      </c>
      <c r="W14" s="330">
        <v>72</v>
      </c>
      <c r="X14" s="330">
        <v>1</v>
      </c>
      <c r="Y14" s="330">
        <v>1</v>
      </c>
      <c r="Z14" s="330">
        <v>2</v>
      </c>
      <c r="AA14" s="330">
        <v>17</v>
      </c>
      <c r="AB14" s="330">
        <v>31</v>
      </c>
      <c r="AC14" s="330">
        <v>48</v>
      </c>
      <c r="AD14" s="330">
        <v>7</v>
      </c>
      <c r="AE14" s="330">
        <v>10</v>
      </c>
      <c r="AF14" s="330">
        <v>17</v>
      </c>
      <c r="AG14" s="330">
        <v>36</v>
      </c>
      <c r="AH14" s="330">
        <v>42</v>
      </c>
      <c r="AI14" s="330">
        <v>78</v>
      </c>
      <c r="AJ14" s="330">
        <v>44</v>
      </c>
      <c r="AK14" s="330">
        <v>35</v>
      </c>
      <c r="AL14" s="330">
        <v>79</v>
      </c>
      <c r="AM14" s="330">
        <v>21198</v>
      </c>
      <c r="AN14" s="330">
        <v>21106</v>
      </c>
      <c r="AO14" s="413">
        <v>42304</v>
      </c>
    </row>
    <row r="15" spans="1:42" x14ac:dyDescent="0.35">
      <c r="A15" s="328" t="s">
        <v>261</v>
      </c>
      <c r="B15" s="329" t="s">
        <v>36</v>
      </c>
      <c r="C15" s="330">
        <v>946</v>
      </c>
      <c r="D15" s="330">
        <v>1022</v>
      </c>
      <c r="E15" s="330">
        <v>1968</v>
      </c>
      <c r="F15" s="330">
        <v>1101</v>
      </c>
      <c r="G15" s="330">
        <v>1229</v>
      </c>
      <c r="H15" s="330">
        <v>2330</v>
      </c>
      <c r="I15" s="330">
        <v>393</v>
      </c>
      <c r="J15" s="330">
        <v>483</v>
      </c>
      <c r="K15" s="330">
        <v>876</v>
      </c>
      <c r="L15" s="330">
        <v>2112</v>
      </c>
      <c r="M15" s="330">
        <v>2016</v>
      </c>
      <c r="N15" s="330">
        <v>4128</v>
      </c>
      <c r="O15" s="330">
        <v>66</v>
      </c>
      <c r="P15" s="330">
        <v>87</v>
      </c>
      <c r="Q15" s="330">
        <v>153</v>
      </c>
      <c r="R15" s="330">
        <v>2</v>
      </c>
      <c r="S15" s="330">
        <v>3</v>
      </c>
      <c r="T15" s="330">
        <v>5</v>
      </c>
      <c r="U15" s="330">
        <v>50</v>
      </c>
      <c r="V15" s="330">
        <v>51</v>
      </c>
      <c r="W15" s="330">
        <v>101</v>
      </c>
      <c r="X15" s="330">
        <v>4</v>
      </c>
      <c r="Y15" s="330">
        <v>2</v>
      </c>
      <c r="Z15" s="330">
        <v>6</v>
      </c>
      <c r="AA15" s="330">
        <v>15</v>
      </c>
      <c r="AB15" s="330">
        <v>19</v>
      </c>
      <c r="AC15" s="330">
        <v>34</v>
      </c>
      <c r="AD15" s="330">
        <v>6</v>
      </c>
      <c r="AE15" s="330">
        <v>3</v>
      </c>
      <c r="AF15" s="330">
        <v>9</v>
      </c>
      <c r="AG15" s="330">
        <v>33</v>
      </c>
      <c r="AH15" s="330">
        <v>36</v>
      </c>
      <c r="AI15" s="330">
        <v>69</v>
      </c>
      <c r="AJ15" s="330">
        <v>29</v>
      </c>
      <c r="AK15" s="330">
        <v>20</v>
      </c>
      <c r="AL15" s="330">
        <v>49</v>
      </c>
      <c r="AM15" s="330">
        <v>17978</v>
      </c>
      <c r="AN15" s="330">
        <v>17816</v>
      </c>
      <c r="AO15" s="413">
        <v>35794</v>
      </c>
    </row>
    <row r="16" spans="1:42" x14ac:dyDescent="0.35">
      <c r="A16" s="328" t="s">
        <v>262</v>
      </c>
      <c r="B16" s="329" t="s">
        <v>38</v>
      </c>
      <c r="C16" s="330">
        <v>790</v>
      </c>
      <c r="D16" s="330">
        <v>839</v>
      </c>
      <c r="E16" s="330">
        <v>1629</v>
      </c>
      <c r="F16" s="330">
        <v>998</v>
      </c>
      <c r="G16" s="330">
        <v>1086</v>
      </c>
      <c r="H16" s="330">
        <v>2084</v>
      </c>
      <c r="I16" s="330">
        <v>358</v>
      </c>
      <c r="J16" s="330">
        <v>364</v>
      </c>
      <c r="K16" s="330">
        <v>722</v>
      </c>
      <c r="L16" s="330">
        <v>1810</v>
      </c>
      <c r="M16" s="330">
        <v>1753</v>
      </c>
      <c r="N16" s="330">
        <v>3563</v>
      </c>
      <c r="O16" s="330">
        <v>58</v>
      </c>
      <c r="P16" s="330">
        <v>85</v>
      </c>
      <c r="Q16" s="330">
        <v>143</v>
      </c>
      <c r="R16" s="330">
        <v>4</v>
      </c>
      <c r="S16" s="330">
        <v>1</v>
      </c>
      <c r="T16" s="330">
        <v>5</v>
      </c>
      <c r="U16" s="330">
        <v>30</v>
      </c>
      <c r="V16" s="330">
        <v>22</v>
      </c>
      <c r="W16" s="330">
        <v>52</v>
      </c>
      <c r="X16" s="330">
        <v>1</v>
      </c>
      <c r="Y16" s="330">
        <v>2</v>
      </c>
      <c r="Z16" s="330">
        <v>3</v>
      </c>
      <c r="AA16" s="330">
        <v>10</v>
      </c>
      <c r="AB16" s="330">
        <v>12</v>
      </c>
      <c r="AC16" s="330">
        <v>22</v>
      </c>
      <c r="AD16" s="330">
        <v>4</v>
      </c>
      <c r="AE16" s="330">
        <v>1</v>
      </c>
      <c r="AF16" s="330">
        <v>5</v>
      </c>
      <c r="AG16" s="330">
        <v>27</v>
      </c>
      <c r="AH16" s="330">
        <v>36</v>
      </c>
      <c r="AI16" s="330">
        <v>63</v>
      </c>
      <c r="AJ16" s="330">
        <v>17</v>
      </c>
      <c r="AK16" s="330">
        <v>28</v>
      </c>
      <c r="AL16" s="330">
        <v>45</v>
      </c>
      <c r="AM16" s="330">
        <v>13612</v>
      </c>
      <c r="AN16" s="330">
        <v>13718</v>
      </c>
      <c r="AO16" s="413">
        <v>27330</v>
      </c>
    </row>
    <row r="17" spans="1:41" ht="15" thickBot="1" x14ac:dyDescent="0.4">
      <c r="A17" s="335" t="s">
        <v>263</v>
      </c>
      <c r="B17" s="336" t="s">
        <v>40</v>
      </c>
      <c r="C17" s="337">
        <v>1568</v>
      </c>
      <c r="D17" s="337">
        <v>1760</v>
      </c>
      <c r="E17" s="337">
        <v>3328</v>
      </c>
      <c r="F17" s="337">
        <v>1773</v>
      </c>
      <c r="G17" s="337">
        <v>2002</v>
      </c>
      <c r="H17" s="337">
        <v>3775</v>
      </c>
      <c r="I17" s="337">
        <v>690</v>
      </c>
      <c r="J17" s="337">
        <v>720</v>
      </c>
      <c r="K17" s="337">
        <v>1410</v>
      </c>
      <c r="L17" s="337">
        <v>3344</v>
      </c>
      <c r="M17" s="337">
        <v>3336</v>
      </c>
      <c r="N17" s="337">
        <v>6680</v>
      </c>
      <c r="O17" s="337">
        <v>276</v>
      </c>
      <c r="P17" s="337">
        <v>289</v>
      </c>
      <c r="Q17" s="337">
        <v>565</v>
      </c>
      <c r="R17" s="337">
        <v>4</v>
      </c>
      <c r="S17" s="337">
        <v>8</v>
      </c>
      <c r="T17" s="337">
        <v>12</v>
      </c>
      <c r="U17" s="337">
        <v>85</v>
      </c>
      <c r="V17" s="337">
        <v>100</v>
      </c>
      <c r="W17" s="337">
        <v>185</v>
      </c>
      <c r="X17" s="337">
        <v>1</v>
      </c>
      <c r="Y17" s="337">
        <v>6</v>
      </c>
      <c r="Z17" s="337">
        <v>7</v>
      </c>
      <c r="AA17" s="337">
        <v>36</v>
      </c>
      <c r="AB17" s="337">
        <v>26</v>
      </c>
      <c r="AC17" s="337">
        <v>62</v>
      </c>
      <c r="AD17" s="337">
        <v>9</v>
      </c>
      <c r="AE17" s="337">
        <v>7</v>
      </c>
      <c r="AF17" s="337">
        <v>16</v>
      </c>
      <c r="AG17" s="337">
        <v>70</v>
      </c>
      <c r="AH17" s="337">
        <v>74</v>
      </c>
      <c r="AI17" s="337">
        <v>144</v>
      </c>
      <c r="AJ17" s="337">
        <v>48</v>
      </c>
      <c r="AK17" s="337">
        <v>56</v>
      </c>
      <c r="AL17" s="337">
        <v>104</v>
      </c>
      <c r="AM17" s="337">
        <v>29731</v>
      </c>
      <c r="AN17" s="337">
        <v>29614</v>
      </c>
      <c r="AO17" s="414">
        <v>59345</v>
      </c>
    </row>
    <row r="18" spans="1:41" x14ac:dyDescent="0.35">
      <c r="A18" s="303" t="s">
        <v>264</v>
      </c>
      <c r="B18" s="304" t="s">
        <v>47</v>
      </c>
      <c r="C18" s="305">
        <v>6597</v>
      </c>
      <c r="D18" s="305">
        <v>6921</v>
      </c>
      <c r="E18" s="305">
        <v>13518</v>
      </c>
      <c r="F18" s="305">
        <v>7732</v>
      </c>
      <c r="G18" s="305">
        <v>8280</v>
      </c>
      <c r="H18" s="305">
        <v>16012</v>
      </c>
      <c r="I18" s="305">
        <v>3164</v>
      </c>
      <c r="J18" s="305">
        <v>2990</v>
      </c>
      <c r="K18" s="305">
        <v>6154</v>
      </c>
      <c r="L18" s="305">
        <v>15593</v>
      </c>
      <c r="M18" s="305">
        <v>15078</v>
      </c>
      <c r="N18" s="305">
        <v>30671</v>
      </c>
      <c r="O18" s="305">
        <v>2579</v>
      </c>
      <c r="P18" s="305">
        <v>2732</v>
      </c>
      <c r="Q18" s="305">
        <v>5311</v>
      </c>
      <c r="R18" s="305">
        <v>16</v>
      </c>
      <c r="S18" s="305">
        <v>26</v>
      </c>
      <c r="T18" s="305">
        <v>42</v>
      </c>
      <c r="U18" s="305">
        <v>338</v>
      </c>
      <c r="V18" s="305">
        <v>434</v>
      </c>
      <c r="W18" s="305">
        <v>772</v>
      </c>
      <c r="X18" s="305">
        <v>13</v>
      </c>
      <c r="Y18" s="305">
        <v>15</v>
      </c>
      <c r="Z18" s="305">
        <v>28</v>
      </c>
      <c r="AA18" s="305">
        <v>133</v>
      </c>
      <c r="AB18" s="305">
        <v>162</v>
      </c>
      <c r="AC18" s="305">
        <v>295</v>
      </c>
      <c r="AD18" s="305">
        <v>44</v>
      </c>
      <c r="AE18" s="305">
        <v>35</v>
      </c>
      <c r="AF18" s="305">
        <v>79</v>
      </c>
      <c r="AG18" s="305">
        <v>270</v>
      </c>
      <c r="AH18" s="305">
        <v>293</v>
      </c>
      <c r="AI18" s="305">
        <v>563</v>
      </c>
      <c r="AJ18" s="305">
        <v>263</v>
      </c>
      <c r="AK18" s="305">
        <v>253</v>
      </c>
      <c r="AL18" s="305">
        <v>516</v>
      </c>
      <c r="AM18" s="305">
        <v>137771</v>
      </c>
      <c r="AN18" s="305">
        <v>136890</v>
      </c>
      <c r="AO18" s="409">
        <v>274661</v>
      </c>
    </row>
    <row r="19" spans="1:41" x14ac:dyDescent="0.35">
      <c r="A19" s="310" t="s">
        <v>265</v>
      </c>
      <c r="B19" s="311" t="s">
        <v>43</v>
      </c>
      <c r="C19" s="312">
        <v>1744</v>
      </c>
      <c r="D19" s="312">
        <v>1764</v>
      </c>
      <c r="E19" s="312">
        <v>3508</v>
      </c>
      <c r="F19" s="312">
        <v>2037</v>
      </c>
      <c r="G19" s="312">
        <v>2156</v>
      </c>
      <c r="H19" s="312">
        <v>4193</v>
      </c>
      <c r="I19" s="312">
        <v>823</v>
      </c>
      <c r="J19" s="312">
        <v>796</v>
      </c>
      <c r="K19" s="312">
        <v>1619</v>
      </c>
      <c r="L19" s="312">
        <v>4241</v>
      </c>
      <c r="M19" s="312">
        <v>4078</v>
      </c>
      <c r="N19" s="312">
        <v>8319</v>
      </c>
      <c r="O19" s="312">
        <v>1156</v>
      </c>
      <c r="P19" s="312">
        <v>1174</v>
      </c>
      <c r="Q19" s="312">
        <v>2330</v>
      </c>
      <c r="R19" s="312">
        <v>8</v>
      </c>
      <c r="S19" s="312">
        <v>10</v>
      </c>
      <c r="T19" s="312">
        <v>18</v>
      </c>
      <c r="U19" s="312">
        <v>81</v>
      </c>
      <c r="V19" s="312">
        <v>115</v>
      </c>
      <c r="W19" s="312">
        <v>196</v>
      </c>
      <c r="X19" s="312">
        <v>4</v>
      </c>
      <c r="Y19" s="312">
        <v>1</v>
      </c>
      <c r="Z19" s="312">
        <v>5</v>
      </c>
      <c r="AA19" s="312">
        <v>26</v>
      </c>
      <c r="AB19" s="312">
        <v>37</v>
      </c>
      <c r="AC19" s="312">
        <v>63</v>
      </c>
      <c r="AD19" s="312">
        <v>17</v>
      </c>
      <c r="AE19" s="312">
        <v>11</v>
      </c>
      <c r="AF19" s="312">
        <v>28</v>
      </c>
      <c r="AG19" s="312">
        <v>62</v>
      </c>
      <c r="AH19" s="312">
        <v>76</v>
      </c>
      <c r="AI19" s="312">
        <v>138</v>
      </c>
      <c r="AJ19" s="312">
        <v>92</v>
      </c>
      <c r="AK19" s="312">
        <v>72</v>
      </c>
      <c r="AL19" s="312">
        <v>164</v>
      </c>
      <c r="AM19" s="312">
        <v>38704</v>
      </c>
      <c r="AN19" s="312">
        <v>38259</v>
      </c>
      <c r="AO19" s="410">
        <v>76963</v>
      </c>
    </row>
    <row r="20" spans="1:41" x14ac:dyDescent="0.35">
      <c r="A20" s="310" t="s">
        <v>266</v>
      </c>
      <c r="B20" s="311" t="s">
        <v>45</v>
      </c>
      <c r="C20" s="312">
        <v>598</v>
      </c>
      <c r="D20" s="312">
        <v>622</v>
      </c>
      <c r="E20" s="312">
        <v>1220</v>
      </c>
      <c r="F20" s="312">
        <v>649</v>
      </c>
      <c r="G20" s="312">
        <v>746</v>
      </c>
      <c r="H20" s="312">
        <v>1395</v>
      </c>
      <c r="I20" s="312">
        <v>290</v>
      </c>
      <c r="J20" s="312">
        <v>284</v>
      </c>
      <c r="K20" s="312">
        <v>574</v>
      </c>
      <c r="L20" s="312">
        <v>1429</v>
      </c>
      <c r="M20" s="312">
        <v>1291</v>
      </c>
      <c r="N20" s="312">
        <v>2720</v>
      </c>
      <c r="O20" s="312">
        <v>221</v>
      </c>
      <c r="P20" s="312">
        <v>232</v>
      </c>
      <c r="Q20" s="312">
        <v>453</v>
      </c>
      <c r="R20" s="312">
        <v>2</v>
      </c>
      <c r="S20" s="312">
        <v>2</v>
      </c>
      <c r="T20" s="312">
        <v>4</v>
      </c>
      <c r="U20" s="312">
        <v>31</v>
      </c>
      <c r="V20" s="312">
        <v>42</v>
      </c>
      <c r="W20" s="312">
        <v>73</v>
      </c>
      <c r="X20" s="312">
        <v>2</v>
      </c>
      <c r="Y20" s="312">
        <v>0</v>
      </c>
      <c r="Z20" s="312">
        <v>2</v>
      </c>
      <c r="AA20" s="312">
        <v>16</v>
      </c>
      <c r="AB20" s="312">
        <v>13</v>
      </c>
      <c r="AC20" s="312">
        <v>29</v>
      </c>
      <c r="AD20" s="312">
        <v>4</v>
      </c>
      <c r="AE20" s="312">
        <v>2</v>
      </c>
      <c r="AF20" s="312">
        <v>6</v>
      </c>
      <c r="AG20" s="312">
        <v>20</v>
      </c>
      <c r="AH20" s="312">
        <v>27</v>
      </c>
      <c r="AI20" s="312">
        <v>47</v>
      </c>
      <c r="AJ20" s="312">
        <v>15</v>
      </c>
      <c r="AK20" s="312">
        <v>29</v>
      </c>
      <c r="AL20" s="312">
        <v>44</v>
      </c>
      <c r="AM20" s="312">
        <v>17157</v>
      </c>
      <c r="AN20" s="312">
        <v>17084</v>
      </c>
      <c r="AO20" s="410">
        <v>34241</v>
      </c>
    </row>
    <row r="21" spans="1:41" x14ac:dyDescent="0.35">
      <c r="A21" s="310" t="s">
        <v>267</v>
      </c>
      <c r="B21" s="311" t="s">
        <v>48</v>
      </c>
      <c r="C21" s="312">
        <v>819</v>
      </c>
      <c r="D21" s="312">
        <v>782</v>
      </c>
      <c r="E21" s="312">
        <v>1601</v>
      </c>
      <c r="F21" s="312">
        <v>918</v>
      </c>
      <c r="G21" s="312">
        <v>944</v>
      </c>
      <c r="H21" s="312">
        <v>1862</v>
      </c>
      <c r="I21" s="312">
        <v>345</v>
      </c>
      <c r="J21" s="312">
        <v>320</v>
      </c>
      <c r="K21" s="312">
        <v>665</v>
      </c>
      <c r="L21" s="312">
        <v>1625</v>
      </c>
      <c r="M21" s="312">
        <v>1641</v>
      </c>
      <c r="N21" s="312">
        <v>3266</v>
      </c>
      <c r="O21" s="312">
        <v>276</v>
      </c>
      <c r="P21" s="312">
        <v>296</v>
      </c>
      <c r="Q21" s="312">
        <v>572</v>
      </c>
      <c r="R21" s="312">
        <v>0</v>
      </c>
      <c r="S21" s="312">
        <v>4</v>
      </c>
      <c r="T21" s="312">
        <v>4</v>
      </c>
      <c r="U21" s="312">
        <v>45</v>
      </c>
      <c r="V21" s="312">
        <v>59</v>
      </c>
      <c r="W21" s="312">
        <v>104</v>
      </c>
      <c r="X21" s="312">
        <v>2</v>
      </c>
      <c r="Y21" s="312">
        <v>0</v>
      </c>
      <c r="Z21" s="312">
        <v>2</v>
      </c>
      <c r="AA21" s="312">
        <v>13</v>
      </c>
      <c r="AB21" s="312">
        <v>27</v>
      </c>
      <c r="AC21" s="312">
        <v>40</v>
      </c>
      <c r="AD21" s="312">
        <v>2</v>
      </c>
      <c r="AE21" s="312">
        <v>1</v>
      </c>
      <c r="AF21" s="312">
        <v>3</v>
      </c>
      <c r="AG21" s="312">
        <v>43</v>
      </c>
      <c r="AH21" s="312">
        <v>40</v>
      </c>
      <c r="AI21" s="312">
        <v>83</v>
      </c>
      <c r="AJ21" s="312">
        <v>17</v>
      </c>
      <c r="AK21" s="312">
        <v>25</v>
      </c>
      <c r="AL21" s="312">
        <v>42</v>
      </c>
      <c r="AM21" s="312">
        <v>10578</v>
      </c>
      <c r="AN21" s="312">
        <v>10269</v>
      </c>
      <c r="AO21" s="410">
        <v>20847</v>
      </c>
    </row>
    <row r="22" spans="1:41" x14ac:dyDescent="0.35">
      <c r="A22" s="310" t="s">
        <v>268</v>
      </c>
      <c r="B22" s="311" t="s">
        <v>50</v>
      </c>
      <c r="C22" s="312">
        <v>1444</v>
      </c>
      <c r="D22" s="312">
        <v>1522</v>
      </c>
      <c r="E22" s="312">
        <v>2966</v>
      </c>
      <c r="F22" s="312">
        <v>1671</v>
      </c>
      <c r="G22" s="312">
        <v>1826</v>
      </c>
      <c r="H22" s="312">
        <v>3497</v>
      </c>
      <c r="I22" s="312">
        <v>779</v>
      </c>
      <c r="J22" s="312">
        <v>691</v>
      </c>
      <c r="K22" s="312">
        <v>1470</v>
      </c>
      <c r="L22" s="312">
        <v>3479</v>
      </c>
      <c r="M22" s="312">
        <v>3352</v>
      </c>
      <c r="N22" s="312">
        <v>6831</v>
      </c>
      <c r="O22" s="312">
        <v>321</v>
      </c>
      <c r="P22" s="312">
        <v>344</v>
      </c>
      <c r="Q22" s="312">
        <v>665</v>
      </c>
      <c r="R22" s="312">
        <v>4</v>
      </c>
      <c r="S22" s="312">
        <v>5</v>
      </c>
      <c r="T22" s="312">
        <v>9</v>
      </c>
      <c r="U22" s="312">
        <v>64</v>
      </c>
      <c r="V22" s="312">
        <v>83</v>
      </c>
      <c r="W22" s="312">
        <v>147</v>
      </c>
      <c r="X22" s="312">
        <v>2</v>
      </c>
      <c r="Y22" s="312">
        <v>6</v>
      </c>
      <c r="Z22" s="312">
        <v>8</v>
      </c>
      <c r="AA22" s="312">
        <v>31</v>
      </c>
      <c r="AB22" s="312">
        <v>33</v>
      </c>
      <c r="AC22" s="312">
        <v>64</v>
      </c>
      <c r="AD22" s="312">
        <v>5</v>
      </c>
      <c r="AE22" s="312">
        <v>6</v>
      </c>
      <c r="AF22" s="312">
        <v>11</v>
      </c>
      <c r="AG22" s="312">
        <v>60</v>
      </c>
      <c r="AH22" s="312">
        <v>57</v>
      </c>
      <c r="AI22" s="312">
        <v>117</v>
      </c>
      <c r="AJ22" s="312">
        <v>53</v>
      </c>
      <c r="AK22" s="312">
        <v>43</v>
      </c>
      <c r="AL22" s="312">
        <v>96</v>
      </c>
      <c r="AM22" s="312">
        <v>28136</v>
      </c>
      <c r="AN22" s="312">
        <v>27818</v>
      </c>
      <c r="AO22" s="410">
        <v>55954</v>
      </c>
    </row>
    <row r="23" spans="1:41" x14ac:dyDescent="0.35">
      <c r="A23" s="310" t="s">
        <v>269</v>
      </c>
      <c r="B23" s="311" t="s">
        <v>52</v>
      </c>
      <c r="C23" s="312">
        <v>420</v>
      </c>
      <c r="D23" s="312">
        <v>457</v>
      </c>
      <c r="E23" s="312">
        <v>877</v>
      </c>
      <c r="F23" s="312">
        <v>463</v>
      </c>
      <c r="G23" s="312">
        <v>526</v>
      </c>
      <c r="H23" s="312">
        <v>989</v>
      </c>
      <c r="I23" s="312">
        <v>179</v>
      </c>
      <c r="J23" s="312">
        <v>186</v>
      </c>
      <c r="K23" s="312">
        <v>365</v>
      </c>
      <c r="L23" s="312">
        <v>1004</v>
      </c>
      <c r="M23" s="312">
        <v>913</v>
      </c>
      <c r="N23" s="312">
        <v>1917</v>
      </c>
      <c r="O23" s="312">
        <v>75</v>
      </c>
      <c r="P23" s="312">
        <v>81</v>
      </c>
      <c r="Q23" s="312">
        <v>156</v>
      </c>
      <c r="R23" s="312">
        <v>1</v>
      </c>
      <c r="S23" s="312">
        <v>0</v>
      </c>
      <c r="T23" s="312">
        <v>1</v>
      </c>
      <c r="U23" s="312">
        <v>22</v>
      </c>
      <c r="V23" s="312">
        <v>24</v>
      </c>
      <c r="W23" s="312">
        <v>46</v>
      </c>
      <c r="X23" s="312">
        <v>1</v>
      </c>
      <c r="Y23" s="312">
        <v>1</v>
      </c>
      <c r="Z23" s="312">
        <v>2</v>
      </c>
      <c r="AA23" s="312">
        <v>11</v>
      </c>
      <c r="AB23" s="312">
        <v>11</v>
      </c>
      <c r="AC23" s="312">
        <v>22</v>
      </c>
      <c r="AD23" s="312">
        <v>3</v>
      </c>
      <c r="AE23" s="312">
        <v>0</v>
      </c>
      <c r="AF23" s="312">
        <v>3</v>
      </c>
      <c r="AG23" s="312">
        <v>16</v>
      </c>
      <c r="AH23" s="312">
        <v>19</v>
      </c>
      <c r="AI23" s="312">
        <v>35</v>
      </c>
      <c r="AJ23" s="312">
        <v>28</v>
      </c>
      <c r="AK23" s="312">
        <v>19</v>
      </c>
      <c r="AL23" s="312">
        <v>47</v>
      </c>
      <c r="AM23" s="312">
        <v>10373</v>
      </c>
      <c r="AN23" s="312">
        <v>10210</v>
      </c>
      <c r="AO23" s="410">
        <v>20583</v>
      </c>
    </row>
    <row r="24" spans="1:41" ht="15" thickBot="1" x14ac:dyDescent="0.4">
      <c r="A24" s="316" t="s">
        <v>270</v>
      </c>
      <c r="B24" s="317" t="s">
        <v>54</v>
      </c>
      <c r="C24" s="318">
        <v>1572</v>
      </c>
      <c r="D24" s="318">
        <v>1774</v>
      </c>
      <c r="E24" s="318">
        <v>3346</v>
      </c>
      <c r="F24" s="318">
        <v>1994</v>
      </c>
      <c r="G24" s="318">
        <v>2082</v>
      </c>
      <c r="H24" s="318">
        <v>4076</v>
      </c>
      <c r="I24" s="318">
        <v>748</v>
      </c>
      <c r="J24" s="318">
        <v>713</v>
      </c>
      <c r="K24" s="318">
        <v>1461</v>
      </c>
      <c r="L24" s="318">
        <v>3815</v>
      </c>
      <c r="M24" s="318">
        <v>3803</v>
      </c>
      <c r="N24" s="318">
        <v>7618</v>
      </c>
      <c r="O24" s="318">
        <v>530</v>
      </c>
      <c r="P24" s="318">
        <v>605</v>
      </c>
      <c r="Q24" s="318">
        <v>1135</v>
      </c>
      <c r="R24" s="318">
        <v>1</v>
      </c>
      <c r="S24" s="318">
        <v>5</v>
      </c>
      <c r="T24" s="318">
        <v>6</v>
      </c>
      <c r="U24" s="318">
        <v>95</v>
      </c>
      <c r="V24" s="318">
        <v>111</v>
      </c>
      <c r="W24" s="318">
        <v>206</v>
      </c>
      <c r="X24" s="318">
        <v>2</v>
      </c>
      <c r="Y24" s="318">
        <v>7</v>
      </c>
      <c r="Z24" s="318">
        <v>9</v>
      </c>
      <c r="AA24" s="318">
        <v>36</v>
      </c>
      <c r="AB24" s="318">
        <v>41</v>
      </c>
      <c r="AC24" s="318">
        <v>77</v>
      </c>
      <c r="AD24" s="318">
        <v>13</v>
      </c>
      <c r="AE24" s="318">
        <v>15</v>
      </c>
      <c r="AF24" s="318">
        <v>28</v>
      </c>
      <c r="AG24" s="318">
        <v>69</v>
      </c>
      <c r="AH24" s="318">
        <v>74</v>
      </c>
      <c r="AI24" s="318">
        <v>143</v>
      </c>
      <c r="AJ24" s="318">
        <v>58</v>
      </c>
      <c r="AK24" s="318">
        <v>65</v>
      </c>
      <c r="AL24" s="318">
        <v>123</v>
      </c>
      <c r="AM24" s="318">
        <v>32823</v>
      </c>
      <c r="AN24" s="318">
        <v>33250</v>
      </c>
      <c r="AO24" s="411">
        <v>66073</v>
      </c>
    </row>
    <row r="25" spans="1:41" x14ac:dyDescent="0.35">
      <c r="A25" s="322" t="s">
        <v>271</v>
      </c>
      <c r="B25" s="323" t="s">
        <v>61</v>
      </c>
      <c r="C25" s="324">
        <v>5730</v>
      </c>
      <c r="D25" s="324">
        <v>6304</v>
      </c>
      <c r="E25" s="324">
        <v>12034</v>
      </c>
      <c r="F25" s="324">
        <v>6593</v>
      </c>
      <c r="G25" s="324">
        <v>7341</v>
      </c>
      <c r="H25" s="324">
        <v>13934</v>
      </c>
      <c r="I25" s="324">
        <v>2190</v>
      </c>
      <c r="J25" s="324">
        <v>2279</v>
      </c>
      <c r="K25" s="324">
        <v>4469</v>
      </c>
      <c r="L25" s="324">
        <v>12239</v>
      </c>
      <c r="M25" s="324">
        <v>12569</v>
      </c>
      <c r="N25" s="324">
        <v>24808</v>
      </c>
      <c r="O25" s="324">
        <v>318</v>
      </c>
      <c r="P25" s="324">
        <v>354</v>
      </c>
      <c r="Q25" s="324">
        <v>672</v>
      </c>
      <c r="R25" s="324">
        <v>21</v>
      </c>
      <c r="S25" s="324">
        <v>22</v>
      </c>
      <c r="T25" s="324">
        <v>43</v>
      </c>
      <c r="U25" s="324">
        <v>268</v>
      </c>
      <c r="V25" s="324">
        <v>280</v>
      </c>
      <c r="W25" s="324">
        <v>548</v>
      </c>
      <c r="X25" s="324">
        <v>9</v>
      </c>
      <c r="Y25" s="324">
        <v>22</v>
      </c>
      <c r="Z25" s="324">
        <v>31</v>
      </c>
      <c r="AA25" s="324">
        <v>110</v>
      </c>
      <c r="AB25" s="324">
        <v>105</v>
      </c>
      <c r="AC25" s="324">
        <v>215</v>
      </c>
      <c r="AD25" s="324">
        <v>34</v>
      </c>
      <c r="AE25" s="324">
        <v>37</v>
      </c>
      <c r="AF25" s="324">
        <v>71</v>
      </c>
      <c r="AG25" s="324">
        <v>158</v>
      </c>
      <c r="AH25" s="324">
        <v>195</v>
      </c>
      <c r="AI25" s="324">
        <v>353</v>
      </c>
      <c r="AJ25" s="324">
        <v>191</v>
      </c>
      <c r="AK25" s="324">
        <v>197</v>
      </c>
      <c r="AL25" s="324">
        <v>388</v>
      </c>
      <c r="AM25" s="324">
        <v>81050</v>
      </c>
      <c r="AN25" s="324">
        <v>81928</v>
      </c>
      <c r="AO25" s="412">
        <v>162978</v>
      </c>
    </row>
    <row r="26" spans="1:41" x14ac:dyDescent="0.35">
      <c r="A26" s="328" t="s">
        <v>272</v>
      </c>
      <c r="B26" s="329" t="s">
        <v>57</v>
      </c>
      <c r="C26" s="330">
        <v>1779</v>
      </c>
      <c r="D26" s="330">
        <v>1974</v>
      </c>
      <c r="E26" s="330">
        <v>3753</v>
      </c>
      <c r="F26" s="330">
        <v>1998</v>
      </c>
      <c r="G26" s="330">
        <v>2277</v>
      </c>
      <c r="H26" s="330">
        <v>4275</v>
      </c>
      <c r="I26" s="330">
        <v>634</v>
      </c>
      <c r="J26" s="330">
        <v>668</v>
      </c>
      <c r="K26" s="330">
        <v>1302</v>
      </c>
      <c r="L26" s="330">
        <v>3676</v>
      </c>
      <c r="M26" s="330">
        <v>3765</v>
      </c>
      <c r="N26" s="330">
        <v>7441</v>
      </c>
      <c r="O26" s="330">
        <v>59</v>
      </c>
      <c r="P26" s="330">
        <v>71</v>
      </c>
      <c r="Q26" s="330">
        <v>130</v>
      </c>
      <c r="R26" s="330">
        <v>12</v>
      </c>
      <c r="S26" s="330">
        <v>4</v>
      </c>
      <c r="T26" s="330">
        <v>16</v>
      </c>
      <c r="U26" s="330">
        <v>84</v>
      </c>
      <c r="V26" s="330">
        <v>84</v>
      </c>
      <c r="W26" s="330">
        <v>168</v>
      </c>
      <c r="X26" s="330">
        <v>2</v>
      </c>
      <c r="Y26" s="330">
        <v>8</v>
      </c>
      <c r="Z26" s="330">
        <v>10</v>
      </c>
      <c r="AA26" s="330">
        <v>36</v>
      </c>
      <c r="AB26" s="330">
        <v>27</v>
      </c>
      <c r="AC26" s="330">
        <v>63</v>
      </c>
      <c r="AD26" s="330">
        <v>14</v>
      </c>
      <c r="AE26" s="330">
        <v>9</v>
      </c>
      <c r="AF26" s="330">
        <v>23</v>
      </c>
      <c r="AG26" s="330">
        <v>43</v>
      </c>
      <c r="AH26" s="330">
        <v>67</v>
      </c>
      <c r="AI26" s="330">
        <v>110</v>
      </c>
      <c r="AJ26" s="330">
        <v>95</v>
      </c>
      <c r="AK26" s="330">
        <v>89</v>
      </c>
      <c r="AL26" s="330">
        <v>184</v>
      </c>
      <c r="AM26" s="330">
        <v>21520</v>
      </c>
      <c r="AN26" s="330">
        <v>21937</v>
      </c>
      <c r="AO26" s="413">
        <v>43457</v>
      </c>
    </row>
    <row r="27" spans="1:41" x14ac:dyDescent="0.35">
      <c r="A27" s="328" t="s">
        <v>273</v>
      </c>
      <c r="B27" s="329" t="s">
        <v>59</v>
      </c>
      <c r="C27" s="330">
        <v>311</v>
      </c>
      <c r="D27" s="330">
        <v>328</v>
      </c>
      <c r="E27" s="330">
        <v>639</v>
      </c>
      <c r="F27" s="330">
        <v>371</v>
      </c>
      <c r="G27" s="330">
        <v>410</v>
      </c>
      <c r="H27" s="330">
        <v>781</v>
      </c>
      <c r="I27" s="330">
        <v>141</v>
      </c>
      <c r="J27" s="330">
        <v>149</v>
      </c>
      <c r="K27" s="330">
        <v>290</v>
      </c>
      <c r="L27" s="330">
        <v>696</v>
      </c>
      <c r="M27" s="330">
        <v>721</v>
      </c>
      <c r="N27" s="330">
        <v>1417</v>
      </c>
      <c r="O27" s="330">
        <v>34</v>
      </c>
      <c r="P27" s="330">
        <v>48</v>
      </c>
      <c r="Q27" s="330">
        <v>82</v>
      </c>
      <c r="R27" s="330">
        <v>0</v>
      </c>
      <c r="S27" s="330">
        <v>2</v>
      </c>
      <c r="T27" s="330">
        <v>2</v>
      </c>
      <c r="U27" s="330">
        <v>14</v>
      </c>
      <c r="V27" s="330">
        <v>15</v>
      </c>
      <c r="W27" s="330">
        <v>29</v>
      </c>
      <c r="X27" s="330">
        <v>0</v>
      </c>
      <c r="Y27" s="330">
        <v>3</v>
      </c>
      <c r="Z27" s="330">
        <v>3</v>
      </c>
      <c r="AA27" s="330">
        <v>3</v>
      </c>
      <c r="AB27" s="330">
        <v>10</v>
      </c>
      <c r="AC27" s="330">
        <v>13</v>
      </c>
      <c r="AD27" s="330">
        <v>4</v>
      </c>
      <c r="AE27" s="330">
        <v>3</v>
      </c>
      <c r="AF27" s="330">
        <v>7</v>
      </c>
      <c r="AG27" s="330">
        <v>13</v>
      </c>
      <c r="AH27" s="330">
        <v>8</v>
      </c>
      <c r="AI27" s="330">
        <v>21</v>
      </c>
      <c r="AJ27" s="330">
        <v>6</v>
      </c>
      <c r="AK27" s="330">
        <v>9</v>
      </c>
      <c r="AL27" s="330">
        <v>15</v>
      </c>
      <c r="AM27" s="330">
        <v>7196</v>
      </c>
      <c r="AN27" s="330">
        <v>7159</v>
      </c>
      <c r="AO27" s="413">
        <v>14355</v>
      </c>
    </row>
    <row r="28" spans="1:41" x14ac:dyDescent="0.35">
      <c r="A28" s="328" t="s">
        <v>274</v>
      </c>
      <c r="B28" s="329" t="s">
        <v>62</v>
      </c>
      <c r="C28" s="330">
        <v>940</v>
      </c>
      <c r="D28" s="330">
        <v>1023</v>
      </c>
      <c r="E28" s="330">
        <v>1963</v>
      </c>
      <c r="F28" s="330">
        <v>1041</v>
      </c>
      <c r="G28" s="330">
        <v>1156</v>
      </c>
      <c r="H28" s="330">
        <v>2197</v>
      </c>
      <c r="I28" s="330">
        <v>360</v>
      </c>
      <c r="J28" s="330">
        <v>348</v>
      </c>
      <c r="K28" s="330">
        <v>708</v>
      </c>
      <c r="L28" s="330">
        <v>2009</v>
      </c>
      <c r="M28" s="330">
        <v>2044</v>
      </c>
      <c r="N28" s="330">
        <v>4053</v>
      </c>
      <c r="O28" s="330">
        <v>77</v>
      </c>
      <c r="P28" s="330">
        <v>86</v>
      </c>
      <c r="Q28" s="330">
        <v>163</v>
      </c>
      <c r="R28" s="330">
        <v>4</v>
      </c>
      <c r="S28" s="330">
        <v>2</v>
      </c>
      <c r="T28" s="330">
        <v>6</v>
      </c>
      <c r="U28" s="330">
        <v>36</v>
      </c>
      <c r="V28" s="330">
        <v>35</v>
      </c>
      <c r="W28" s="330">
        <v>71</v>
      </c>
      <c r="X28" s="330">
        <v>1</v>
      </c>
      <c r="Y28" s="330">
        <v>1</v>
      </c>
      <c r="Z28" s="330">
        <v>2</v>
      </c>
      <c r="AA28" s="330">
        <v>16</v>
      </c>
      <c r="AB28" s="330">
        <v>15</v>
      </c>
      <c r="AC28" s="330">
        <v>31</v>
      </c>
      <c r="AD28" s="330">
        <v>6</v>
      </c>
      <c r="AE28" s="330">
        <v>8</v>
      </c>
      <c r="AF28" s="330">
        <v>14</v>
      </c>
      <c r="AG28" s="330">
        <v>21</v>
      </c>
      <c r="AH28" s="330">
        <v>23</v>
      </c>
      <c r="AI28" s="330">
        <v>44</v>
      </c>
      <c r="AJ28" s="330">
        <v>18</v>
      </c>
      <c r="AK28" s="330">
        <v>17</v>
      </c>
      <c r="AL28" s="330">
        <v>35</v>
      </c>
      <c r="AM28" s="330">
        <v>14322</v>
      </c>
      <c r="AN28" s="330">
        <v>14311</v>
      </c>
      <c r="AO28" s="413">
        <v>28633</v>
      </c>
    </row>
    <row r="29" spans="1:41" x14ac:dyDescent="0.35">
      <c r="A29" s="328" t="s">
        <v>275</v>
      </c>
      <c r="B29" s="329" t="s">
        <v>64</v>
      </c>
      <c r="C29" s="330">
        <v>1242</v>
      </c>
      <c r="D29" s="330">
        <v>1355</v>
      </c>
      <c r="E29" s="330">
        <v>2597</v>
      </c>
      <c r="F29" s="330">
        <v>1537</v>
      </c>
      <c r="G29" s="330">
        <v>1601</v>
      </c>
      <c r="H29" s="330">
        <v>3138</v>
      </c>
      <c r="I29" s="330">
        <v>477</v>
      </c>
      <c r="J29" s="330">
        <v>504</v>
      </c>
      <c r="K29" s="330">
        <v>981</v>
      </c>
      <c r="L29" s="330">
        <v>2526</v>
      </c>
      <c r="M29" s="330">
        <v>2693</v>
      </c>
      <c r="N29" s="330">
        <v>5219</v>
      </c>
      <c r="O29" s="330">
        <v>68</v>
      </c>
      <c r="P29" s="330">
        <v>71</v>
      </c>
      <c r="Q29" s="330">
        <v>139</v>
      </c>
      <c r="R29" s="330">
        <v>1</v>
      </c>
      <c r="S29" s="330">
        <v>6</v>
      </c>
      <c r="T29" s="330">
        <v>7</v>
      </c>
      <c r="U29" s="330">
        <v>53</v>
      </c>
      <c r="V29" s="330">
        <v>68</v>
      </c>
      <c r="W29" s="330">
        <v>121</v>
      </c>
      <c r="X29" s="330">
        <v>4</v>
      </c>
      <c r="Y29" s="330">
        <v>3</v>
      </c>
      <c r="Z29" s="330">
        <v>7</v>
      </c>
      <c r="AA29" s="330">
        <v>28</v>
      </c>
      <c r="AB29" s="330">
        <v>21</v>
      </c>
      <c r="AC29" s="330">
        <v>49</v>
      </c>
      <c r="AD29" s="330">
        <v>5</v>
      </c>
      <c r="AE29" s="330">
        <v>4</v>
      </c>
      <c r="AF29" s="330">
        <v>9</v>
      </c>
      <c r="AG29" s="330">
        <v>36</v>
      </c>
      <c r="AH29" s="330">
        <v>40</v>
      </c>
      <c r="AI29" s="330">
        <v>76</v>
      </c>
      <c r="AJ29" s="330">
        <v>48</v>
      </c>
      <c r="AK29" s="330">
        <v>43</v>
      </c>
      <c r="AL29" s="330">
        <v>91</v>
      </c>
      <c r="AM29" s="330">
        <v>16240</v>
      </c>
      <c r="AN29" s="330">
        <v>16561</v>
      </c>
      <c r="AO29" s="413">
        <v>32801</v>
      </c>
    </row>
    <row r="30" spans="1:41" ht="15" thickBot="1" x14ac:dyDescent="0.4">
      <c r="A30" s="335" t="s">
        <v>276</v>
      </c>
      <c r="B30" s="336" t="s">
        <v>66</v>
      </c>
      <c r="C30" s="337">
        <v>1458</v>
      </c>
      <c r="D30" s="337">
        <v>1624</v>
      </c>
      <c r="E30" s="337">
        <v>3082</v>
      </c>
      <c r="F30" s="337">
        <v>1646</v>
      </c>
      <c r="G30" s="337">
        <v>1897</v>
      </c>
      <c r="H30" s="337">
        <v>3543</v>
      </c>
      <c r="I30" s="337">
        <v>578</v>
      </c>
      <c r="J30" s="337">
        <v>610</v>
      </c>
      <c r="K30" s="337">
        <v>1188</v>
      </c>
      <c r="L30" s="337">
        <v>3332</v>
      </c>
      <c r="M30" s="337">
        <v>3346</v>
      </c>
      <c r="N30" s="337">
        <v>6678</v>
      </c>
      <c r="O30" s="337">
        <v>80</v>
      </c>
      <c r="P30" s="337">
        <v>78</v>
      </c>
      <c r="Q30" s="337">
        <v>158</v>
      </c>
      <c r="R30" s="337">
        <v>4</v>
      </c>
      <c r="S30" s="337">
        <v>8</v>
      </c>
      <c r="T30" s="337">
        <v>12</v>
      </c>
      <c r="U30" s="337">
        <v>81</v>
      </c>
      <c r="V30" s="337">
        <v>78</v>
      </c>
      <c r="W30" s="337">
        <v>159</v>
      </c>
      <c r="X30" s="337">
        <v>2</v>
      </c>
      <c r="Y30" s="337">
        <v>7</v>
      </c>
      <c r="Z30" s="337">
        <v>9</v>
      </c>
      <c r="AA30" s="337">
        <v>27</v>
      </c>
      <c r="AB30" s="337">
        <v>32</v>
      </c>
      <c r="AC30" s="337">
        <v>59</v>
      </c>
      <c r="AD30" s="337">
        <v>5</v>
      </c>
      <c r="AE30" s="337">
        <v>13</v>
      </c>
      <c r="AF30" s="337">
        <v>18</v>
      </c>
      <c r="AG30" s="337">
        <v>45</v>
      </c>
      <c r="AH30" s="337">
        <v>57</v>
      </c>
      <c r="AI30" s="337">
        <v>102</v>
      </c>
      <c r="AJ30" s="337">
        <v>24</v>
      </c>
      <c r="AK30" s="337">
        <v>39</v>
      </c>
      <c r="AL30" s="337">
        <v>63</v>
      </c>
      <c r="AM30" s="337">
        <v>21772</v>
      </c>
      <c r="AN30" s="337">
        <v>21960</v>
      </c>
      <c r="AO30" s="414">
        <v>43732</v>
      </c>
    </row>
    <row r="31" spans="1:41" x14ac:dyDescent="0.35">
      <c r="A31" s="303" t="s">
        <v>277</v>
      </c>
      <c r="B31" s="304" t="s">
        <v>73</v>
      </c>
      <c r="C31" s="305">
        <v>4795</v>
      </c>
      <c r="D31" s="305">
        <v>5023</v>
      </c>
      <c r="E31" s="305">
        <v>9818</v>
      </c>
      <c r="F31" s="305">
        <v>5577</v>
      </c>
      <c r="G31" s="305">
        <v>6008</v>
      </c>
      <c r="H31" s="305">
        <v>11585</v>
      </c>
      <c r="I31" s="305">
        <v>2136</v>
      </c>
      <c r="J31" s="305">
        <v>1960</v>
      </c>
      <c r="K31" s="305">
        <v>4096</v>
      </c>
      <c r="L31" s="305">
        <v>10908</v>
      </c>
      <c r="M31" s="305">
        <v>10700</v>
      </c>
      <c r="N31" s="305">
        <v>21608</v>
      </c>
      <c r="O31" s="305">
        <v>212</v>
      </c>
      <c r="P31" s="305">
        <v>266</v>
      </c>
      <c r="Q31" s="305">
        <v>478</v>
      </c>
      <c r="R31" s="305">
        <v>20</v>
      </c>
      <c r="S31" s="305">
        <v>14</v>
      </c>
      <c r="T31" s="305">
        <v>34</v>
      </c>
      <c r="U31" s="305">
        <v>202</v>
      </c>
      <c r="V31" s="305">
        <v>238</v>
      </c>
      <c r="W31" s="305">
        <v>440</v>
      </c>
      <c r="X31" s="305">
        <v>15</v>
      </c>
      <c r="Y31" s="305">
        <v>12</v>
      </c>
      <c r="Z31" s="305">
        <v>27</v>
      </c>
      <c r="AA31" s="305">
        <v>70</v>
      </c>
      <c r="AB31" s="305">
        <v>89</v>
      </c>
      <c r="AC31" s="305">
        <v>159</v>
      </c>
      <c r="AD31" s="305">
        <v>14</v>
      </c>
      <c r="AE31" s="305">
        <v>27</v>
      </c>
      <c r="AF31" s="305">
        <v>41</v>
      </c>
      <c r="AG31" s="305">
        <v>178</v>
      </c>
      <c r="AH31" s="305">
        <v>161</v>
      </c>
      <c r="AI31" s="305">
        <v>339</v>
      </c>
      <c r="AJ31" s="305">
        <v>178</v>
      </c>
      <c r="AK31" s="305">
        <v>189</v>
      </c>
      <c r="AL31" s="305">
        <v>367</v>
      </c>
      <c r="AM31" s="305">
        <v>89456</v>
      </c>
      <c r="AN31" s="305">
        <v>89499</v>
      </c>
      <c r="AO31" s="409">
        <v>178955</v>
      </c>
    </row>
    <row r="32" spans="1:41" x14ac:dyDescent="0.35">
      <c r="A32" s="310" t="s">
        <v>278</v>
      </c>
      <c r="B32" s="311" t="s">
        <v>69</v>
      </c>
      <c r="C32" s="312">
        <v>1996</v>
      </c>
      <c r="D32" s="312">
        <v>2065</v>
      </c>
      <c r="E32" s="312">
        <v>4061</v>
      </c>
      <c r="F32" s="312">
        <v>2406</v>
      </c>
      <c r="G32" s="312">
        <v>2560</v>
      </c>
      <c r="H32" s="312">
        <v>4966</v>
      </c>
      <c r="I32" s="312">
        <v>847</v>
      </c>
      <c r="J32" s="312">
        <v>813</v>
      </c>
      <c r="K32" s="312">
        <v>1660</v>
      </c>
      <c r="L32" s="312">
        <v>4452</v>
      </c>
      <c r="M32" s="312">
        <v>4366</v>
      </c>
      <c r="N32" s="312">
        <v>8818</v>
      </c>
      <c r="O32" s="312">
        <v>83</v>
      </c>
      <c r="P32" s="312">
        <v>120</v>
      </c>
      <c r="Q32" s="312">
        <v>203</v>
      </c>
      <c r="R32" s="312">
        <v>9</v>
      </c>
      <c r="S32" s="312">
        <v>6</v>
      </c>
      <c r="T32" s="312">
        <v>15</v>
      </c>
      <c r="U32" s="312">
        <v>89</v>
      </c>
      <c r="V32" s="312">
        <v>84</v>
      </c>
      <c r="W32" s="312">
        <v>173</v>
      </c>
      <c r="X32" s="312">
        <v>7</v>
      </c>
      <c r="Y32" s="312">
        <v>4</v>
      </c>
      <c r="Z32" s="312">
        <v>11</v>
      </c>
      <c r="AA32" s="312">
        <v>31</v>
      </c>
      <c r="AB32" s="312">
        <v>43</v>
      </c>
      <c r="AC32" s="312">
        <v>74</v>
      </c>
      <c r="AD32" s="312">
        <v>5</v>
      </c>
      <c r="AE32" s="312">
        <v>8</v>
      </c>
      <c r="AF32" s="312">
        <v>13</v>
      </c>
      <c r="AG32" s="312">
        <v>84</v>
      </c>
      <c r="AH32" s="312">
        <v>71</v>
      </c>
      <c r="AI32" s="312">
        <v>155</v>
      </c>
      <c r="AJ32" s="312">
        <v>59</v>
      </c>
      <c r="AK32" s="312">
        <v>64</v>
      </c>
      <c r="AL32" s="312">
        <v>123</v>
      </c>
      <c r="AM32" s="312">
        <v>30476</v>
      </c>
      <c r="AN32" s="312">
        <v>30194</v>
      </c>
      <c r="AO32" s="410">
        <v>60670</v>
      </c>
    </row>
    <row r="33" spans="1:41" x14ac:dyDescent="0.35">
      <c r="A33" s="310" t="s">
        <v>279</v>
      </c>
      <c r="B33" s="311" t="s">
        <v>71</v>
      </c>
      <c r="C33" s="312">
        <v>1519</v>
      </c>
      <c r="D33" s="312">
        <v>1561</v>
      </c>
      <c r="E33" s="312">
        <v>3080</v>
      </c>
      <c r="F33" s="312">
        <v>1690</v>
      </c>
      <c r="G33" s="312">
        <v>1863</v>
      </c>
      <c r="H33" s="312">
        <v>3553</v>
      </c>
      <c r="I33" s="312">
        <v>667</v>
      </c>
      <c r="J33" s="312">
        <v>603</v>
      </c>
      <c r="K33" s="312">
        <v>1270</v>
      </c>
      <c r="L33" s="312">
        <v>3412</v>
      </c>
      <c r="M33" s="312">
        <v>3333</v>
      </c>
      <c r="N33" s="312">
        <v>6745</v>
      </c>
      <c r="O33" s="312">
        <v>73</v>
      </c>
      <c r="P33" s="312">
        <v>68</v>
      </c>
      <c r="Q33" s="312">
        <v>141</v>
      </c>
      <c r="R33" s="312">
        <v>5</v>
      </c>
      <c r="S33" s="312">
        <v>3</v>
      </c>
      <c r="T33" s="312">
        <v>8</v>
      </c>
      <c r="U33" s="312">
        <v>58</v>
      </c>
      <c r="V33" s="312">
        <v>85</v>
      </c>
      <c r="W33" s="312">
        <v>143</v>
      </c>
      <c r="X33" s="312">
        <v>4</v>
      </c>
      <c r="Y33" s="312">
        <v>3</v>
      </c>
      <c r="Z33" s="312">
        <v>7</v>
      </c>
      <c r="AA33" s="312">
        <v>19</v>
      </c>
      <c r="AB33" s="312">
        <v>27</v>
      </c>
      <c r="AC33" s="312">
        <v>46</v>
      </c>
      <c r="AD33" s="312">
        <v>2</v>
      </c>
      <c r="AE33" s="312">
        <v>12</v>
      </c>
      <c r="AF33" s="312">
        <v>14</v>
      </c>
      <c r="AG33" s="312">
        <v>53</v>
      </c>
      <c r="AH33" s="312">
        <v>46</v>
      </c>
      <c r="AI33" s="312">
        <v>99</v>
      </c>
      <c r="AJ33" s="312">
        <v>44</v>
      </c>
      <c r="AK33" s="312">
        <v>54</v>
      </c>
      <c r="AL33" s="312">
        <v>98</v>
      </c>
      <c r="AM33" s="312">
        <v>23961</v>
      </c>
      <c r="AN33" s="312">
        <v>24456</v>
      </c>
      <c r="AO33" s="410">
        <v>48417</v>
      </c>
    </row>
    <row r="34" spans="1:41" x14ac:dyDescent="0.35">
      <c r="A34" s="310" t="s">
        <v>280</v>
      </c>
      <c r="B34" s="311" t="s">
        <v>74</v>
      </c>
      <c r="C34" s="312">
        <v>745</v>
      </c>
      <c r="D34" s="312">
        <v>812</v>
      </c>
      <c r="E34" s="312">
        <v>1557</v>
      </c>
      <c r="F34" s="312">
        <v>865</v>
      </c>
      <c r="G34" s="312">
        <v>917</v>
      </c>
      <c r="H34" s="312">
        <v>1782</v>
      </c>
      <c r="I34" s="312">
        <v>340</v>
      </c>
      <c r="J34" s="312">
        <v>318</v>
      </c>
      <c r="K34" s="312">
        <v>658</v>
      </c>
      <c r="L34" s="312">
        <v>1633</v>
      </c>
      <c r="M34" s="312">
        <v>1686</v>
      </c>
      <c r="N34" s="312">
        <v>3319</v>
      </c>
      <c r="O34" s="312">
        <v>31</v>
      </c>
      <c r="P34" s="312">
        <v>38</v>
      </c>
      <c r="Q34" s="312">
        <v>69</v>
      </c>
      <c r="R34" s="312">
        <v>2</v>
      </c>
      <c r="S34" s="312">
        <v>1</v>
      </c>
      <c r="T34" s="312">
        <v>3</v>
      </c>
      <c r="U34" s="312">
        <v>24</v>
      </c>
      <c r="V34" s="312">
        <v>39</v>
      </c>
      <c r="W34" s="312">
        <v>63</v>
      </c>
      <c r="X34" s="312">
        <v>2</v>
      </c>
      <c r="Y34" s="312">
        <v>2</v>
      </c>
      <c r="Z34" s="312">
        <v>4</v>
      </c>
      <c r="AA34" s="312">
        <v>9</v>
      </c>
      <c r="AB34" s="312">
        <v>12</v>
      </c>
      <c r="AC34" s="312">
        <v>21</v>
      </c>
      <c r="AD34" s="312">
        <v>2</v>
      </c>
      <c r="AE34" s="312">
        <v>5</v>
      </c>
      <c r="AF34" s="312">
        <v>7</v>
      </c>
      <c r="AG34" s="312">
        <v>24</v>
      </c>
      <c r="AH34" s="312">
        <v>23</v>
      </c>
      <c r="AI34" s="312">
        <v>47</v>
      </c>
      <c r="AJ34" s="312">
        <v>31</v>
      </c>
      <c r="AK34" s="312">
        <v>29</v>
      </c>
      <c r="AL34" s="312">
        <v>60</v>
      </c>
      <c r="AM34" s="312">
        <v>15115</v>
      </c>
      <c r="AN34" s="312">
        <v>15046</v>
      </c>
      <c r="AO34" s="410">
        <v>30161</v>
      </c>
    </row>
    <row r="35" spans="1:41" ht="15" thickBot="1" x14ac:dyDescent="0.4">
      <c r="A35" s="316" t="s">
        <v>281</v>
      </c>
      <c r="B35" s="317" t="s">
        <v>76</v>
      </c>
      <c r="C35" s="318">
        <v>535</v>
      </c>
      <c r="D35" s="318">
        <v>585</v>
      </c>
      <c r="E35" s="318">
        <v>1120</v>
      </c>
      <c r="F35" s="318">
        <v>616</v>
      </c>
      <c r="G35" s="318">
        <v>668</v>
      </c>
      <c r="H35" s="318">
        <v>1284</v>
      </c>
      <c r="I35" s="318">
        <v>282</v>
      </c>
      <c r="J35" s="318">
        <v>226</v>
      </c>
      <c r="K35" s="318">
        <v>508</v>
      </c>
      <c r="L35" s="318">
        <v>1411</v>
      </c>
      <c r="M35" s="318">
        <v>1315</v>
      </c>
      <c r="N35" s="318">
        <v>2726</v>
      </c>
      <c r="O35" s="318">
        <v>25</v>
      </c>
      <c r="P35" s="318">
        <v>40</v>
      </c>
      <c r="Q35" s="318">
        <v>65</v>
      </c>
      <c r="R35" s="318">
        <v>4</v>
      </c>
      <c r="S35" s="318">
        <v>4</v>
      </c>
      <c r="T35" s="318">
        <v>8</v>
      </c>
      <c r="U35" s="318">
        <v>31</v>
      </c>
      <c r="V35" s="318">
        <v>30</v>
      </c>
      <c r="W35" s="318">
        <v>61</v>
      </c>
      <c r="X35" s="318">
        <v>2</v>
      </c>
      <c r="Y35" s="318">
        <v>3</v>
      </c>
      <c r="Z35" s="318">
        <v>5</v>
      </c>
      <c r="AA35" s="318">
        <v>11</v>
      </c>
      <c r="AB35" s="318">
        <v>7</v>
      </c>
      <c r="AC35" s="318">
        <v>18</v>
      </c>
      <c r="AD35" s="318">
        <v>5</v>
      </c>
      <c r="AE35" s="318">
        <v>2</v>
      </c>
      <c r="AF35" s="318">
        <v>7</v>
      </c>
      <c r="AG35" s="318">
        <v>17</v>
      </c>
      <c r="AH35" s="318">
        <v>21</v>
      </c>
      <c r="AI35" s="318">
        <v>38</v>
      </c>
      <c r="AJ35" s="318">
        <v>44</v>
      </c>
      <c r="AK35" s="318">
        <v>42</v>
      </c>
      <c r="AL35" s="318">
        <v>86</v>
      </c>
      <c r="AM35" s="318">
        <v>19904</v>
      </c>
      <c r="AN35" s="318">
        <v>19803</v>
      </c>
      <c r="AO35" s="411">
        <v>39707</v>
      </c>
    </row>
    <row r="36" spans="1:41" x14ac:dyDescent="0.35">
      <c r="A36" s="322" t="s">
        <v>282</v>
      </c>
      <c r="B36" s="323" t="s">
        <v>79</v>
      </c>
      <c r="C36" s="324">
        <v>3054</v>
      </c>
      <c r="D36" s="324">
        <v>3311</v>
      </c>
      <c r="E36" s="324">
        <v>6365</v>
      </c>
      <c r="F36" s="324">
        <v>3563</v>
      </c>
      <c r="G36" s="324">
        <v>3764</v>
      </c>
      <c r="H36" s="324">
        <v>7327</v>
      </c>
      <c r="I36" s="324">
        <v>1346</v>
      </c>
      <c r="J36" s="324">
        <v>1287</v>
      </c>
      <c r="K36" s="324">
        <v>2633</v>
      </c>
      <c r="L36" s="324">
        <v>7301</v>
      </c>
      <c r="M36" s="324">
        <v>7002</v>
      </c>
      <c r="N36" s="324">
        <v>14303</v>
      </c>
      <c r="O36" s="324">
        <v>238</v>
      </c>
      <c r="P36" s="324">
        <v>293</v>
      </c>
      <c r="Q36" s="324">
        <v>531</v>
      </c>
      <c r="R36" s="324">
        <v>6</v>
      </c>
      <c r="S36" s="324">
        <v>8</v>
      </c>
      <c r="T36" s="324">
        <v>14</v>
      </c>
      <c r="U36" s="324">
        <v>229</v>
      </c>
      <c r="V36" s="324">
        <v>283</v>
      </c>
      <c r="W36" s="324">
        <v>512</v>
      </c>
      <c r="X36" s="324">
        <v>13</v>
      </c>
      <c r="Y36" s="324">
        <v>15</v>
      </c>
      <c r="Z36" s="324">
        <v>28</v>
      </c>
      <c r="AA36" s="324">
        <v>77</v>
      </c>
      <c r="AB36" s="324">
        <v>122</v>
      </c>
      <c r="AC36" s="324">
        <v>199</v>
      </c>
      <c r="AD36" s="324">
        <v>60</v>
      </c>
      <c r="AE36" s="324">
        <v>54</v>
      </c>
      <c r="AF36" s="324">
        <v>114</v>
      </c>
      <c r="AG36" s="324">
        <v>228</v>
      </c>
      <c r="AH36" s="324">
        <v>276</v>
      </c>
      <c r="AI36" s="324">
        <v>504</v>
      </c>
      <c r="AJ36" s="324">
        <v>143</v>
      </c>
      <c r="AK36" s="324">
        <v>159</v>
      </c>
      <c r="AL36" s="324">
        <v>302</v>
      </c>
      <c r="AM36" s="324">
        <v>65484</v>
      </c>
      <c r="AN36" s="324">
        <v>64322</v>
      </c>
      <c r="AO36" s="412">
        <v>129806</v>
      </c>
    </row>
    <row r="37" spans="1:41" x14ac:dyDescent="0.35">
      <c r="A37" s="328" t="s">
        <v>283</v>
      </c>
      <c r="B37" s="329" t="s">
        <v>79</v>
      </c>
      <c r="C37" s="330">
        <v>209</v>
      </c>
      <c r="D37" s="330">
        <v>210</v>
      </c>
      <c r="E37" s="330">
        <v>419</v>
      </c>
      <c r="F37" s="330">
        <v>264</v>
      </c>
      <c r="G37" s="330">
        <v>259</v>
      </c>
      <c r="H37" s="330">
        <v>523</v>
      </c>
      <c r="I37" s="330">
        <v>109</v>
      </c>
      <c r="J37" s="330">
        <v>110</v>
      </c>
      <c r="K37" s="330">
        <v>219</v>
      </c>
      <c r="L37" s="330">
        <v>582</v>
      </c>
      <c r="M37" s="330">
        <v>515</v>
      </c>
      <c r="N37" s="330">
        <v>1097</v>
      </c>
      <c r="O37" s="330">
        <v>14</v>
      </c>
      <c r="P37" s="330">
        <v>15</v>
      </c>
      <c r="Q37" s="330">
        <v>29</v>
      </c>
      <c r="R37" s="330">
        <v>0</v>
      </c>
      <c r="S37" s="330">
        <v>0</v>
      </c>
      <c r="T37" s="330">
        <v>0</v>
      </c>
      <c r="U37" s="330">
        <v>12</v>
      </c>
      <c r="V37" s="330">
        <v>18</v>
      </c>
      <c r="W37" s="330">
        <v>30</v>
      </c>
      <c r="X37" s="330">
        <v>0</v>
      </c>
      <c r="Y37" s="330">
        <v>4</v>
      </c>
      <c r="Z37" s="330">
        <v>4</v>
      </c>
      <c r="AA37" s="330">
        <v>6</v>
      </c>
      <c r="AB37" s="330">
        <v>12</v>
      </c>
      <c r="AC37" s="330">
        <v>18</v>
      </c>
      <c r="AD37" s="330">
        <v>18</v>
      </c>
      <c r="AE37" s="330">
        <v>14</v>
      </c>
      <c r="AF37" s="330">
        <v>32</v>
      </c>
      <c r="AG37" s="330">
        <v>26</v>
      </c>
      <c r="AH37" s="330">
        <v>34</v>
      </c>
      <c r="AI37" s="330">
        <v>60</v>
      </c>
      <c r="AJ37" s="330">
        <v>31</v>
      </c>
      <c r="AK37" s="330">
        <v>25</v>
      </c>
      <c r="AL37" s="330">
        <v>56</v>
      </c>
      <c r="AM37" s="330">
        <v>13138</v>
      </c>
      <c r="AN37" s="330">
        <v>12729</v>
      </c>
      <c r="AO37" s="413">
        <v>25867</v>
      </c>
    </row>
    <row r="38" spans="1:41" x14ac:dyDescent="0.35">
      <c r="A38" s="328" t="s">
        <v>284</v>
      </c>
      <c r="B38" s="329" t="s">
        <v>81</v>
      </c>
      <c r="C38" s="330">
        <v>351</v>
      </c>
      <c r="D38" s="330">
        <v>372</v>
      </c>
      <c r="E38" s="330">
        <v>723</v>
      </c>
      <c r="F38" s="330">
        <v>378</v>
      </c>
      <c r="G38" s="330">
        <v>412</v>
      </c>
      <c r="H38" s="330">
        <v>790</v>
      </c>
      <c r="I38" s="330">
        <v>169</v>
      </c>
      <c r="J38" s="330">
        <v>153</v>
      </c>
      <c r="K38" s="330">
        <v>322</v>
      </c>
      <c r="L38" s="330">
        <v>768</v>
      </c>
      <c r="M38" s="330">
        <v>710</v>
      </c>
      <c r="N38" s="330">
        <v>1478</v>
      </c>
      <c r="O38" s="330">
        <v>31</v>
      </c>
      <c r="P38" s="330">
        <v>23</v>
      </c>
      <c r="Q38" s="330">
        <v>54</v>
      </c>
      <c r="R38" s="330">
        <v>1</v>
      </c>
      <c r="S38" s="330">
        <v>0</v>
      </c>
      <c r="T38" s="330">
        <v>1</v>
      </c>
      <c r="U38" s="330">
        <v>20</v>
      </c>
      <c r="V38" s="330">
        <v>34</v>
      </c>
      <c r="W38" s="330">
        <v>54</v>
      </c>
      <c r="X38" s="330">
        <v>1</v>
      </c>
      <c r="Y38" s="330">
        <v>1</v>
      </c>
      <c r="Z38" s="330">
        <v>2</v>
      </c>
      <c r="AA38" s="330">
        <v>10</v>
      </c>
      <c r="AB38" s="330">
        <v>11</v>
      </c>
      <c r="AC38" s="330">
        <v>21</v>
      </c>
      <c r="AD38" s="330">
        <v>8</v>
      </c>
      <c r="AE38" s="330">
        <v>8</v>
      </c>
      <c r="AF38" s="330">
        <v>16</v>
      </c>
      <c r="AG38" s="330">
        <v>30</v>
      </c>
      <c r="AH38" s="330">
        <v>24</v>
      </c>
      <c r="AI38" s="330">
        <v>54</v>
      </c>
      <c r="AJ38" s="330">
        <v>30</v>
      </c>
      <c r="AK38" s="330">
        <v>34</v>
      </c>
      <c r="AL38" s="330">
        <v>64</v>
      </c>
      <c r="AM38" s="330">
        <v>11047</v>
      </c>
      <c r="AN38" s="330">
        <v>10752</v>
      </c>
      <c r="AO38" s="413">
        <v>21799</v>
      </c>
    </row>
    <row r="39" spans="1:41" x14ac:dyDescent="0.35">
      <c r="A39" s="328" t="s">
        <v>285</v>
      </c>
      <c r="B39" s="329" t="s">
        <v>83</v>
      </c>
      <c r="C39" s="330">
        <v>2125</v>
      </c>
      <c r="D39" s="330">
        <v>2327</v>
      </c>
      <c r="E39" s="330">
        <v>4452</v>
      </c>
      <c r="F39" s="330">
        <v>2509</v>
      </c>
      <c r="G39" s="330">
        <v>2681</v>
      </c>
      <c r="H39" s="330">
        <v>5190</v>
      </c>
      <c r="I39" s="330">
        <v>912</v>
      </c>
      <c r="J39" s="330">
        <v>869</v>
      </c>
      <c r="K39" s="330">
        <v>1781</v>
      </c>
      <c r="L39" s="330">
        <v>5135</v>
      </c>
      <c r="M39" s="330">
        <v>5006</v>
      </c>
      <c r="N39" s="330">
        <v>10141</v>
      </c>
      <c r="O39" s="330">
        <v>178</v>
      </c>
      <c r="P39" s="330">
        <v>221</v>
      </c>
      <c r="Q39" s="330">
        <v>399</v>
      </c>
      <c r="R39" s="330">
        <v>4</v>
      </c>
      <c r="S39" s="330">
        <v>6</v>
      </c>
      <c r="T39" s="330">
        <v>10</v>
      </c>
      <c r="U39" s="330">
        <v>180</v>
      </c>
      <c r="V39" s="330">
        <v>208</v>
      </c>
      <c r="W39" s="330">
        <v>388</v>
      </c>
      <c r="X39" s="330">
        <v>11</v>
      </c>
      <c r="Y39" s="330">
        <v>9</v>
      </c>
      <c r="Z39" s="330">
        <v>20</v>
      </c>
      <c r="AA39" s="330">
        <v>55</v>
      </c>
      <c r="AB39" s="330">
        <v>92</v>
      </c>
      <c r="AC39" s="330">
        <v>147</v>
      </c>
      <c r="AD39" s="330">
        <v>20</v>
      </c>
      <c r="AE39" s="330">
        <v>17</v>
      </c>
      <c r="AF39" s="330">
        <v>37</v>
      </c>
      <c r="AG39" s="330">
        <v>142</v>
      </c>
      <c r="AH39" s="330">
        <v>181</v>
      </c>
      <c r="AI39" s="330">
        <v>323</v>
      </c>
      <c r="AJ39" s="330">
        <v>49</v>
      </c>
      <c r="AK39" s="330">
        <v>67</v>
      </c>
      <c r="AL39" s="330">
        <v>116</v>
      </c>
      <c r="AM39" s="330">
        <v>27438</v>
      </c>
      <c r="AN39" s="330">
        <v>27415</v>
      </c>
      <c r="AO39" s="413">
        <v>54853</v>
      </c>
    </row>
    <row r="40" spans="1:41" ht="15" thickBot="1" x14ac:dyDescent="0.4">
      <c r="A40" s="335" t="s">
        <v>286</v>
      </c>
      <c r="B40" s="336" t="s">
        <v>85</v>
      </c>
      <c r="C40" s="337">
        <v>369</v>
      </c>
      <c r="D40" s="337">
        <v>402</v>
      </c>
      <c r="E40" s="337">
        <v>771</v>
      </c>
      <c r="F40" s="337">
        <v>412</v>
      </c>
      <c r="G40" s="337">
        <v>412</v>
      </c>
      <c r="H40" s="337">
        <v>824</v>
      </c>
      <c r="I40" s="337">
        <v>156</v>
      </c>
      <c r="J40" s="337">
        <v>155</v>
      </c>
      <c r="K40" s="337">
        <v>311</v>
      </c>
      <c r="L40" s="337">
        <v>816</v>
      </c>
      <c r="M40" s="337">
        <v>771</v>
      </c>
      <c r="N40" s="337">
        <v>1587</v>
      </c>
      <c r="O40" s="337">
        <v>15</v>
      </c>
      <c r="P40" s="337">
        <v>34</v>
      </c>
      <c r="Q40" s="337">
        <v>49</v>
      </c>
      <c r="R40" s="337">
        <v>1</v>
      </c>
      <c r="S40" s="337">
        <v>2</v>
      </c>
      <c r="T40" s="337">
        <v>3</v>
      </c>
      <c r="U40" s="337">
        <v>17</v>
      </c>
      <c r="V40" s="337">
        <v>23</v>
      </c>
      <c r="W40" s="337">
        <v>40</v>
      </c>
      <c r="X40" s="337">
        <v>1</v>
      </c>
      <c r="Y40" s="337">
        <v>1</v>
      </c>
      <c r="Z40" s="337">
        <v>2</v>
      </c>
      <c r="AA40" s="337">
        <v>6</v>
      </c>
      <c r="AB40" s="337">
        <v>7</v>
      </c>
      <c r="AC40" s="337">
        <v>13</v>
      </c>
      <c r="AD40" s="337">
        <v>14</v>
      </c>
      <c r="AE40" s="337">
        <v>15</v>
      </c>
      <c r="AF40" s="337">
        <v>29</v>
      </c>
      <c r="AG40" s="337">
        <v>30</v>
      </c>
      <c r="AH40" s="337">
        <v>37</v>
      </c>
      <c r="AI40" s="337">
        <v>67</v>
      </c>
      <c r="AJ40" s="337">
        <v>33</v>
      </c>
      <c r="AK40" s="337">
        <v>33</v>
      </c>
      <c r="AL40" s="337">
        <v>66</v>
      </c>
      <c r="AM40" s="337">
        <v>13861</v>
      </c>
      <c r="AN40" s="337">
        <v>13426</v>
      </c>
      <c r="AO40" s="414">
        <v>27287</v>
      </c>
    </row>
    <row r="41" spans="1:41" x14ac:dyDescent="0.35">
      <c r="A41" s="303" t="s">
        <v>287</v>
      </c>
      <c r="B41" s="304" t="s">
        <v>89</v>
      </c>
      <c r="C41" s="305">
        <v>879</v>
      </c>
      <c r="D41" s="305">
        <v>976</v>
      </c>
      <c r="E41" s="305">
        <v>1855</v>
      </c>
      <c r="F41" s="305">
        <v>954</v>
      </c>
      <c r="G41" s="305">
        <v>918</v>
      </c>
      <c r="H41" s="305">
        <v>1872</v>
      </c>
      <c r="I41" s="305">
        <v>378</v>
      </c>
      <c r="J41" s="305">
        <v>365</v>
      </c>
      <c r="K41" s="305">
        <v>743</v>
      </c>
      <c r="L41" s="305">
        <v>1976</v>
      </c>
      <c r="M41" s="305">
        <v>1794</v>
      </c>
      <c r="N41" s="305">
        <v>3770</v>
      </c>
      <c r="O41" s="305">
        <v>451</v>
      </c>
      <c r="P41" s="305">
        <v>498</v>
      </c>
      <c r="Q41" s="305">
        <v>949</v>
      </c>
      <c r="R41" s="305">
        <v>63</v>
      </c>
      <c r="S41" s="305">
        <v>80</v>
      </c>
      <c r="T41" s="305">
        <v>143</v>
      </c>
      <c r="U41" s="305">
        <v>59</v>
      </c>
      <c r="V41" s="305">
        <v>73</v>
      </c>
      <c r="W41" s="305">
        <v>132</v>
      </c>
      <c r="X41" s="305">
        <v>3</v>
      </c>
      <c r="Y41" s="305">
        <v>2</v>
      </c>
      <c r="Z41" s="305">
        <v>5</v>
      </c>
      <c r="AA41" s="305">
        <v>24</v>
      </c>
      <c r="AB41" s="305">
        <v>28</v>
      </c>
      <c r="AC41" s="305">
        <v>52</v>
      </c>
      <c r="AD41" s="305">
        <v>13</v>
      </c>
      <c r="AE41" s="305">
        <v>8</v>
      </c>
      <c r="AF41" s="305">
        <v>21</v>
      </c>
      <c r="AG41" s="305">
        <v>49</v>
      </c>
      <c r="AH41" s="305">
        <v>57</v>
      </c>
      <c r="AI41" s="305">
        <v>106</v>
      </c>
      <c r="AJ41" s="305">
        <v>118</v>
      </c>
      <c r="AK41" s="305">
        <v>108</v>
      </c>
      <c r="AL41" s="305">
        <v>226</v>
      </c>
      <c r="AM41" s="305">
        <v>56450</v>
      </c>
      <c r="AN41" s="305">
        <v>54585</v>
      </c>
      <c r="AO41" s="409">
        <v>111035</v>
      </c>
    </row>
    <row r="42" spans="1:41" x14ac:dyDescent="0.35">
      <c r="A42" s="310" t="s">
        <v>288</v>
      </c>
      <c r="B42" s="311" t="s">
        <v>89</v>
      </c>
      <c r="C42" s="312">
        <v>209</v>
      </c>
      <c r="D42" s="312">
        <v>252</v>
      </c>
      <c r="E42" s="312">
        <v>461</v>
      </c>
      <c r="F42" s="312">
        <v>205</v>
      </c>
      <c r="G42" s="312">
        <v>200</v>
      </c>
      <c r="H42" s="312">
        <v>405</v>
      </c>
      <c r="I42" s="312">
        <v>85</v>
      </c>
      <c r="J42" s="312">
        <v>83</v>
      </c>
      <c r="K42" s="312">
        <v>168</v>
      </c>
      <c r="L42" s="312">
        <v>471</v>
      </c>
      <c r="M42" s="312">
        <v>492</v>
      </c>
      <c r="N42" s="312">
        <v>963</v>
      </c>
      <c r="O42" s="312">
        <v>14</v>
      </c>
      <c r="P42" s="312">
        <v>31</v>
      </c>
      <c r="Q42" s="312">
        <v>45</v>
      </c>
      <c r="R42" s="312">
        <v>6</v>
      </c>
      <c r="S42" s="312">
        <v>8</v>
      </c>
      <c r="T42" s="312">
        <v>14</v>
      </c>
      <c r="U42" s="312">
        <v>9</v>
      </c>
      <c r="V42" s="312">
        <v>15</v>
      </c>
      <c r="W42" s="312">
        <v>24</v>
      </c>
      <c r="X42" s="312">
        <v>0</v>
      </c>
      <c r="Y42" s="312">
        <v>0</v>
      </c>
      <c r="Z42" s="312">
        <v>0</v>
      </c>
      <c r="AA42" s="312">
        <v>5</v>
      </c>
      <c r="AB42" s="312">
        <v>2</v>
      </c>
      <c r="AC42" s="312">
        <v>7</v>
      </c>
      <c r="AD42" s="312">
        <v>6</v>
      </c>
      <c r="AE42" s="312">
        <v>3</v>
      </c>
      <c r="AF42" s="312">
        <v>9</v>
      </c>
      <c r="AG42" s="312">
        <v>10</v>
      </c>
      <c r="AH42" s="312">
        <v>15</v>
      </c>
      <c r="AI42" s="312">
        <v>25</v>
      </c>
      <c r="AJ42" s="312">
        <v>30</v>
      </c>
      <c r="AK42" s="312">
        <v>26</v>
      </c>
      <c r="AL42" s="312">
        <v>56</v>
      </c>
      <c r="AM42" s="312">
        <v>16928</v>
      </c>
      <c r="AN42" s="312">
        <v>16227</v>
      </c>
      <c r="AO42" s="410">
        <v>33155</v>
      </c>
    </row>
    <row r="43" spans="1:41" x14ac:dyDescent="0.35">
      <c r="A43" s="310" t="s">
        <v>289</v>
      </c>
      <c r="B43" s="311" t="s">
        <v>91</v>
      </c>
      <c r="C43" s="312">
        <v>188</v>
      </c>
      <c r="D43" s="312">
        <v>188</v>
      </c>
      <c r="E43" s="312">
        <v>376</v>
      </c>
      <c r="F43" s="312">
        <v>186</v>
      </c>
      <c r="G43" s="312">
        <v>174</v>
      </c>
      <c r="H43" s="312">
        <v>360</v>
      </c>
      <c r="I43" s="312">
        <v>74</v>
      </c>
      <c r="J43" s="312">
        <v>50</v>
      </c>
      <c r="K43" s="312">
        <v>124</v>
      </c>
      <c r="L43" s="312">
        <v>376</v>
      </c>
      <c r="M43" s="312">
        <v>306</v>
      </c>
      <c r="N43" s="312">
        <v>682</v>
      </c>
      <c r="O43" s="312">
        <v>23</v>
      </c>
      <c r="P43" s="312">
        <v>25</v>
      </c>
      <c r="Q43" s="312">
        <v>48</v>
      </c>
      <c r="R43" s="312">
        <v>5</v>
      </c>
      <c r="S43" s="312">
        <v>10</v>
      </c>
      <c r="T43" s="312">
        <v>15</v>
      </c>
      <c r="U43" s="312">
        <v>21</v>
      </c>
      <c r="V43" s="312">
        <v>22</v>
      </c>
      <c r="W43" s="312">
        <v>43</v>
      </c>
      <c r="X43" s="312">
        <v>0</v>
      </c>
      <c r="Y43" s="312">
        <v>0</v>
      </c>
      <c r="Z43" s="312">
        <v>0</v>
      </c>
      <c r="AA43" s="312">
        <v>6</v>
      </c>
      <c r="AB43" s="312">
        <v>6</v>
      </c>
      <c r="AC43" s="312">
        <v>12</v>
      </c>
      <c r="AD43" s="312">
        <v>3</v>
      </c>
      <c r="AE43" s="312">
        <v>2</v>
      </c>
      <c r="AF43" s="312">
        <v>5</v>
      </c>
      <c r="AG43" s="312">
        <v>12</v>
      </c>
      <c r="AH43" s="312">
        <v>10</v>
      </c>
      <c r="AI43" s="312">
        <v>22</v>
      </c>
      <c r="AJ43" s="312">
        <v>34</v>
      </c>
      <c r="AK43" s="312">
        <v>33</v>
      </c>
      <c r="AL43" s="312">
        <v>67</v>
      </c>
      <c r="AM43" s="312">
        <v>14337</v>
      </c>
      <c r="AN43" s="312">
        <v>13751</v>
      </c>
      <c r="AO43" s="410">
        <v>28088</v>
      </c>
    </row>
    <row r="44" spans="1:41" x14ac:dyDescent="0.35">
      <c r="A44" s="310" t="s">
        <v>290</v>
      </c>
      <c r="B44" s="311" t="s">
        <v>93</v>
      </c>
      <c r="C44" s="312">
        <v>209</v>
      </c>
      <c r="D44" s="312">
        <v>246</v>
      </c>
      <c r="E44" s="312">
        <v>455</v>
      </c>
      <c r="F44" s="312">
        <v>269</v>
      </c>
      <c r="G44" s="312">
        <v>225</v>
      </c>
      <c r="H44" s="312">
        <v>494</v>
      </c>
      <c r="I44" s="312">
        <v>99</v>
      </c>
      <c r="J44" s="312">
        <v>109</v>
      </c>
      <c r="K44" s="312">
        <v>208</v>
      </c>
      <c r="L44" s="312">
        <v>533</v>
      </c>
      <c r="M44" s="312">
        <v>444</v>
      </c>
      <c r="N44" s="312">
        <v>977</v>
      </c>
      <c r="O44" s="312">
        <v>84</v>
      </c>
      <c r="P44" s="312">
        <v>92</v>
      </c>
      <c r="Q44" s="312">
        <v>176</v>
      </c>
      <c r="R44" s="312">
        <v>44</v>
      </c>
      <c r="S44" s="312">
        <v>57</v>
      </c>
      <c r="T44" s="312">
        <v>101</v>
      </c>
      <c r="U44" s="312">
        <v>8</v>
      </c>
      <c r="V44" s="312">
        <v>13</v>
      </c>
      <c r="W44" s="312">
        <v>21</v>
      </c>
      <c r="X44" s="312">
        <v>1</v>
      </c>
      <c r="Y44" s="312">
        <v>0</v>
      </c>
      <c r="Z44" s="312">
        <v>1</v>
      </c>
      <c r="AA44" s="312">
        <v>7</v>
      </c>
      <c r="AB44" s="312">
        <v>11</v>
      </c>
      <c r="AC44" s="312">
        <v>18</v>
      </c>
      <c r="AD44" s="312">
        <v>2</v>
      </c>
      <c r="AE44" s="312">
        <v>1</v>
      </c>
      <c r="AF44" s="312">
        <v>3</v>
      </c>
      <c r="AG44" s="312">
        <v>17</v>
      </c>
      <c r="AH44" s="312">
        <v>15</v>
      </c>
      <c r="AI44" s="312">
        <v>32</v>
      </c>
      <c r="AJ44" s="312">
        <v>31</v>
      </c>
      <c r="AK44" s="312">
        <v>20</v>
      </c>
      <c r="AL44" s="312">
        <v>51</v>
      </c>
      <c r="AM44" s="312">
        <v>12546</v>
      </c>
      <c r="AN44" s="312">
        <v>12180</v>
      </c>
      <c r="AO44" s="410">
        <v>24726</v>
      </c>
    </row>
    <row r="45" spans="1:41" ht="15" thickBot="1" x14ac:dyDescent="0.4">
      <c r="A45" s="316" t="s">
        <v>291</v>
      </c>
      <c r="B45" s="317" t="s">
        <v>95</v>
      </c>
      <c r="C45" s="318">
        <v>273</v>
      </c>
      <c r="D45" s="318">
        <v>290</v>
      </c>
      <c r="E45" s="318">
        <v>563</v>
      </c>
      <c r="F45" s="318">
        <v>294</v>
      </c>
      <c r="G45" s="318">
        <v>319</v>
      </c>
      <c r="H45" s="318">
        <v>613</v>
      </c>
      <c r="I45" s="318">
        <v>120</v>
      </c>
      <c r="J45" s="318">
        <v>123</v>
      </c>
      <c r="K45" s="318">
        <v>243</v>
      </c>
      <c r="L45" s="318">
        <v>596</v>
      </c>
      <c r="M45" s="318">
        <v>552</v>
      </c>
      <c r="N45" s="318">
        <v>1148</v>
      </c>
      <c r="O45" s="318">
        <v>330</v>
      </c>
      <c r="P45" s="318">
        <v>350</v>
      </c>
      <c r="Q45" s="318">
        <v>680</v>
      </c>
      <c r="R45" s="318">
        <v>8</v>
      </c>
      <c r="S45" s="318">
        <v>5</v>
      </c>
      <c r="T45" s="318">
        <v>13</v>
      </c>
      <c r="U45" s="318">
        <v>21</v>
      </c>
      <c r="V45" s="318">
        <v>23</v>
      </c>
      <c r="W45" s="318">
        <v>44</v>
      </c>
      <c r="X45" s="318">
        <v>2</v>
      </c>
      <c r="Y45" s="318">
        <v>2</v>
      </c>
      <c r="Z45" s="318">
        <v>4</v>
      </c>
      <c r="AA45" s="318">
        <v>6</v>
      </c>
      <c r="AB45" s="318">
        <v>9</v>
      </c>
      <c r="AC45" s="318">
        <v>15</v>
      </c>
      <c r="AD45" s="318">
        <v>2</v>
      </c>
      <c r="AE45" s="318">
        <v>2</v>
      </c>
      <c r="AF45" s="318">
        <v>4</v>
      </c>
      <c r="AG45" s="318">
        <v>10</v>
      </c>
      <c r="AH45" s="318">
        <v>17</v>
      </c>
      <c r="AI45" s="318">
        <v>27</v>
      </c>
      <c r="AJ45" s="318">
        <v>23</v>
      </c>
      <c r="AK45" s="318">
        <v>29</v>
      </c>
      <c r="AL45" s="318">
        <v>52</v>
      </c>
      <c r="AM45" s="318">
        <v>12639</v>
      </c>
      <c r="AN45" s="318">
        <v>12427</v>
      </c>
      <c r="AO45" s="411">
        <v>25066</v>
      </c>
    </row>
    <row r="46" spans="1:41" x14ac:dyDescent="0.35">
      <c r="A46" s="322" t="s">
        <v>292</v>
      </c>
      <c r="B46" s="323" t="s">
        <v>102</v>
      </c>
      <c r="C46" s="324">
        <v>4800</v>
      </c>
      <c r="D46" s="324">
        <v>5193</v>
      </c>
      <c r="E46" s="324">
        <v>9993</v>
      </c>
      <c r="F46" s="324">
        <v>5698</v>
      </c>
      <c r="G46" s="324">
        <v>6252</v>
      </c>
      <c r="H46" s="324">
        <v>11950</v>
      </c>
      <c r="I46" s="324">
        <v>2038</v>
      </c>
      <c r="J46" s="324">
        <v>2044</v>
      </c>
      <c r="K46" s="324">
        <v>4082</v>
      </c>
      <c r="L46" s="324">
        <v>10106</v>
      </c>
      <c r="M46" s="324">
        <v>10494</v>
      </c>
      <c r="N46" s="324">
        <v>20600</v>
      </c>
      <c r="O46" s="324">
        <v>304</v>
      </c>
      <c r="P46" s="324">
        <v>398</v>
      </c>
      <c r="Q46" s="324">
        <v>702</v>
      </c>
      <c r="R46" s="324">
        <v>25</v>
      </c>
      <c r="S46" s="324">
        <v>24</v>
      </c>
      <c r="T46" s="324">
        <v>49</v>
      </c>
      <c r="U46" s="324">
        <v>210</v>
      </c>
      <c r="V46" s="324">
        <v>240</v>
      </c>
      <c r="W46" s="324">
        <v>450</v>
      </c>
      <c r="X46" s="324">
        <v>17</v>
      </c>
      <c r="Y46" s="324">
        <v>20</v>
      </c>
      <c r="Z46" s="324">
        <v>37</v>
      </c>
      <c r="AA46" s="324">
        <v>71</v>
      </c>
      <c r="AB46" s="324">
        <v>93</v>
      </c>
      <c r="AC46" s="324">
        <v>164</v>
      </c>
      <c r="AD46" s="324">
        <v>12</v>
      </c>
      <c r="AE46" s="324">
        <v>19</v>
      </c>
      <c r="AF46" s="324">
        <v>31</v>
      </c>
      <c r="AG46" s="324">
        <v>158</v>
      </c>
      <c r="AH46" s="324">
        <v>211</v>
      </c>
      <c r="AI46" s="324">
        <v>369</v>
      </c>
      <c r="AJ46" s="324">
        <v>112</v>
      </c>
      <c r="AK46" s="324">
        <v>109</v>
      </c>
      <c r="AL46" s="324">
        <v>221</v>
      </c>
      <c r="AM46" s="324">
        <v>93565</v>
      </c>
      <c r="AN46" s="324">
        <v>93189</v>
      </c>
      <c r="AO46" s="412">
        <v>186754</v>
      </c>
    </row>
    <row r="47" spans="1:41" x14ac:dyDescent="0.35">
      <c r="A47" s="328" t="s">
        <v>293</v>
      </c>
      <c r="B47" s="329" t="s">
        <v>98</v>
      </c>
      <c r="C47" s="330">
        <v>987</v>
      </c>
      <c r="D47" s="330">
        <v>977</v>
      </c>
      <c r="E47" s="330">
        <v>1964</v>
      </c>
      <c r="F47" s="330">
        <v>1096</v>
      </c>
      <c r="G47" s="330">
        <v>1150</v>
      </c>
      <c r="H47" s="330">
        <v>2246</v>
      </c>
      <c r="I47" s="330">
        <v>433</v>
      </c>
      <c r="J47" s="330">
        <v>424</v>
      </c>
      <c r="K47" s="330">
        <v>857</v>
      </c>
      <c r="L47" s="330">
        <v>1945</v>
      </c>
      <c r="M47" s="330">
        <v>1973</v>
      </c>
      <c r="N47" s="330">
        <v>3918</v>
      </c>
      <c r="O47" s="330">
        <v>93</v>
      </c>
      <c r="P47" s="330">
        <v>91</v>
      </c>
      <c r="Q47" s="330">
        <v>184</v>
      </c>
      <c r="R47" s="330">
        <v>3</v>
      </c>
      <c r="S47" s="330">
        <v>7</v>
      </c>
      <c r="T47" s="330">
        <v>10</v>
      </c>
      <c r="U47" s="330">
        <v>48</v>
      </c>
      <c r="V47" s="330">
        <v>58</v>
      </c>
      <c r="W47" s="330">
        <v>106</v>
      </c>
      <c r="X47" s="330">
        <v>2</v>
      </c>
      <c r="Y47" s="330">
        <v>4</v>
      </c>
      <c r="Z47" s="330">
        <v>6</v>
      </c>
      <c r="AA47" s="330">
        <v>12</v>
      </c>
      <c r="AB47" s="330">
        <v>21</v>
      </c>
      <c r="AC47" s="330">
        <v>33</v>
      </c>
      <c r="AD47" s="330">
        <v>2</v>
      </c>
      <c r="AE47" s="330">
        <v>5</v>
      </c>
      <c r="AF47" s="330">
        <v>7</v>
      </c>
      <c r="AG47" s="330">
        <v>43</v>
      </c>
      <c r="AH47" s="330">
        <v>55</v>
      </c>
      <c r="AI47" s="330">
        <v>98</v>
      </c>
      <c r="AJ47" s="330">
        <v>20</v>
      </c>
      <c r="AK47" s="330">
        <v>27</v>
      </c>
      <c r="AL47" s="330">
        <v>47</v>
      </c>
      <c r="AM47" s="330">
        <v>19326</v>
      </c>
      <c r="AN47" s="330">
        <v>19484</v>
      </c>
      <c r="AO47" s="413">
        <v>38810</v>
      </c>
    </row>
    <row r="48" spans="1:41" x14ac:dyDescent="0.35">
      <c r="A48" s="328" t="s">
        <v>294</v>
      </c>
      <c r="B48" s="329" t="s">
        <v>100</v>
      </c>
      <c r="C48" s="330">
        <v>932</v>
      </c>
      <c r="D48" s="330">
        <v>970</v>
      </c>
      <c r="E48" s="330">
        <v>1902</v>
      </c>
      <c r="F48" s="330">
        <v>1108</v>
      </c>
      <c r="G48" s="330">
        <v>1182</v>
      </c>
      <c r="H48" s="330">
        <v>2290</v>
      </c>
      <c r="I48" s="330">
        <v>349</v>
      </c>
      <c r="J48" s="330">
        <v>375</v>
      </c>
      <c r="K48" s="330">
        <v>724</v>
      </c>
      <c r="L48" s="330">
        <v>1990</v>
      </c>
      <c r="M48" s="330">
        <v>2067</v>
      </c>
      <c r="N48" s="330">
        <v>4057</v>
      </c>
      <c r="O48" s="330">
        <v>58</v>
      </c>
      <c r="P48" s="330">
        <v>71</v>
      </c>
      <c r="Q48" s="330">
        <v>129</v>
      </c>
      <c r="R48" s="330">
        <v>5</v>
      </c>
      <c r="S48" s="330">
        <v>8</v>
      </c>
      <c r="T48" s="330">
        <v>13</v>
      </c>
      <c r="U48" s="330">
        <v>38</v>
      </c>
      <c r="V48" s="330">
        <v>35</v>
      </c>
      <c r="W48" s="330">
        <v>73</v>
      </c>
      <c r="X48" s="330">
        <v>7</v>
      </c>
      <c r="Y48" s="330">
        <v>6</v>
      </c>
      <c r="Z48" s="330">
        <v>13</v>
      </c>
      <c r="AA48" s="330">
        <v>11</v>
      </c>
      <c r="AB48" s="330">
        <v>15</v>
      </c>
      <c r="AC48" s="330">
        <v>26</v>
      </c>
      <c r="AD48" s="330">
        <v>3</v>
      </c>
      <c r="AE48" s="330">
        <v>1</v>
      </c>
      <c r="AF48" s="330">
        <v>4</v>
      </c>
      <c r="AG48" s="330">
        <v>26</v>
      </c>
      <c r="AH48" s="330">
        <v>34</v>
      </c>
      <c r="AI48" s="330">
        <v>60</v>
      </c>
      <c r="AJ48" s="330">
        <v>24</v>
      </c>
      <c r="AK48" s="330">
        <v>15</v>
      </c>
      <c r="AL48" s="330">
        <v>39</v>
      </c>
      <c r="AM48" s="330">
        <v>14618</v>
      </c>
      <c r="AN48" s="330">
        <v>14395</v>
      </c>
      <c r="AO48" s="413">
        <v>29013</v>
      </c>
    </row>
    <row r="49" spans="1:41" x14ac:dyDescent="0.35">
      <c r="A49" s="328" t="s">
        <v>295</v>
      </c>
      <c r="B49" s="329" t="s">
        <v>103</v>
      </c>
      <c r="C49" s="330">
        <v>1268</v>
      </c>
      <c r="D49" s="330">
        <v>1379</v>
      </c>
      <c r="E49" s="330">
        <v>2647</v>
      </c>
      <c r="F49" s="330">
        <v>1595</v>
      </c>
      <c r="G49" s="330">
        <v>1749</v>
      </c>
      <c r="H49" s="330">
        <v>3344</v>
      </c>
      <c r="I49" s="330">
        <v>531</v>
      </c>
      <c r="J49" s="330">
        <v>551</v>
      </c>
      <c r="K49" s="330">
        <v>1082</v>
      </c>
      <c r="L49" s="330">
        <v>2704</v>
      </c>
      <c r="M49" s="330">
        <v>2864</v>
      </c>
      <c r="N49" s="330">
        <v>5568</v>
      </c>
      <c r="O49" s="330">
        <v>84</v>
      </c>
      <c r="P49" s="330">
        <v>121</v>
      </c>
      <c r="Q49" s="330">
        <v>205</v>
      </c>
      <c r="R49" s="330">
        <v>10</v>
      </c>
      <c r="S49" s="330">
        <v>3</v>
      </c>
      <c r="T49" s="330">
        <v>13</v>
      </c>
      <c r="U49" s="330">
        <v>63</v>
      </c>
      <c r="V49" s="330">
        <v>53</v>
      </c>
      <c r="W49" s="330">
        <v>116</v>
      </c>
      <c r="X49" s="330">
        <v>3</v>
      </c>
      <c r="Y49" s="330">
        <v>7</v>
      </c>
      <c r="Z49" s="330">
        <v>10</v>
      </c>
      <c r="AA49" s="330">
        <v>21</v>
      </c>
      <c r="AB49" s="330">
        <v>27</v>
      </c>
      <c r="AC49" s="330">
        <v>48</v>
      </c>
      <c r="AD49" s="330">
        <v>1</v>
      </c>
      <c r="AE49" s="330">
        <v>6</v>
      </c>
      <c r="AF49" s="330">
        <v>7</v>
      </c>
      <c r="AG49" s="330">
        <v>41</v>
      </c>
      <c r="AH49" s="330">
        <v>51</v>
      </c>
      <c r="AI49" s="330">
        <v>92</v>
      </c>
      <c r="AJ49" s="330">
        <v>32</v>
      </c>
      <c r="AK49" s="330">
        <v>25</v>
      </c>
      <c r="AL49" s="330">
        <v>57</v>
      </c>
      <c r="AM49" s="330">
        <v>24982</v>
      </c>
      <c r="AN49" s="330">
        <v>24712</v>
      </c>
      <c r="AO49" s="413">
        <v>49694</v>
      </c>
    </row>
    <row r="50" spans="1:41" x14ac:dyDescent="0.35">
      <c r="A50" s="328" t="s">
        <v>296</v>
      </c>
      <c r="B50" s="329" t="s">
        <v>105</v>
      </c>
      <c r="C50" s="330">
        <v>834</v>
      </c>
      <c r="D50" s="330">
        <v>999</v>
      </c>
      <c r="E50" s="330">
        <v>1833</v>
      </c>
      <c r="F50" s="330">
        <v>994</v>
      </c>
      <c r="G50" s="330">
        <v>1123</v>
      </c>
      <c r="H50" s="330">
        <v>2117</v>
      </c>
      <c r="I50" s="330">
        <v>371</v>
      </c>
      <c r="J50" s="330">
        <v>351</v>
      </c>
      <c r="K50" s="330">
        <v>722</v>
      </c>
      <c r="L50" s="330">
        <v>1769</v>
      </c>
      <c r="M50" s="330">
        <v>1809</v>
      </c>
      <c r="N50" s="330">
        <v>3578</v>
      </c>
      <c r="O50" s="330">
        <v>41</v>
      </c>
      <c r="P50" s="330">
        <v>51</v>
      </c>
      <c r="Q50" s="330">
        <v>92</v>
      </c>
      <c r="R50" s="330">
        <v>3</v>
      </c>
      <c r="S50" s="330">
        <v>5</v>
      </c>
      <c r="T50" s="330">
        <v>8</v>
      </c>
      <c r="U50" s="330">
        <v>18</v>
      </c>
      <c r="V50" s="330">
        <v>39</v>
      </c>
      <c r="W50" s="330">
        <v>57</v>
      </c>
      <c r="X50" s="330">
        <v>3</v>
      </c>
      <c r="Y50" s="330">
        <v>1</v>
      </c>
      <c r="Z50" s="330">
        <v>4</v>
      </c>
      <c r="AA50" s="330">
        <v>12</v>
      </c>
      <c r="AB50" s="330">
        <v>14</v>
      </c>
      <c r="AC50" s="330">
        <v>26</v>
      </c>
      <c r="AD50" s="330">
        <v>0</v>
      </c>
      <c r="AE50" s="330">
        <v>2</v>
      </c>
      <c r="AF50" s="330">
        <v>2</v>
      </c>
      <c r="AG50" s="330">
        <v>25</v>
      </c>
      <c r="AH50" s="330">
        <v>34</v>
      </c>
      <c r="AI50" s="330">
        <v>59</v>
      </c>
      <c r="AJ50" s="330">
        <v>18</v>
      </c>
      <c r="AK50" s="330">
        <v>23</v>
      </c>
      <c r="AL50" s="330">
        <v>41</v>
      </c>
      <c r="AM50" s="330">
        <v>15555</v>
      </c>
      <c r="AN50" s="330">
        <v>15580</v>
      </c>
      <c r="AO50" s="413">
        <v>31135</v>
      </c>
    </row>
    <row r="51" spans="1:41" ht="15" thickBot="1" x14ac:dyDescent="0.4">
      <c r="A51" s="335" t="s">
        <v>297</v>
      </c>
      <c r="B51" s="336" t="s">
        <v>107</v>
      </c>
      <c r="C51" s="337">
        <v>779</v>
      </c>
      <c r="D51" s="337">
        <v>868</v>
      </c>
      <c r="E51" s="337">
        <v>1647</v>
      </c>
      <c r="F51" s="337">
        <v>905</v>
      </c>
      <c r="G51" s="337">
        <v>1048</v>
      </c>
      <c r="H51" s="337">
        <v>1953</v>
      </c>
      <c r="I51" s="337">
        <v>354</v>
      </c>
      <c r="J51" s="337">
        <v>343</v>
      </c>
      <c r="K51" s="337">
        <v>697</v>
      </c>
      <c r="L51" s="337">
        <v>1698</v>
      </c>
      <c r="M51" s="337">
        <v>1781</v>
      </c>
      <c r="N51" s="337">
        <v>3479</v>
      </c>
      <c r="O51" s="337">
        <v>28</v>
      </c>
      <c r="P51" s="337">
        <v>64</v>
      </c>
      <c r="Q51" s="337">
        <v>92</v>
      </c>
      <c r="R51" s="337">
        <v>4</v>
      </c>
      <c r="S51" s="337">
        <v>1</v>
      </c>
      <c r="T51" s="337">
        <v>5</v>
      </c>
      <c r="U51" s="337">
        <v>43</v>
      </c>
      <c r="V51" s="337">
        <v>55</v>
      </c>
      <c r="W51" s="337">
        <v>98</v>
      </c>
      <c r="X51" s="337">
        <v>2</v>
      </c>
      <c r="Y51" s="337">
        <v>2</v>
      </c>
      <c r="Z51" s="337">
        <v>4</v>
      </c>
      <c r="AA51" s="337">
        <v>15</v>
      </c>
      <c r="AB51" s="337">
        <v>16</v>
      </c>
      <c r="AC51" s="337">
        <v>31</v>
      </c>
      <c r="AD51" s="337">
        <v>6</v>
      </c>
      <c r="AE51" s="337">
        <v>5</v>
      </c>
      <c r="AF51" s="337">
        <v>11</v>
      </c>
      <c r="AG51" s="337">
        <v>23</v>
      </c>
      <c r="AH51" s="337">
        <v>37</v>
      </c>
      <c r="AI51" s="337">
        <v>60</v>
      </c>
      <c r="AJ51" s="337">
        <v>18</v>
      </c>
      <c r="AK51" s="337">
        <v>19</v>
      </c>
      <c r="AL51" s="337">
        <v>37</v>
      </c>
      <c r="AM51" s="337">
        <v>19084</v>
      </c>
      <c r="AN51" s="337">
        <v>19018</v>
      </c>
      <c r="AO51" s="414">
        <v>38102</v>
      </c>
    </row>
    <row r="52" spans="1:41" x14ac:dyDescent="0.35">
      <c r="A52" s="303" t="s">
        <v>298</v>
      </c>
      <c r="B52" s="304" t="s">
        <v>112</v>
      </c>
      <c r="C52" s="305">
        <v>4686</v>
      </c>
      <c r="D52" s="305">
        <v>5141</v>
      </c>
      <c r="E52" s="305">
        <v>9827</v>
      </c>
      <c r="F52" s="305">
        <v>5690</v>
      </c>
      <c r="G52" s="305">
        <v>6096</v>
      </c>
      <c r="H52" s="305">
        <v>11786</v>
      </c>
      <c r="I52" s="305">
        <v>2091</v>
      </c>
      <c r="J52" s="305">
        <v>2190</v>
      </c>
      <c r="K52" s="305">
        <v>4281</v>
      </c>
      <c r="L52" s="305">
        <v>10514</v>
      </c>
      <c r="M52" s="305">
        <v>10368</v>
      </c>
      <c r="N52" s="305">
        <v>20882</v>
      </c>
      <c r="O52" s="305">
        <v>643</v>
      </c>
      <c r="P52" s="305">
        <v>720</v>
      </c>
      <c r="Q52" s="305">
        <v>1363</v>
      </c>
      <c r="R52" s="305">
        <v>73</v>
      </c>
      <c r="S52" s="305">
        <v>65</v>
      </c>
      <c r="T52" s="305">
        <v>138</v>
      </c>
      <c r="U52" s="305">
        <v>210</v>
      </c>
      <c r="V52" s="305">
        <v>273</v>
      </c>
      <c r="W52" s="305">
        <v>483</v>
      </c>
      <c r="X52" s="305">
        <v>44</v>
      </c>
      <c r="Y52" s="305">
        <v>54</v>
      </c>
      <c r="Z52" s="305">
        <v>98</v>
      </c>
      <c r="AA52" s="305">
        <v>89</v>
      </c>
      <c r="AB52" s="305">
        <v>85</v>
      </c>
      <c r="AC52" s="305">
        <v>174</v>
      </c>
      <c r="AD52" s="305">
        <v>51</v>
      </c>
      <c r="AE52" s="305">
        <v>47</v>
      </c>
      <c r="AF52" s="305">
        <v>98</v>
      </c>
      <c r="AG52" s="305">
        <v>171</v>
      </c>
      <c r="AH52" s="305">
        <v>194</v>
      </c>
      <c r="AI52" s="305">
        <v>365</v>
      </c>
      <c r="AJ52" s="305">
        <v>387</v>
      </c>
      <c r="AK52" s="305">
        <v>358</v>
      </c>
      <c r="AL52" s="305">
        <v>745</v>
      </c>
      <c r="AM52" s="305">
        <v>101301</v>
      </c>
      <c r="AN52" s="305">
        <v>101449</v>
      </c>
      <c r="AO52" s="409">
        <v>202750</v>
      </c>
    </row>
    <row r="53" spans="1:41" x14ac:dyDescent="0.35">
      <c r="A53" s="310" t="s">
        <v>299</v>
      </c>
      <c r="B53" s="311" t="s">
        <v>110</v>
      </c>
      <c r="C53" s="312">
        <v>685</v>
      </c>
      <c r="D53" s="312">
        <v>778</v>
      </c>
      <c r="E53" s="312">
        <v>1463</v>
      </c>
      <c r="F53" s="312">
        <v>815</v>
      </c>
      <c r="G53" s="312">
        <v>923</v>
      </c>
      <c r="H53" s="312">
        <v>1738</v>
      </c>
      <c r="I53" s="312">
        <v>359</v>
      </c>
      <c r="J53" s="312">
        <v>353</v>
      </c>
      <c r="K53" s="312">
        <v>712</v>
      </c>
      <c r="L53" s="312">
        <v>1586</v>
      </c>
      <c r="M53" s="312">
        <v>1521</v>
      </c>
      <c r="N53" s="312">
        <v>3107</v>
      </c>
      <c r="O53" s="312">
        <v>28</v>
      </c>
      <c r="P53" s="312">
        <v>40</v>
      </c>
      <c r="Q53" s="312">
        <v>68</v>
      </c>
      <c r="R53" s="312">
        <v>10</v>
      </c>
      <c r="S53" s="312">
        <v>8</v>
      </c>
      <c r="T53" s="312">
        <v>18</v>
      </c>
      <c r="U53" s="312">
        <v>25</v>
      </c>
      <c r="V53" s="312">
        <v>57</v>
      </c>
      <c r="W53" s="312">
        <v>82</v>
      </c>
      <c r="X53" s="312">
        <v>10</v>
      </c>
      <c r="Y53" s="312">
        <v>8</v>
      </c>
      <c r="Z53" s="312">
        <v>18</v>
      </c>
      <c r="AA53" s="312">
        <v>14</v>
      </c>
      <c r="AB53" s="312">
        <v>9</v>
      </c>
      <c r="AC53" s="312">
        <v>23</v>
      </c>
      <c r="AD53" s="312">
        <v>11</v>
      </c>
      <c r="AE53" s="312">
        <v>7</v>
      </c>
      <c r="AF53" s="312">
        <v>18</v>
      </c>
      <c r="AG53" s="312">
        <v>27</v>
      </c>
      <c r="AH53" s="312">
        <v>30</v>
      </c>
      <c r="AI53" s="312">
        <v>57</v>
      </c>
      <c r="AJ53" s="312">
        <v>51</v>
      </c>
      <c r="AK53" s="312">
        <v>63</v>
      </c>
      <c r="AL53" s="312">
        <v>114</v>
      </c>
      <c r="AM53" s="312">
        <v>17432</v>
      </c>
      <c r="AN53" s="312">
        <v>17326</v>
      </c>
      <c r="AO53" s="410">
        <v>34758</v>
      </c>
    </row>
    <row r="54" spans="1:41" x14ac:dyDescent="0.35">
      <c r="A54" s="310" t="s">
        <v>300</v>
      </c>
      <c r="B54" s="311" t="s">
        <v>112</v>
      </c>
      <c r="C54" s="312">
        <v>608</v>
      </c>
      <c r="D54" s="312">
        <v>740</v>
      </c>
      <c r="E54" s="312">
        <v>1348</v>
      </c>
      <c r="F54" s="312">
        <v>769</v>
      </c>
      <c r="G54" s="312">
        <v>882</v>
      </c>
      <c r="H54" s="312">
        <v>1651</v>
      </c>
      <c r="I54" s="312">
        <v>293</v>
      </c>
      <c r="J54" s="312">
        <v>260</v>
      </c>
      <c r="K54" s="312">
        <v>553</v>
      </c>
      <c r="L54" s="312">
        <v>1469</v>
      </c>
      <c r="M54" s="312">
        <v>1439</v>
      </c>
      <c r="N54" s="312">
        <v>2908</v>
      </c>
      <c r="O54" s="312">
        <v>42</v>
      </c>
      <c r="P54" s="312">
        <v>55</v>
      </c>
      <c r="Q54" s="312">
        <v>97</v>
      </c>
      <c r="R54" s="312">
        <v>11</v>
      </c>
      <c r="S54" s="312">
        <v>11</v>
      </c>
      <c r="T54" s="312">
        <v>22</v>
      </c>
      <c r="U54" s="312">
        <v>29</v>
      </c>
      <c r="V54" s="312">
        <v>37</v>
      </c>
      <c r="W54" s="312">
        <v>66</v>
      </c>
      <c r="X54" s="312">
        <v>4</v>
      </c>
      <c r="Y54" s="312">
        <v>8</v>
      </c>
      <c r="Z54" s="312">
        <v>12</v>
      </c>
      <c r="AA54" s="312">
        <v>9</v>
      </c>
      <c r="AB54" s="312">
        <v>14</v>
      </c>
      <c r="AC54" s="312">
        <v>23</v>
      </c>
      <c r="AD54" s="312">
        <v>8</v>
      </c>
      <c r="AE54" s="312">
        <v>5</v>
      </c>
      <c r="AF54" s="312">
        <v>13</v>
      </c>
      <c r="AG54" s="312">
        <v>31</v>
      </c>
      <c r="AH54" s="312">
        <v>29</v>
      </c>
      <c r="AI54" s="312">
        <v>60</v>
      </c>
      <c r="AJ54" s="312">
        <v>64</v>
      </c>
      <c r="AK54" s="312">
        <v>55</v>
      </c>
      <c r="AL54" s="312">
        <v>119</v>
      </c>
      <c r="AM54" s="312">
        <v>16038</v>
      </c>
      <c r="AN54" s="312">
        <v>15933</v>
      </c>
      <c r="AO54" s="410">
        <v>31971</v>
      </c>
    </row>
    <row r="55" spans="1:41" x14ac:dyDescent="0.35">
      <c r="A55" s="310" t="s">
        <v>301</v>
      </c>
      <c r="B55" s="311" t="s">
        <v>114</v>
      </c>
      <c r="C55" s="312">
        <v>882</v>
      </c>
      <c r="D55" s="312">
        <v>926</v>
      </c>
      <c r="E55" s="312">
        <v>1808</v>
      </c>
      <c r="F55" s="312">
        <v>1113</v>
      </c>
      <c r="G55" s="312">
        <v>1131</v>
      </c>
      <c r="H55" s="312">
        <v>2244</v>
      </c>
      <c r="I55" s="312">
        <v>343</v>
      </c>
      <c r="J55" s="312">
        <v>430</v>
      </c>
      <c r="K55" s="312">
        <v>773</v>
      </c>
      <c r="L55" s="312">
        <v>1973</v>
      </c>
      <c r="M55" s="312">
        <v>1998</v>
      </c>
      <c r="N55" s="312">
        <v>3971</v>
      </c>
      <c r="O55" s="312">
        <v>134</v>
      </c>
      <c r="P55" s="312">
        <v>144</v>
      </c>
      <c r="Q55" s="312">
        <v>278</v>
      </c>
      <c r="R55" s="312">
        <v>5</v>
      </c>
      <c r="S55" s="312">
        <v>8</v>
      </c>
      <c r="T55" s="312">
        <v>13</v>
      </c>
      <c r="U55" s="312">
        <v>42</v>
      </c>
      <c r="V55" s="312">
        <v>39</v>
      </c>
      <c r="W55" s="312">
        <v>81</v>
      </c>
      <c r="X55" s="312">
        <v>2</v>
      </c>
      <c r="Y55" s="312">
        <v>6</v>
      </c>
      <c r="Z55" s="312">
        <v>8</v>
      </c>
      <c r="AA55" s="312">
        <v>13</v>
      </c>
      <c r="AB55" s="312">
        <v>17</v>
      </c>
      <c r="AC55" s="312">
        <v>30</v>
      </c>
      <c r="AD55" s="312">
        <v>6</v>
      </c>
      <c r="AE55" s="312">
        <v>9</v>
      </c>
      <c r="AF55" s="312">
        <v>15</v>
      </c>
      <c r="AG55" s="312">
        <v>24</v>
      </c>
      <c r="AH55" s="312">
        <v>28</v>
      </c>
      <c r="AI55" s="312">
        <v>52</v>
      </c>
      <c r="AJ55" s="312">
        <v>62</v>
      </c>
      <c r="AK55" s="312">
        <v>49</v>
      </c>
      <c r="AL55" s="312">
        <v>111</v>
      </c>
      <c r="AM55" s="312">
        <v>19079</v>
      </c>
      <c r="AN55" s="312">
        <v>19214</v>
      </c>
      <c r="AO55" s="410">
        <v>38293</v>
      </c>
    </row>
    <row r="56" spans="1:41" x14ac:dyDescent="0.35">
      <c r="A56" s="310" t="s">
        <v>302</v>
      </c>
      <c r="B56" s="311" t="s">
        <v>116</v>
      </c>
      <c r="C56" s="312">
        <v>711</v>
      </c>
      <c r="D56" s="312">
        <v>768</v>
      </c>
      <c r="E56" s="312">
        <v>1479</v>
      </c>
      <c r="F56" s="312">
        <v>860</v>
      </c>
      <c r="G56" s="312">
        <v>977</v>
      </c>
      <c r="H56" s="312">
        <v>1837</v>
      </c>
      <c r="I56" s="312">
        <v>371</v>
      </c>
      <c r="J56" s="312">
        <v>379</v>
      </c>
      <c r="K56" s="312">
        <v>750</v>
      </c>
      <c r="L56" s="312">
        <v>1651</v>
      </c>
      <c r="M56" s="312">
        <v>1634</v>
      </c>
      <c r="N56" s="312">
        <v>3285</v>
      </c>
      <c r="O56" s="312">
        <v>76</v>
      </c>
      <c r="P56" s="312">
        <v>74</v>
      </c>
      <c r="Q56" s="312">
        <v>150</v>
      </c>
      <c r="R56" s="312">
        <v>10</v>
      </c>
      <c r="S56" s="312">
        <v>12</v>
      </c>
      <c r="T56" s="312">
        <v>22</v>
      </c>
      <c r="U56" s="312">
        <v>21</v>
      </c>
      <c r="V56" s="312">
        <v>33</v>
      </c>
      <c r="W56" s="312">
        <v>54</v>
      </c>
      <c r="X56" s="312">
        <v>8</v>
      </c>
      <c r="Y56" s="312">
        <v>6</v>
      </c>
      <c r="Z56" s="312">
        <v>14</v>
      </c>
      <c r="AA56" s="312">
        <v>16</v>
      </c>
      <c r="AB56" s="312">
        <v>17</v>
      </c>
      <c r="AC56" s="312">
        <v>33</v>
      </c>
      <c r="AD56" s="312">
        <v>11</v>
      </c>
      <c r="AE56" s="312">
        <v>12</v>
      </c>
      <c r="AF56" s="312">
        <v>23</v>
      </c>
      <c r="AG56" s="312">
        <v>30</v>
      </c>
      <c r="AH56" s="312">
        <v>30</v>
      </c>
      <c r="AI56" s="312">
        <v>60</v>
      </c>
      <c r="AJ56" s="312">
        <v>69</v>
      </c>
      <c r="AK56" s="312">
        <v>69</v>
      </c>
      <c r="AL56" s="312">
        <v>138</v>
      </c>
      <c r="AM56" s="312">
        <v>17230</v>
      </c>
      <c r="AN56" s="312">
        <v>17157</v>
      </c>
      <c r="AO56" s="410">
        <v>34387</v>
      </c>
    </row>
    <row r="57" spans="1:41" x14ac:dyDescent="0.35">
      <c r="A57" s="310" t="s">
        <v>303</v>
      </c>
      <c r="B57" s="311" t="s">
        <v>118</v>
      </c>
      <c r="C57" s="312">
        <v>761</v>
      </c>
      <c r="D57" s="312">
        <v>821</v>
      </c>
      <c r="E57" s="312">
        <v>1582</v>
      </c>
      <c r="F57" s="312">
        <v>790</v>
      </c>
      <c r="G57" s="312">
        <v>853</v>
      </c>
      <c r="H57" s="312">
        <v>1643</v>
      </c>
      <c r="I57" s="312">
        <v>299</v>
      </c>
      <c r="J57" s="312">
        <v>289</v>
      </c>
      <c r="K57" s="312">
        <v>588</v>
      </c>
      <c r="L57" s="312">
        <v>1548</v>
      </c>
      <c r="M57" s="312">
        <v>1464</v>
      </c>
      <c r="N57" s="312">
        <v>3012</v>
      </c>
      <c r="O57" s="312">
        <v>288</v>
      </c>
      <c r="P57" s="312">
        <v>312</v>
      </c>
      <c r="Q57" s="312">
        <v>600</v>
      </c>
      <c r="R57" s="312">
        <v>13</v>
      </c>
      <c r="S57" s="312">
        <v>11</v>
      </c>
      <c r="T57" s="312">
        <v>24</v>
      </c>
      <c r="U57" s="312">
        <v>37</v>
      </c>
      <c r="V57" s="312">
        <v>45</v>
      </c>
      <c r="W57" s="312">
        <v>82</v>
      </c>
      <c r="X57" s="312">
        <v>7</v>
      </c>
      <c r="Y57" s="312">
        <v>15</v>
      </c>
      <c r="Z57" s="312">
        <v>22</v>
      </c>
      <c r="AA57" s="312">
        <v>11</v>
      </c>
      <c r="AB57" s="312">
        <v>14</v>
      </c>
      <c r="AC57" s="312">
        <v>25</v>
      </c>
      <c r="AD57" s="312">
        <v>9</v>
      </c>
      <c r="AE57" s="312">
        <v>7</v>
      </c>
      <c r="AF57" s="312">
        <v>16</v>
      </c>
      <c r="AG57" s="312">
        <v>26</v>
      </c>
      <c r="AH57" s="312">
        <v>36</v>
      </c>
      <c r="AI57" s="312">
        <v>62</v>
      </c>
      <c r="AJ57" s="312">
        <v>62</v>
      </c>
      <c r="AK57" s="312">
        <v>51</v>
      </c>
      <c r="AL57" s="312">
        <v>113</v>
      </c>
      <c r="AM57" s="312">
        <v>14822</v>
      </c>
      <c r="AN57" s="312">
        <v>15064</v>
      </c>
      <c r="AO57" s="410">
        <v>29886</v>
      </c>
    </row>
    <row r="58" spans="1:41" ht="15" thickBot="1" x14ac:dyDescent="0.4">
      <c r="A58" s="316" t="s">
        <v>304</v>
      </c>
      <c r="B58" s="317" t="s">
        <v>120</v>
      </c>
      <c r="C58" s="318">
        <v>1039</v>
      </c>
      <c r="D58" s="318">
        <v>1108</v>
      </c>
      <c r="E58" s="318">
        <v>2147</v>
      </c>
      <c r="F58" s="318">
        <v>1343</v>
      </c>
      <c r="G58" s="318">
        <v>1330</v>
      </c>
      <c r="H58" s="318">
        <v>2673</v>
      </c>
      <c r="I58" s="318">
        <v>426</v>
      </c>
      <c r="J58" s="318">
        <v>479</v>
      </c>
      <c r="K58" s="318">
        <v>905</v>
      </c>
      <c r="L58" s="318">
        <v>2287</v>
      </c>
      <c r="M58" s="318">
        <v>2312</v>
      </c>
      <c r="N58" s="318">
        <v>4599</v>
      </c>
      <c r="O58" s="318">
        <v>75</v>
      </c>
      <c r="P58" s="318">
        <v>95</v>
      </c>
      <c r="Q58" s="318">
        <v>170</v>
      </c>
      <c r="R58" s="318">
        <v>24</v>
      </c>
      <c r="S58" s="318">
        <v>15</v>
      </c>
      <c r="T58" s="318">
        <v>39</v>
      </c>
      <c r="U58" s="318">
        <v>56</v>
      </c>
      <c r="V58" s="318">
        <v>62</v>
      </c>
      <c r="W58" s="318">
        <v>118</v>
      </c>
      <c r="X58" s="318">
        <v>13</v>
      </c>
      <c r="Y58" s="318">
        <v>11</v>
      </c>
      <c r="Z58" s="318">
        <v>24</v>
      </c>
      <c r="AA58" s="318">
        <v>26</v>
      </c>
      <c r="AB58" s="318">
        <v>14</v>
      </c>
      <c r="AC58" s="318">
        <v>40</v>
      </c>
      <c r="AD58" s="318">
        <v>6</v>
      </c>
      <c r="AE58" s="318">
        <v>7</v>
      </c>
      <c r="AF58" s="318">
        <v>13</v>
      </c>
      <c r="AG58" s="318">
        <v>33</v>
      </c>
      <c r="AH58" s="318">
        <v>41</v>
      </c>
      <c r="AI58" s="318">
        <v>74</v>
      </c>
      <c r="AJ58" s="318">
        <v>79</v>
      </c>
      <c r="AK58" s="318">
        <v>71</v>
      </c>
      <c r="AL58" s="318">
        <v>150</v>
      </c>
      <c r="AM58" s="318">
        <v>16700</v>
      </c>
      <c r="AN58" s="318">
        <v>16755</v>
      </c>
      <c r="AO58" s="411">
        <v>33455</v>
      </c>
    </row>
    <row r="59" spans="1:41" x14ac:dyDescent="0.35">
      <c r="A59" s="322" t="s">
        <v>305</v>
      </c>
      <c r="B59" s="323" t="s">
        <v>123</v>
      </c>
      <c r="C59" s="324">
        <v>2289</v>
      </c>
      <c r="D59" s="324">
        <v>2527</v>
      </c>
      <c r="E59" s="324">
        <v>4816</v>
      </c>
      <c r="F59" s="324">
        <v>2738</v>
      </c>
      <c r="G59" s="324">
        <v>3005</v>
      </c>
      <c r="H59" s="324">
        <v>5743</v>
      </c>
      <c r="I59" s="324">
        <v>1028</v>
      </c>
      <c r="J59" s="324">
        <v>1010</v>
      </c>
      <c r="K59" s="324">
        <v>2038</v>
      </c>
      <c r="L59" s="324">
        <v>4894</v>
      </c>
      <c r="M59" s="324">
        <v>4795</v>
      </c>
      <c r="N59" s="324">
        <v>9689</v>
      </c>
      <c r="O59" s="324">
        <v>397</v>
      </c>
      <c r="P59" s="324">
        <v>413</v>
      </c>
      <c r="Q59" s="324">
        <v>810</v>
      </c>
      <c r="R59" s="324">
        <v>23</v>
      </c>
      <c r="S59" s="324">
        <v>24</v>
      </c>
      <c r="T59" s="324">
        <v>47</v>
      </c>
      <c r="U59" s="324">
        <v>130</v>
      </c>
      <c r="V59" s="324">
        <v>158</v>
      </c>
      <c r="W59" s="324">
        <v>288</v>
      </c>
      <c r="X59" s="324">
        <v>9</v>
      </c>
      <c r="Y59" s="324">
        <v>10</v>
      </c>
      <c r="Z59" s="324">
        <v>19</v>
      </c>
      <c r="AA59" s="324">
        <v>53</v>
      </c>
      <c r="AB59" s="324">
        <v>69</v>
      </c>
      <c r="AC59" s="324">
        <v>122</v>
      </c>
      <c r="AD59" s="324">
        <v>9</v>
      </c>
      <c r="AE59" s="324">
        <v>13</v>
      </c>
      <c r="AF59" s="324">
        <v>22</v>
      </c>
      <c r="AG59" s="324">
        <v>102</v>
      </c>
      <c r="AH59" s="324">
        <v>129</v>
      </c>
      <c r="AI59" s="324">
        <v>231</v>
      </c>
      <c r="AJ59" s="324">
        <v>117</v>
      </c>
      <c r="AK59" s="324">
        <v>112</v>
      </c>
      <c r="AL59" s="324">
        <v>229</v>
      </c>
      <c r="AM59" s="324">
        <v>49821</v>
      </c>
      <c r="AN59" s="324">
        <v>50190</v>
      </c>
      <c r="AO59" s="412">
        <v>100011</v>
      </c>
    </row>
    <row r="60" spans="1:41" x14ac:dyDescent="0.35">
      <c r="A60" s="328" t="s">
        <v>306</v>
      </c>
      <c r="B60" s="329" t="s">
        <v>123</v>
      </c>
      <c r="C60" s="330">
        <v>591</v>
      </c>
      <c r="D60" s="330">
        <v>699</v>
      </c>
      <c r="E60" s="330">
        <v>1290</v>
      </c>
      <c r="F60" s="330">
        <v>711</v>
      </c>
      <c r="G60" s="330">
        <v>759</v>
      </c>
      <c r="H60" s="330">
        <v>1470</v>
      </c>
      <c r="I60" s="330">
        <v>264</v>
      </c>
      <c r="J60" s="330">
        <v>268</v>
      </c>
      <c r="K60" s="330">
        <v>532</v>
      </c>
      <c r="L60" s="330">
        <v>1342</v>
      </c>
      <c r="M60" s="330">
        <v>1307</v>
      </c>
      <c r="N60" s="330">
        <v>2649</v>
      </c>
      <c r="O60" s="330">
        <v>108</v>
      </c>
      <c r="P60" s="330">
        <v>101</v>
      </c>
      <c r="Q60" s="330">
        <v>209</v>
      </c>
      <c r="R60" s="330">
        <v>8</v>
      </c>
      <c r="S60" s="330">
        <v>10</v>
      </c>
      <c r="T60" s="330">
        <v>18</v>
      </c>
      <c r="U60" s="330">
        <v>36</v>
      </c>
      <c r="V60" s="330">
        <v>29</v>
      </c>
      <c r="W60" s="330">
        <v>65</v>
      </c>
      <c r="X60" s="330">
        <v>0</v>
      </c>
      <c r="Y60" s="330">
        <v>1</v>
      </c>
      <c r="Z60" s="330">
        <v>1</v>
      </c>
      <c r="AA60" s="330">
        <v>8</v>
      </c>
      <c r="AB60" s="330">
        <v>13</v>
      </c>
      <c r="AC60" s="330">
        <v>21</v>
      </c>
      <c r="AD60" s="330">
        <v>4</v>
      </c>
      <c r="AE60" s="330">
        <v>5</v>
      </c>
      <c r="AF60" s="330">
        <v>9</v>
      </c>
      <c r="AG60" s="330">
        <v>25</v>
      </c>
      <c r="AH60" s="330">
        <v>31</v>
      </c>
      <c r="AI60" s="330">
        <v>56</v>
      </c>
      <c r="AJ60" s="330">
        <v>28</v>
      </c>
      <c r="AK60" s="330">
        <v>29</v>
      </c>
      <c r="AL60" s="330">
        <v>57</v>
      </c>
      <c r="AM60" s="330">
        <v>12865</v>
      </c>
      <c r="AN60" s="330">
        <v>13097</v>
      </c>
      <c r="AO60" s="413">
        <v>25962</v>
      </c>
    </row>
    <row r="61" spans="1:41" x14ac:dyDescent="0.35">
      <c r="A61" s="328" t="s">
        <v>307</v>
      </c>
      <c r="B61" s="329" t="s">
        <v>125</v>
      </c>
      <c r="C61" s="330">
        <v>464</v>
      </c>
      <c r="D61" s="330">
        <v>487</v>
      </c>
      <c r="E61" s="330">
        <v>951</v>
      </c>
      <c r="F61" s="330">
        <v>555</v>
      </c>
      <c r="G61" s="330">
        <v>656</v>
      </c>
      <c r="H61" s="330">
        <v>1211</v>
      </c>
      <c r="I61" s="330">
        <v>199</v>
      </c>
      <c r="J61" s="330">
        <v>193</v>
      </c>
      <c r="K61" s="330">
        <v>392</v>
      </c>
      <c r="L61" s="330">
        <v>907</v>
      </c>
      <c r="M61" s="330">
        <v>992</v>
      </c>
      <c r="N61" s="330">
        <v>1899</v>
      </c>
      <c r="O61" s="330">
        <v>44</v>
      </c>
      <c r="P61" s="330">
        <v>48</v>
      </c>
      <c r="Q61" s="330">
        <v>92</v>
      </c>
      <c r="R61" s="330">
        <v>6</v>
      </c>
      <c r="S61" s="330">
        <v>6</v>
      </c>
      <c r="T61" s="330">
        <v>12</v>
      </c>
      <c r="U61" s="330">
        <v>25</v>
      </c>
      <c r="V61" s="330">
        <v>32</v>
      </c>
      <c r="W61" s="330">
        <v>57</v>
      </c>
      <c r="X61" s="330">
        <v>3</v>
      </c>
      <c r="Y61" s="330">
        <v>3</v>
      </c>
      <c r="Z61" s="330">
        <v>6</v>
      </c>
      <c r="AA61" s="330">
        <v>6</v>
      </c>
      <c r="AB61" s="330">
        <v>11</v>
      </c>
      <c r="AC61" s="330">
        <v>17</v>
      </c>
      <c r="AD61" s="330">
        <v>2</v>
      </c>
      <c r="AE61" s="330">
        <v>1</v>
      </c>
      <c r="AF61" s="330">
        <v>3</v>
      </c>
      <c r="AG61" s="330">
        <v>21</v>
      </c>
      <c r="AH61" s="330">
        <v>21</v>
      </c>
      <c r="AI61" s="330">
        <v>42</v>
      </c>
      <c r="AJ61" s="330">
        <v>12</v>
      </c>
      <c r="AK61" s="330">
        <v>11</v>
      </c>
      <c r="AL61" s="330">
        <v>23</v>
      </c>
      <c r="AM61" s="330">
        <v>6081</v>
      </c>
      <c r="AN61" s="330">
        <v>6387</v>
      </c>
      <c r="AO61" s="413">
        <v>12468</v>
      </c>
    </row>
    <row r="62" spans="1:41" x14ac:dyDescent="0.35">
      <c r="A62" s="328" t="s">
        <v>308</v>
      </c>
      <c r="B62" s="329" t="s">
        <v>127</v>
      </c>
      <c r="C62" s="330">
        <v>556</v>
      </c>
      <c r="D62" s="330">
        <v>643</v>
      </c>
      <c r="E62" s="330">
        <v>1199</v>
      </c>
      <c r="F62" s="330">
        <v>754</v>
      </c>
      <c r="G62" s="330">
        <v>809</v>
      </c>
      <c r="H62" s="330">
        <v>1563</v>
      </c>
      <c r="I62" s="330">
        <v>308</v>
      </c>
      <c r="J62" s="330">
        <v>289</v>
      </c>
      <c r="K62" s="330">
        <v>597</v>
      </c>
      <c r="L62" s="330">
        <v>1359</v>
      </c>
      <c r="M62" s="330">
        <v>1245</v>
      </c>
      <c r="N62" s="330">
        <v>2604</v>
      </c>
      <c r="O62" s="330">
        <v>79</v>
      </c>
      <c r="P62" s="330">
        <v>83</v>
      </c>
      <c r="Q62" s="330">
        <v>162</v>
      </c>
      <c r="R62" s="330">
        <v>7</v>
      </c>
      <c r="S62" s="330">
        <v>3</v>
      </c>
      <c r="T62" s="330">
        <v>10</v>
      </c>
      <c r="U62" s="330">
        <v>29</v>
      </c>
      <c r="V62" s="330">
        <v>46</v>
      </c>
      <c r="W62" s="330">
        <v>75</v>
      </c>
      <c r="X62" s="330">
        <v>3</v>
      </c>
      <c r="Y62" s="330">
        <v>0</v>
      </c>
      <c r="Z62" s="330">
        <v>3</v>
      </c>
      <c r="AA62" s="330">
        <v>20</v>
      </c>
      <c r="AB62" s="330">
        <v>20</v>
      </c>
      <c r="AC62" s="330">
        <v>40</v>
      </c>
      <c r="AD62" s="330">
        <v>0</v>
      </c>
      <c r="AE62" s="330">
        <v>2</v>
      </c>
      <c r="AF62" s="330">
        <v>2</v>
      </c>
      <c r="AG62" s="330">
        <v>21</v>
      </c>
      <c r="AH62" s="330">
        <v>34</v>
      </c>
      <c r="AI62" s="330">
        <v>55</v>
      </c>
      <c r="AJ62" s="330">
        <v>30</v>
      </c>
      <c r="AK62" s="330">
        <v>32</v>
      </c>
      <c r="AL62" s="330">
        <v>62</v>
      </c>
      <c r="AM62" s="330">
        <v>12040</v>
      </c>
      <c r="AN62" s="330">
        <v>12052</v>
      </c>
      <c r="AO62" s="413">
        <v>24092</v>
      </c>
    </row>
    <row r="63" spans="1:41" x14ac:dyDescent="0.35">
      <c r="A63" s="328" t="s">
        <v>309</v>
      </c>
      <c r="B63" s="329" t="s">
        <v>129</v>
      </c>
      <c r="C63" s="330">
        <v>305</v>
      </c>
      <c r="D63" s="330">
        <v>294</v>
      </c>
      <c r="E63" s="330">
        <v>599</v>
      </c>
      <c r="F63" s="330">
        <v>320</v>
      </c>
      <c r="G63" s="330">
        <v>339</v>
      </c>
      <c r="H63" s="330">
        <v>659</v>
      </c>
      <c r="I63" s="330">
        <v>127</v>
      </c>
      <c r="J63" s="330">
        <v>110</v>
      </c>
      <c r="K63" s="330">
        <v>237</v>
      </c>
      <c r="L63" s="330">
        <v>600</v>
      </c>
      <c r="M63" s="330">
        <v>572</v>
      </c>
      <c r="N63" s="330">
        <v>1172</v>
      </c>
      <c r="O63" s="330">
        <v>107</v>
      </c>
      <c r="P63" s="330">
        <v>110</v>
      </c>
      <c r="Q63" s="330">
        <v>217</v>
      </c>
      <c r="R63" s="330">
        <v>1</v>
      </c>
      <c r="S63" s="330">
        <v>3</v>
      </c>
      <c r="T63" s="330">
        <v>4</v>
      </c>
      <c r="U63" s="330">
        <v>15</v>
      </c>
      <c r="V63" s="330">
        <v>24</v>
      </c>
      <c r="W63" s="330">
        <v>39</v>
      </c>
      <c r="X63" s="330">
        <v>1</v>
      </c>
      <c r="Y63" s="330">
        <v>1</v>
      </c>
      <c r="Z63" s="330">
        <v>2</v>
      </c>
      <c r="AA63" s="330">
        <v>8</v>
      </c>
      <c r="AB63" s="330">
        <v>10</v>
      </c>
      <c r="AC63" s="330">
        <v>18</v>
      </c>
      <c r="AD63" s="330">
        <v>1</v>
      </c>
      <c r="AE63" s="330">
        <v>3</v>
      </c>
      <c r="AF63" s="330">
        <v>4</v>
      </c>
      <c r="AG63" s="330">
        <v>14</v>
      </c>
      <c r="AH63" s="330">
        <v>19</v>
      </c>
      <c r="AI63" s="330">
        <v>33</v>
      </c>
      <c r="AJ63" s="330">
        <v>19</v>
      </c>
      <c r="AK63" s="330">
        <v>16</v>
      </c>
      <c r="AL63" s="330">
        <v>35</v>
      </c>
      <c r="AM63" s="330">
        <v>8716</v>
      </c>
      <c r="AN63" s="330">
        <v>8707</v>
      </c>
      <c r="AO63" s="413">
        <v>17423</v>
      </c>
    </row>
    <row r="64" spans="1:41" ht="15" thickBot="1" x14ac:dyDescent="0.4">
      <c r="A64" s="335" t="s">
        <v>310</v>
      </c>
      <c r="B64" s="336" t="s">
        <v>131</v>
      </c>
      <c r="C64" s="337">
        <v>373</v>
      </c>
      <c r="D64" s="337">
        <v>404</v>
      </c>
      <c r="E64" s="337">
        <v>777</v>
      </c>
      <c r="F64" s="337">
        <v>398</v>
      </c>
      <c r="G64" s="337">
        <v>442</v>
      </c>
      <c r="H64" s="337">
        <v>840</v>
      </c>
      <c r="I64" s="337">
        <v>130</v>
      </c>
      <c r="J64" s="337">
        <v>150</v>
      </c>
      <c r="K64" s="337">
        <v>280</v>
      </c>
      <c r="L64" s="337">
        <v>686</v>
      </c>
      <c r="M64" s="337">
        <v>679</v>
      </c>
      <c r="N64" s="337">
        <v>1365</v>
      </c>
      <c r="O64" s="337">
        <v>59</v>
      </c>
      <c r="P64" s="337">
        <v>71</v>
      </c>
      <c r="Q64" s="337">
        <v>130</v>
      </c>
      <c r="R64" s="337">
        <v>1</v>
      </c>
      <c r="S64" s="337">
        <v>2</v>
      </c>
      <c r="T64" s="337">
        <v>3</v>
      </c>
      <c r="U64" s="337">
        <v>25</v>
      </c>
      <c r="V64" s="337">
        <v>27</v>
      </c>
      <c r="W64" s="337">
        <v>52</v>
      </c>
      <c r="X64" s="337">
        <v>2</v>
      </c>
      <c r="Y64" s="337">
        <v>5</v>
      </c>
      <c r="Z64" s="337">
        <v>7</v>
      </c>
      <c r="AA64" s="337">
        <v>11</v>
      </c>
      <c r="AB64" s="337">
        <v>15</v>
      </c>
      <c r="AC64" s="337">
        <v>26</v>
      </c>
      <c r="AD64" s="337">
        <v>2</v>
      </c>
      <c r="AE64" s="337">
        <v>2</v>
      </c>
      <c r="AF64" s="337">
        <v>4</v>
      </c>
      <c r="AG64" s="337">
        <v>21</v>
      </c>
      <c r="AH64" s="337">
        <v>24</v>
      </c>
      <c r="AI64" s="337">
        <v>45</v>
      </c>
      <c r="AJ64" s="337">
        <v>28</v>
      </c>
      <c r="AK64" s="337">
        <v>24</v>
      </c>
      <c r="AL64" s="337">
        <v>52</v>
      </c>
      <c r="AM64" s="337">
        <v>10119</v>
      </c>
      <c r="AN64" s="337">
        <v>9947</v>
      </c>
      <c r="AO64" s="414">
        <v>20066</v>
      </c>
    </row>
    <row r="65" spans="1:41" x14ac:dyDescent="0.35">
      <c r="A65" s="303" t="s">
        <v>311</v>
      </c>
      <c r="B65" s="304" t="s">
        <v>138</v>
      </c>
      <c r="C65" s="305">
        <v>3670</v>
      </c>
      <c r="D65" s="305">
        <v>3904</v>
      </c>
      <c r="E65" s="305">
        <v>7574</v>
      </c>
      <c r="F65" s="305">
        <v>4386</v>
      </c>
      <c r="G65" s="305">
        <v>4531</v>
      </c>
      <c r="H65" s="305">
        <v>8917</v>
      </c>
      <c r="I65" s="305">
        <v>1625</v>
      </c>
      <c r="J65" s="305">
        <v>1623</v>
      </c>
      <c r="K65" s="305">
        <v>3248</v>
      </c>
      <c r="L65" s="305">
        <v>8261</v>
      </c>
      <c r="M65" s="305">
        <v>7974</v>
      </c>
      <c r="N65" s="305">
        <v>16235</v>
      </c>
      <c r="O65" s="305">
        <v>433</v>
      </c>
      <c r="P65" s="305">
        <v>531</v>
      </c>
      <c r="Q65" s="305">
        <v>964</v>
      </c>
      <c r="R65" s="305">
        <v>21</v>
      </c>
      <c r="S65" s="305">
        <v>30</v>
      </c>
      <c r="T65" s="305">
        <v>51</v>
      </c>
      <c r="U65" s="305">
        <v>216</v>
      </c>
      <c r="V65" s="305">
        <v>247</v>
      </c>
      <c r="W65" s="305">
        <v>463</v>
      </c>
      <c r="X65" s="305">
        <v>8</v>
      </c>
      <c r="Y65" s="305">
        <v>12</v>
      </c>
      <c r="Z65" s="305">
        <v>20</v>
      </c>
      <c r="AA65" s="305">
        <v>74</v>
      </c>
      <c r="AB65" s="305">
        <v>106</v>
      </c>
      <c r="AC65" s="305">
        <v>180</v>
      </c>
      <c r="AD65" s="305">
        <v>27</v>
      </c>
      <c r="AE65" s="305">
        <v>35</v>
      </c>
      <c r="AF65" s="305">
        <v>62</v>
      </c>
      <c r="AG65" s="305">
        <v>142</v>
      </c>
      <c r="AH65" s="305">
        <v>190</v>
      </c>
      <c r="AI65" s="305">
        <v>332</v>
      </c>
      <c r="AJ65" s="305">
        <v>207</v>
      </c>
      <c r="AK65" s="305">
        <v>219</v>
      </c>
      <c r="AL65" s="305">
        <v>426</v>
      </c>
      <c r="AM65" s="305">
        <v>96874</v>
      </c>
      <c r="AN65" s="305">
        <v>96254</v>
      </c>
      <c r="AO65" s="409">
        <v>193128</v>
      </c>
    </row>
    <row r="66" spans="1:41" x14ac:dyDescent="0.35">
      <c r="A66" s="310" t="s">
        <v>312</v>
      </c>
      <c r="B66" s="311" t="s">
        <v>134</v>
      </c>
      <c r="C66" s="312">
        <v>907</v>
      </c>
      <c r="D66" s="312">
        <v>982</v>
      </c>
      <c r="E66" s="312">
        <v>1889</v>
      </c>
      <c r="F66" s="312">
        <v>990</v>
      </c>
      <c r="G66" s="312">
        <v>1034</v>
      </c>
      <c r="H66" s="312">
        <v>2024</v>
      </c>
      <c r="I66" s="312">
        <v>422</v>
      </c>
      <c r="J66" s="312">
        <v>388</v>
      </c>
      <c r="K66" s="312">
        <v>810</v>
      </c>
      <c r="L66" s="312">
        <v>2045</v>
      </c>
      <c r="M66" s="312">
        <v>1925</v>
      </c>
      <c r="N66" s="312">
        <v>3970</v>
      </c>
      <c r="O66" s="312">
        <v>147</v>
      </c>
      <c r="P66" s="312">
        <v>164</v>
      </c>
      <c r="Q66" s="312">
        <v>311</v>
      </c>
      <c r="R66" s="312">
        <v>7</v>
      </c>
      <c r="S66" s="312">
        <v>11</v>
      </c>
      <c r="T66" s="312">
        <v>18</v>
      </c>
      <c r="U66" s="312">
        <v>50</v>
      </c>
      <c r="V66" s="312">
        <v>62</v>
      </c>
      <c r="W66" s="312">
        <v>112</v>
      </c>
      <c r="X66" s="312">
        <v>1</v>
      </c>
      <c r="Y66" s="312">
        <v>2</v>
      </c>
      <c r="Z66" s="312">
        <v>3</v>
      </c>
      <c r="AA66" s="312">
        <v>14</v>
      </c>
      <c r="AB66" s="312">
        <v>19</v>
      </c>
      <c r="AC66" s="312">
        <v>33</v>
      </c>
      <c r="AD66" s="312">
        <v>7</v>
      </c>
      <c r="AE66" s="312">
        <v>10</v>
      </c>
      <c r="AF66" s="312">
        <v>17</v>
      </c>
      <c r="AG66" s="312">
        <v>33</v>
      </c>
      <c r="AH66" s="312">
        <v>43</v>
      </c>
      <c r="AI66" s="312">
        <v>76</v>
      </c>
      <c r="AJ66" s="312">
        <v>51</v>
      </c>
      <c r="AK66" s="312">
        <v>56</v>
      </c>
      <c r="AL66" s="312">
        <v>107</v>
      </c>
      <c r="AM66" s="312">
        <v>26016</v>
      </c>
      <c r="AN66" s="312">
        <v>25520</v>
      </c>
      <c r="AO66" s="410">
        <v>51536</v>
      </c>
    </row>
    <row r="67" spans="1:41" x14ac:dyDescent="0.35">
      <c r="A67" s="310" t="s">
        <v>313</v>
      </c>
      <c r="B67" s="311" t="s">
        <v>136</v>
      </c>
      <c r="C67" s="312">
        <v>748</v>
      </c>
      <c r="D67" s="312">
        <v>766</v>
      </c>
      <c r="E67" s="312">
        <v>1514</v>
      </c>
      <c r="F67" s="312">
        <v>997</v>
      </c>
      <c r="G67" s="312">
        <v>979</v>
      </c>
      <c r="H67" s="312">
        <v>1976</v>
      </c>
      <c r="I67" s="312">
        <v>333</v>
      </c>
      <c r="J67" s="312">
        <v>345</v>
      </c>
      <c r="K67" s="312">
        <v>678</v>
      </c>
      <c r="L67" s="312">
        <v>1731</v>
      </c>
      <c r="M67" s="312">
        <v>1715</v>
      </c>
      <c r="N67" s="312">
        <v>3446</v>
      </c>
      <c r="O67" s="312">
        <v>141</v>
      </c>
      <c r="P67" s="312">
        <v>170</v>
      </c>
      <c r="Q67" s="312">
        <v>311</v>
      </c>
      <c r="R67" s="312">
        <v>6</v>
      </c>
      <c r="S67" s="312">
        <v>5</v>
      </c>
      <c r="T67" s="312">
        <v>11</v>
      </c>
      <c r="U67" s="312">
        <v>47</v>
      </c>
      <c r="V67" s="312">
        <v>45</v>
      </c>
      <c r="W67" s="312">
        <v>92</v>
      </c>
      <c r="X67" s="312">
        <v>3</v>
      </c>
      <c r="Y67" s="312">
        <v>5</v>
      </c>
      <c r="Z67" s="312">
        <v>8</v>
      </c>
      <c r="AA67" s="312">
        <v>11</v>
      </c>
      <c r="AB67" s="312">
        <v>21</v>
      </c>
      <c r="AC67" s="312">
        <v>32</v>
      </c>
      <c r="AD67" s="312">
        <v>5</v>
      </c>
      <c r="AE67" s="312">
        <v>8</v>
      </c>
      <c r="AF67" s="312">
        <v>13</v>
      </c>
      <c r="AG67" s="312">
        <v>30</v>
      </c>
      <c r="AH67" s="312">
        <v>35</v>
      </c>
      <c r="AI67" s="312">
        <v>65</v>
      </c>
      <c r="AJ67" s="312">
        <v>32</v>
      </c>
      <c r="AK67" s="312">
        <v>35</v>
      </c>
      <c r="AL67" s="312">
        <v>67</v>
      </c>
      <c r="AM67" s="312">
        <v>19568</v>
      </c>
      <c r="AN67" s="312">
        <v>19734</v>
      </c>
      <c r="AO67" s="410">
        <v>39302</v>
      </c>
    </row>
    <row r="68" spans="1:41" x14ac:dyDescent="0.35">
      <c r="A68" s="310" t="s">
        <v>314</v>
      </c>
      <c r="B68" s="311" t="s">
        <v>138</v>
      </c>
      <c r="C68" s="312">
        <v>1361</v>
      </c>
      <c r="D68" s="312">
        <v>1468</v>
      </c>
      <c r="E68" s="312">
        <v>2829</v>
      </c>
      <c r="F68" s="312">
        <v>1688</v>
      </c>
      <c r="G68" s="312">
        <v>1796</v>
      </c>
      <c r="H68" s="312">
        <v>3484</v>
      </c>
      <c r="I68" s="312">
        <v>597</v>
      </c>
      <c r="J68" s="312">
        <v>616</v>
      </c>
      <c r="K68" s="312">
        <v>1213</v>
      </c>
      <c r="L68" s="312">
        <v>3105</v>
      </c>
      <c r="M68" s="312">
        <v>2984</v>
      </c>
      <c r="N68" s="312">
        <v>6089</v>
      </c>
      <c r="O68" s="312">
        <v>98</v>
      </c>
      <c r="P68" s="312">
        <v>136</v>
      </c>
      <c r="Q68" s="312">
        <v>234</v>
      </c>
      <c r="R68" s="312">
        <v>5</v>
      </c>
      <c r="S68" s="312">
        <v>9</v>
      </c>
      <c r="T68" s="312">
        <v>14</v>
      </c>
      <c r="U68" s="312">
        <v>79</v>
      </c>
      <c r="V68" s="312">
        <v>94</v>
      </c>
      <c r="W68" s="312">
        <v>173</v>
      </c>
      <c r="X68" s="312">
        <v>2</v>
      </c>
      <c r="Y68" s="312">
        <v>3</v>
      </c>
      <c r="Z68" s="312">
        <v>5</v>
      </c>
      <c r="AA68" s="312">
        <v>28</v>
      </c>
      <c r="AB68" s="312">
        <v>43</v>
      </c>
      <c r="AC68" s="312">
        <v>71</v>
      </c>
      <c r="AD68" s="312">
        <v>8</v>
      </c>
      <c r="AE68" s="312">
        <v>14</v>
      </c>
      <c r="AF68" s="312">
        <v>22</v>
      </c>
      <c r="AG68" s="312">
        <v>55</v>
      </c>
      <c r="AH68" s="312">
        <v>74</v>
      </c>
      <c r="AI68" s="312">
        <v>129</v>
      </c>
      <c r="AJ68" s="312">
        <v>87</v>
      </c>
      <c r="AK68" s="312">
        <v>95</v>
      </c>
      <c r="AL68" s="312">
        <v>182</v>
      </c>
      <c r="AM68" s="312">
        <v>33730</v>
      </c>
      <c r="AN68" s="312">
        <v>33799</v>
      </c>
      <c r="AO68" s="410">
        <v>67529</v>
      </c>
    </row>
    <row r="69" spans="1:41" ht="15" thickBot="1" x14ac:dyDescent="0.4">
      <c r="A69" s="316" t="s">
        <v>315</v>
      </c>
      <c r="B69" s="317" t="s">
        <v>140</v>
      </c>
      <c r="C69" s="318">
        <v>654</v>
      </c>
      <c r="D69" s="318">
        <v>688</v>
      </c>
      <c r="E69" s="318">
        <v>1342</v>
      </c>
      <c r="F69" s="318">
        <v>711</v>
      </c>
      <c r="G69" s="318">
        <v>722</v>
      </c>
      <c r="H69" s="318">
        <v>1433</v>
      </c>
      <c r="I69" s="318">
        <v>273</v>
      </c>
      <c r="J69" s="318">
        <v>274</v>
      </c>
      <c r="K69" s="318">
        <v>547</v>
      </c>
      <c r="L69" s="318">
        <v>1380</v>
      </c>
      <c r="M69" s="318">
        <v>1350</v>
      </c>
      <c r="N69" s="318">
        <v>2730</v>
      </c>
      <c r="O69" s="318">
        <v>47</v>
      </c>
      <c r="P69" s="318">
        <v>61</v>
      </c>
      <c r="Q69" s="318">
        <v>108</v>
      </c>
      <c r="R69" s="318">
        <v>3</v>
      </c>
      <c r="S69" s="318">
        <v>5</v>
      </c>
      <c r="T69" s="318">
        <v>8</v>
      </c>
      <c r="U69" s="318">
        <v>40</v>
      </c>
      <c r="V69" s="318">
        <v>46</v>
      </c>
      <c r="W69" s="318">
        <v>86</v>
      </c>
      <c r="X69" s="318">
        <v>2</v>
      </c>
      <c r="Y69" s="318">
        <v>2</v>
      </c>
      <c r="Z69" s="318">
        <v>4</v>
      </c>
      <c r="AA69" s="318">
        <v>21</v>
      </c>
      <c r="AB69" s="318">
        <v>23</v>
      </c>
      <c r="AC69" s="318">
        <v>44</v>
      </c>
      <c r="AD69" s="318">
        <v>7</v>
      </c>
      <c r="AE69" s="318">
        <v>3</v>
      </c>
      <c r="AF69" s="318">
        <v>10</v>
      </c>
      <c r="AG69" s="318">
        <v>24</v>
      </c>
      <c r="AH69" s="318">
        <v>38</v>
      </c>
      <c r="AI69" s="318">
        <v>62</v>
      </c>
      <c r="AJ69" s="318">
        <v>37</v>
      </c>
      <c r="AK69" s="318">
        <v>33</v>
      </c>
      <c r="AL69" s="318">
        <v>70</v>
      </c>
      <c r="AM69" s="318">
        <v>17560</v>
      </c>
      <c r="AN69" s="318">
        <v>17201</v>
      </c>
      <c r="AO69" s="411">
        <v>34761</v>
      </c>
    </row>
    <row r="70" spans="1:41" x14ac:dyDescent="0.35">
      <c r="A70" s="322" t="s">
        <v>316</v>
      </c>
      <c r="B70" s="323" t="s">
        <v>148</v>
      </c>
      <c r="C70" s="324">
        <v>3171</v>
      </c>
      <c r="D70" s="324">
        <v>3405</v>
      </c>
      <c r="E70" s="324">
        <v>6576</v>
      </c>
      <c r="F70" s="324">
        <v>3638</v>
      </c>
      <c r="G70" s="324">
        <v>4222</v>
      </c>
      <c r="H70" s="324">
        <v>7860</v>
      </c>
      <c r="I70" s="324">
        <v>1357</v>
      </c>
      <c r="J70" s="324">
        <v>1335</v>
      </c>
      <c r="K70" s="324">
        <v>2692</v>
      </c>
      <c r="L70" s="324">
        <v>7314</v>
      </c>
      <c r="M70" s="324">
        <v>7226</v>
      </c>
      <c r="N70" s="324">
        <v>14540</v>
      </c>
      <c r="O70" s="324">
        <v>284</v>
      </c>
      <c r="P70" s="324">
        <v>317</v>
      </c>
      <c r="Q70" s="324">
        <v>601</v>
      </c>
      <c r="R70" s="324">
        <v>12</v>
      </c>
      <c r="S70" s="324">
        <v>11</v>
      </c>
      <c r="T70" s="324">
        <v>23</v>
      </c>
      <c r="U70" s="324">
        <v>159</v>
      </c>
      <c r="V70" s="324">
        <v>230</v>
      </c>
      <c r="W70" s="324">
        <v>389</v>
      </c>
      <c r="X70" s="324">
        <v>15</v>
      </c>
      <c r="Y70" s="324">
        <v>15</v>
      </c>
      <c r="Z70" s="324">
        <v>30</v>
      </c>
      <c r="AA70" s="324">
        <v>59</v>
      </c>
      <c r="AB70" s="324">
        <v>85</v>
      </c>
      <c r="AC70" s="324">
        <v>144</v>
      </c>
      <c r="AD70" s="324">
        <v>33</v>
      </c>
      <c r="AE70" s="324">
        <v>40</v>
      </c>
      <c r="AF70" s="324">
        <v>73</v>
      </c>
      <c r="AG70" s="324">
        <v>188</v>
      </c>
      <c r="AH70" s="324">
        <v>201</v>
      </c>
      <c r="AI70" s="324">
        <v>389</v>
      </c>
      <c r="AJ70" s="324">
        <v>170</v>
      </c>
      <c r="AK70" s="324">
        <v>190</v>
      </c>
      <c r="AL70" s="324">
        <v>360</v>
      </c>
      <c r="AM70" s="324">
        <v>50359</v>
      </c>
      <c r="AN70" s="324">
        <v>49928</v>
      </c>
      <c r="AO70" s="412">
        <v>100287</v>
      </c>
    </row>
    <row r="71" spans="1:41" x14ac:dyDescent="0.35">
      <c r="A71" s="328" t="s">
        <v>317</v>
      </c>
      <c r="B71" s="329" t="s">
        <v>144</v>
      </c>
      <c r="C71" s="330">
        <v>1347</v>
      </c>
      <c r="D71" s="330">
        <v>1437</v>
      </c>
      <c r="E71" s="330">
        <v>2784</v>
      </c>
      <c r="F71" s="330">
        <v>1524</v>
      </c>
      <c r="G71" s="330">
        <v>1855</v>
      </c>
      <c r="H71" s="330">
        <v>3379</v>
      </c>
      <c r="I71" s="330">
        <v>564</v>
      </c>
      <c r="J71" s="330">
        <v>565</v>
      </c>
      <c r="K71" s="330">
        <v>1129</v>
      </c>
      <c r="L71" s="330">
        <v>3028</v>
      </c>
      <c r="M71" s="330">
        <v>3064</v>
      </c>
      <c r="N71" s="330">
        <v>6092</v>
      </c>
      <c r="O71" s="330">
        <v>142</v>
      </c>
      <c r="P71" s="330">
        <v>141</v>
      </c>
      <c r="Q71" s="330">
        <v>283</v>
      </c>
      <c r="R71" s="330">
        <v>1</v>
      </c>
      <c r="S71" s="330">
        <v>9</v>
      </c>
      <c r="T71" s="330">
        <v>10</v>
      </c>
      <c r="U71" s="330">
        <v>60</v>
      </c>
      <c r="V71" s="330">
        <v>88</v>
      </c>
      <c r="W71" s="330">
        <v>148</v>
      </c>
      <c r="X71" s="330">
        <v>7</v>
      </c>
      <c r="Y71" s="330">
        <v>6</v>
      </c>
      <c r="Z71" s="330">
        <v>13</v>
      </c>
      <c r="AA71" s="330">
        <v>19</v>
      </c>
      <c r="AB71" s="330">
        <v>36</v>
      </c>
      <c r="AC71" s="330">
        <v>55</v>
      </c>
      <c r="AD71" s="330">
        <v>15</v>
      </c>
      <c r="AE71" s="330">
        <v>25</v>
      </c>
      <c r="AF71" s="330">
        <v>40</v>
      </c>
      <c r="AG71" s="330">
        <v>65</v>
      </c>
      <c r="AH71" s="330">
        <v>78</v>
      </c>
      <c r="AI71" s="330">
        <v>143</v>
      </c>
      <c r="AJ71" s="330">
        <v>68</v>
      </c>
      <c r="AK71" s="330">
        <v>92</v>
      </c>
      <c r="AL71" s="330">
        <v>160</v>
      </c>
      <c r="AM71" s="330">
        <v>22439</v>
      </c>
      <c r="AN71" s="330">
        <v>22224</v>
      </c>
      <c r="AO71" s="413">
        <v>44663</v>
      </c>
    </row>
    <row r="72" spans="1:41" x14ac:dyDescent="0.35">
      <c r="A72" s="328" t="s">
        <v>318</v>
      </c>
      <c r="B72" s="329" t="s">
        <v>146</v>
      </c>
      <c r="C72" s="330">
        <v>477</v>
      </c>
      <c r="D72" s="330">
        <v>549</v>
      </c>
      <c r="E72" s="330">
        <v>1026</v>
      </c>
      <c r="F72" s="330">
        <v>573</v>
      </c>
      <c r="G72" s="330">
        <v>619</v>
      </c>
      <c r="H72" s="330">
        <v>1192</v>
      </c>
      <c r="I72" s="330">
        <v>211</v>
      </c>
      <c r="J72" s="330">
        <v>216</v>
      </c>
      <c r="K72" s="330">
        <v>427</v>
      </c>
      <c r="L72" s="330">
        <v>1066</v>
      </c>
      <c r="M72" s="330">
        <v>1114</v>
      </c>
      <c r="N72" s="330">
        <v>2180</v>
      </c>
      <c r="O72" s="330">
        <v>59</v>
      </c>
      <c r="P72" s="330">
        <v>72</v>
      </c>
      <c r="Q72" s="330">
        <v>131</v>
      </c>
      <c r="R72" s="330">
        <v>6</v>
      </c>
      <c r="S72" s="330">
        <v>0</v>
      </c>
      <c r="T72" s="330">
        <v>6</v>
      </c>
      <c r="U72" s="330">
        <v>30</v>
      </c>
      <c r="V72" s="330">
        <v>29</v>
      </c>
      <c r="W72" s="330">
        <v>59</v>
      </c>
      <c r="X72" s="330">
        <v>0</v>
      </c>
      <c r="Y72" s="330">
        <v>2</v>
      </c>
      <c r="Z72" s="330">
        <v>2</v>
      </c>
      <c r="AA72" s="330">
        <v>8</v>
      </c>
      <c r="AB72" s="330">
        <v>12</v>
      </c>
      <c r="AC72" s="330">
        <v>20</v>
      </c>
      <c r="AD72" s="330">
        <v>3</v>
      </c>
      <c r="AE72" s="330">
        <v>4</v>
      </c>
      <c r="AF72" s="330">
        <v>7</v>
      </c>
      <c r="AG72" s="330">
        <v>31</v>
      </c>
      <c r="AH72" s="330">
        <v>30</v>
      </c>
      <c r="AI72" s="330">
        <v>61</v>
      </c>
      <c r="AJ72" s="330">
        <v>31</v>
      </c>
      <c r="AK72" s="330">
        <v>30</v>
      </c>
      <c r="AL72" s="330">
        <v>61</v>
      </c>
      <c r="AM72" s="330">
        <v>9312</v>
      </c>
      <c r="AN72" s="330">
        <v>9320</v>
      </c>
      <c r="AO72" s="413">
        <v>18632</v>
      </c>
    </row>
    <row r="73" spans="1:41" x14ac:dyDescent="0.35">
      <c r="A73" s="328" t="s">
        <v>319</v>
      </c>
      <c r="B73" s="329" t="s">
        <v>149</v>
      </c>
      <c r="C73" s="330">
        <v>704</v>
      </c>
      <c r="D73" s="330">
        <v>817</v>
      </c>
      <c r="E73" s="330">
        <v>1521</v>
      </c>
      <c r="F73" s="330">
        <v>878</v>
      </c>
      <c r="G73" s="330">
        <v>957</v>
      </c>
      <c r="H73" s="330">
        <v>1835</v>
      </c>
      <c r="I73" s="330">
        <v>308</v>
      </c>
      <c r="J73" s="330">
        <v>285</v>
      </c>
      <c r="K73" s="330">
        <v>593</v>
      </c>
      <c r="L73" s="330">
        <v>1728</v>
      </c>
      <c r="M73" s="330">
        <v>1651</v>
      </c>
      <c r="N73" s="330">
        <v>3379</v>
      </c>
      <c r="O73" s="330">
        <v>43</v>
      </c>
      <c r="P73" s="330">
        <v>47</v>
      </c>
      <c r="Q73" s="330">
        <v>90</v>
      </c>
      <c r="R73" s="330">
        <v>1</v>
      </c>
      <c r="S73" s="330">
        <v>1</v>
      </c>
      <c r="T73" s="330">
        <v>2</v>
      </c>
      <c r="U73" s="330">
        <v>44</v>
      </c>
      <c r="V73" s="330">
        <v>78</v>
      </c>
      <c r="W73" s="330">
        <v>122</v>
      </c>
      <c r="X73" s="330">
        <v>5</v>
      </c>
      <c r="Y73" s="330">
        <v>5</v>
      </c>
      <c r="Z73" s="330">
        <v>10</v>
      </c>
      <c r="AA73" s="330">
        <v>16</v>
      </c>
      <c r="AB73" s="330">
        <v>20</v>
      </c>
      <c r="AC73" s="330">
        <v>36</v>
      </c>
      <c r="AD73" s="330">
        <v>9</v>
      </c>
      <c r="AE73" s="330">
        <v>5</v>
      </c>
      <c r="AF73" s="330">
        <v>14</v>
      </c>
      <c r="AG73" s="330">
        <v>56</v>
      </c>
      <c r="AH73" s="330">
        <v>44</v>
      </c>
      <c r="AI73" s="330">
        <v>100</v>
      </c>
      <c r="AJ73" s="330">
        <v>32</v>
      </c>
      <c r="AK73" s="330">
        <v>27</v>
      </c>
      <c r="AL73" s="330">
        <v>59</v>
      </c>
      <c r="AM73" s="330">
        <v>7493</v>
      </c>
      <c r="AN73" s="330">
        <v>7322</v>
      </c>
      <c r="AO73" s="413">
        <v>14815</v>
      </c>
    </row>
    <row r="74" spans="1:41" ht="15" thickBot="1" x14ac:dyDescent="0.4">
      <c r="A74" s="342" t="s">
        <v>320</v>
      </c>
      <c r="B74" s="343" t="s">
        <v>151</v>
      </c>
      <c r="C74" s="344">
        <v>643</v>
      </c>
      <c r="D74" s="344">
        <v>602</v>
      </c>
      <c r="E74" s="344">
        <v>1245</v>
      </c>
      <c r="F74" s="344">
        <v>663</v>
      </c>
      <c r="G74" s="344">
        <v>791</v>
      </c>
      <c r="H74" s="344">
        <v>1454</v>
      </c>
      <c r="I74" s="344">
        <v>274</v>
      </c>
      <c r="J74" s="344">
        <v>269</v>
      </c>
      <c r="K74" s="344">
        <v>543</v>
      </c>
      <c r="L74" s="344">
        <v>1492</v>
      </c>
      <c r="M74" s="344">
        <v>1397</v>
      </c>
      <c r="N74" s="344">
        <v>2889</v>
      </c>
      <c r="O74" s="344">
        <v>40</v>
      </c>
      <c r="P74" s="344">
        <v>57</v>
      </c>
      <c r="Q74" s="344">
        <v>97</v>
      </c>
      <c r="R74" s="344">
        <v>4</v>
      </c>
      <c r="S74" s="344">
        <v>1</v>
      </c>
      <c r="T74" s="344">
        <v>5</v>
      </c>
      <c r="U74" s="344">
        <v>25</v>
      </c>
      <c r="V74" s="344">
        <v>35</v>
      </c>
      <c r="W74" s="344">
        <v>60</v>
      </c>
      <c r="X74" s="344">
        <v>3</v>
      </c>
      <c r="Y74" s="344">
        <v>2</v>
      </c>
      <c r="Z74" s="344">
        <v>5</v>
      </c>
      <c r="AA74" s="344">
        <v>16</v>
      </c>
      <c r="AB74" s="344">
        <v>17</v>
      </c>
      <c r="AC74" s="344">
        <v>33</v>
      </c>
      <c r="AD74" s="344">
        <v>6</v>
      </c>
      <c r="AE74" s="344">
        <v>6</v>
      </c>
      <c r="AF74" s="344">
        <v>12</v>
      </c>
      <c r="AG74" s="344">
        <v>36</v>
      </c>
      <c r="AH74" s="344">
        <v>49</v>
      </c>
      <c r="AI74" s="344">
        <v>85</v>
      </c>
      <c r="AJ74" s="344">
        <v>39</v>
      </c>
      <c r="AK74" s="344">
        <v>41</v>
      </c>
      <c r="AL74" s="344">
        <v>80</v>
      </c>
      <c r="AM74" s="344">
        <v>11115</v>
      </c>
      <c r="AN74" s="344">
        <v>11062</v>
      </c>
      <c r="AO74" s="415">
        <v>22177</v>
      </c>
    </row>
  </sheetData>
  <mergeCells count="13">
    <mergeCell ref="AM5:AO5"/>
    <mergeCell ref="U5:W5"/>
    <mergeCell ref="X5:Z5"/>
    <mergeCell ref="AA5:AC5"/>
    <mergeCell ref="AD5:AF5"/>
    <mergeCell ref="AG5:AI5"/>
    <mergeCell ref="AJ5:AL5"/>
    <mergeCell ref="R5:T5"/>
    <mergeCell ref="C5:E5"/>
    <mergeCell ref="F5:H5"/>
    <mergeCell ref="I5:K5"/>
    <mergeCell ref="L5:N5"/>
    <mergeCell ref="O5:Q5"/>
  </mergeCells>
  <pageMargins left="0.78740157480314965" right="0.70866141732283472" top="0.39370078740157483" bottom="0.39370078740157483" header="0.31496062992125984" footer="0.31496062992125984"/>
  <pageSetup paperSize="9" scale="43" orientation="landscape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AC2C6-0B3C-42CA-8345-A223C5E73054}">
  <sheetPr>
    <tabColor rgb="FF00B050"/>
  </sheetPr>
  <dimension ref="A1:N72"/>
  <sheetViews>
    <sheetView view="pageBreakPreview" zoomScale="70" zoomScaleNormal="100" zoomScaleSheetLayoutView="70" workbookViewId="0">
      <selection activeCell="H74" sqref="H74"/>
    </sheetView>
  </sheetViews>
  <sheetFormatPr defaultColWidth="8.7265625" defaultRowHeight="14.5" x14ac:dyDescent="0.35"/>
  <cols>
    <col min="1" max="1" width="9.81640625" style="294" bestFit="1" customWidth="1"/>
    <col min="2" max="2" width="20.453125" style="294" bestFit="1" customWidth="1"/>
    <col min="3" max="14" width="15.7265625" style="294" customWidth="1"/>
    <col min="15" max="16384" width="8.7265625" style="294"/>
  </cols>
  <sheetData>
    <row r="1" spans="1:14" s="289" customFormat="1" ht="18" x14ac:dyDescent="0.4">
      <c r="A1" s="659" t="s">
        <v>384</v>
      </c>
      <c r="B1" s="659"/>
      <c r="C1" s="659"/>
      <c r="D1" s="659"/>
      <c r="E1" s="659"/>
      <c r="F1" s="659"/>
      <c r="G1" s="659"/>
      <c r="H1" s="659"/>
      <c r="I1" s="659"/>
      <c r="J1" s="659"/>
      <c r="K1" s="659"/>
      <c r="L1" s="659"/>
      <c r="M1" s="659"/>
      <c r="N1" s="659"/>
    </row>
    <row r="2" spans="1:14" s="289" customFormat="1" thickBot="1" x14ac:dyDescent="0.35">
      <c r="L2" s="416"/>
      <c r="M2" s="417"/>
      <c r="N2" s="416"/>
    </row>
    <row r="3" spans="1:14" ht="32.25" customHeight="1" thickBot="1" x14ac:dyDescent="0.4">
      <c r="A3" s="418" t="s">
        <v>14</v>
      </c>
      <c r="B3" s="419" t="s">
        <v>15</v>
      </c>
      <c r="C3" s="418" t="s">
        <v>385</v>
      </c>
      <c r="D3" s="420" t="s">
        <v>386</v>
      </c>
      <c r="E3" s="421" t="s">
        <v>387</v>
      </c>
      <c r="F3" s="422" t="s">
        <v>388</v>
      </c>
      <c r="G3" s="420" t="s">
        <v>389</v>
      </c>
      <c r="H3" s="421" t="s">
        <v>390</v>
      </c>
      <c r="I3" s="422" t="s">
        <v>391</v>
      </c>
      <c r="J3" s="420" t="s">
        <v>392</v>
      </c>
      <c r="K3" s="421" t="s">
        <v>393</v>
      </c>
      <c r="L3" s="422" t="s">
        <v>394</v>
      </c>
      <c r="M3" s="420" t="s">
        <v>395</v>
      </c>
      <c r="N3" s="421" t="s">
        <v>396</v>
      </c>
    </row>
    <row r="4" spans="1:14" ht="15" thickBot="1" x14ac:dyDescent="0.4">
      <c r="A4" s="423" t="s">
        <v>251</v>
      </c>
      <c r="B4" s="424" t="s">
        <v>22</v>
      </c>
      <c r="C4" s="425">
        <v>668490</v>
      </c>
      <c r="D4" s="425">
        <v>578079</v>
      </c>
      <c r="E4" s="426">
        <f>SUM(C4:D4)</f>
        <v>1246569</v>
      </c>
      <c r="F4" s="425">
        <v>600434</v>
      </c>
      <c r="G4" s="425">
        <v>614890</v>
      </c>
      <c r="H4" s="426">
        <f>SUM(F4:G4)</f>
        <v>1215324</v>
      </c>
      <c r="I4" s="425">
        <v>14170</v>
      </c>
      <c r="J4" s="425">
        <v>27283</v>
      </c>
      <c r="K4" s="426">
        <f>SUM(I4:J4)</f>
        <v>41453</v>
      </c>
      <c r="L4" s="425">
        <v>17728</v>
      </c>
      <c r="M4" s="425">
        <v>86174</v>
      </c>
      <c r="N4" s="427">
        <f>SUM(L4:M4)</f>
        <v>103902</v>
      </c>
    </row>
    <row r="5" spans="1:14" x14ac:dyDescent="0.35">
      <c r="A5" s="370" t="s">
        <v>253</v>
      </c>
      <c r="B5" s="428" t="s">
        <v>20</v>
      </c>
      <c r="C5" s="372">
        <v>70784</v>
      </c>
      <c r="D5" s="372">
        <v>61330</v>
      </c>
      <c r="E5" s="429">
        <f t="shared" ref="E5:E68" si="0">SUM(C5:D5)</f>
        <v>132114</v>
      </c>
      <c r="F5" s="372">
        <v>62423</v>
      </c>
      <c r="G5" s="372">
        <v>63895</v>
      </c>
      <c r="H5" s="429">
        <f t="shared" ref="H5:H68" si="1">SUM(F5:G5)</f>
        <v>126318</v>
      </c>
      <c r="I5" s="372">
        <v>1741</v>
      </c>
      <c r="J5" s="372">
        <v>3202</v>
      </c>
      <c r="K5" s="429">
        <f t="shared" ref="K5:K68" si="2">SUM(I5:J5)</f>
        <v>4943</v>
      </c>
      <c r="L5" s="372">
        <v>2322</v>
      </c>
      <c r="M5" s="372">
        <v>10614</v>
      </c>
      <c r="N5" s="430">
        <f t="shared" ref="N5:N68" si="3">SUM(L5:M5)</f>
        <v>12936</v>
      </c>
    </row>
    <row r="6" spans="1:14" x14ac:dyDescent="0.35">
      <c r="A6" s="374" t="s">
        <v>254</v>
      </c>
      <c r="B6" s="431" t="s">
        <v>19</v>
      </c>
      <c r="C6" s="376">
        <v>17117</v>
      </c>
      <c r="D6" s="376">
        <v>14817</v>
      </c>
      <c r="E6" s="432">
        <f t="shared" si="0"/>
        <v>31934</v>
      </c>
      <c r="F6" s="376">
        <v>14891</v>
      </c>
      <c r="G6" s="376">
        <v>15246</v>
      </c>
      <c r="H6" s="432">
        <f t="shared" si="1"/>
        <v>30137</v>
      </c>
      <c r="I6" s="376">
        <v>442</v>
      </c>
      <c r="J6" s="376">
        <v>813</v>
      </c>
      <c r="K6" s="432">
        <f t="shared" si="2"/>
        <v>1255</v>
      </c>
      <c r="L6" s="376">
        <v>513</v>
      </c>
      <c r="M6" s="376">
        <v>2544</v>
      </c>
      <c r="N6" s="433">
        <f t="shared" si="3"/>
        <v>3057</v>
      </c>
    </row>
    <row r="7" spans="1:14" x14ac:dyDescent="0.35">
      <c r="A7" s="374" t="s">
        <v>255</v>
      </c>
      <c r="B7" s="431" t="s">
        <v>23</v>
      </c>
      <c r="C7" s="376">
        <v>17403</v>
      </c>
      <c r="D7" s="376">
        <v>14887</v>
      </c>
      <c r="E7" s="432">
        <f t="shared" si="0"/>
        <v>32290</v>
      </c>
      <c r="F7" s="376">
        <v>15055</v>
      </c>
      <c r="G7" s="376">
        <v>15343</v>
      </c>
      <c r="H7" s="432">
        <f t="shared" si="1"/>
        <v>30398</v>
      </c>
      <c r="I7" s="376">
        <v>438</v>
      </c>
      <c r="J7" s="376">
        <v>798</v>
      </c>
      <c r="K7" s="432">
        <f t="shared" si="2"/>
        <v>1236</v>
      </c>
      <c r="L7" s="376">
        <v>524</v>
      </c>
      <c r="M7" s="376">
        <v>2311</v>
      </c>
      <c r="N7" s="433">
        <f t="shared" si="3"/>
        <v>2835</v>
      </c>
    </row>
    <row r="8" spans="1:14" x14ac:dyDescent="0.35">
      <c r="A8" s="374" t="s">
        <v>256</v>
      </c>
      <c r="B8" s="431" t="s">
        <v>25</v>
      </c>
      <c r="C8" s="376">
        <v>19368</v>
      </c>
      <c r="D8" s="376">
        <v>16935</v>
      </c>
      <c r="E8" s="432">
        <f t="shared" si="0"/>
        <v>36303</v>
      </c>
      <c r="F8" s="376">
        <v>17454</v>
      </c>
      <c r="G8" s="376">
        <v>17903</v>
      </c>
      <c r="H8" s="432">
        <f t="shared" si="1"/>
        <v>35357</v>
      </c>
      <c r="I8" s="376">
        <v>456</v>
      </c>
      <c r="J8" s="376">
        <v>848</v>
      </c>
      <c r="K8" s="432">
        <f t="shared" si="2"/>
        <v>1304</v>
      </c>
      <c r="L8" s="376">
        <v>644</v>
      </c>
      <c r="M8" s="376">
        <v>2910</v>
      </c>
      <c r="N8" s="433">
        <f t="shared" si="3"/>
        <v>3554</v>
      </c>
    </row>
    <row r="9" spans="1:14" ht="15" thickBot="1" x14ac:dyDescent="0.4">
      <c r="A9" s="378" t="s">
        <v>257</v>
      </c>
      <c r="B9" s="434" t="s">
        <v>27</v>
      </c>
      <c r="C9" s="380">
        <v>16896</v>
      </c>
      <c r="D9" s="380">
        <v>14691</v>
      </c>
      <c r="E9" s="435">
        <f t="shared" si="0"/>
        <v>31587</v>
      </c>
      <c r="F9" s="380">
        <v>15023</v>
      </c>
      <c r="G9" s="380">
        <v>15403</v>
      </c>
      <c r="H9" s="435">
        <f t="shared" si="1"/>
        <v>30426</v>
      </c>
      <c r="I9" s="380">
        <v>405</v>
      </c>
      <c r="J9" s="380">
        <v>743</v>
      </c>
      <c r="K9" s="435">
        <f t="shared" si="2"/>
        <v>1148</v>
      </c>
      <c r="L9" s="380">
        <v>641</v>
      </c>
      <c r="M9" s="380">
        <v>2849</v>
      </c>
      <c r="N9" s="436">
        <f t="shared" si="3"/>
        <v>3490</v>
      </c>
    </row>
    <row r="10" spans="1:14" x14ac:dyDescent="0.35">
      <c r="A10" s="382" t="s">
        <v>258</v>
      </c>
      <c r="B10" s="437" t="s">
        <v>34</v>
      </c>
      <c r="C10" s="384">
        <v>70073</v>
      </c>
      <c r="D10" s="384">
        <v>59666</v>
      </c>
      <c r="E10" s="438">
        <f t="shared" si="0"/>
        <v>129739</v>
      </c>
      <c r="F10" s="384">
        <v>61859</v>
      </c>
      <c r="G10" s="384">
        <v>63300</v>
      </c>
      <c r="H10" s="438">
        <f t="shared" si="1"/>
        <v>125159</v>
      </c>
      <c r="I10" s="384">
        <v>1583</v>
      </c>
      <c r="J10" s="384">
        <v>2999</v>
      </c>
      <c r="K10" s="438">
        <f t="shared" si="2"/>
        <v>4582</v>
      </c>
      <c r="L10" s="384">
        <v>2314</v>
      </c>
      <c r="M10" s="384">
        <v>10462</v>
      </c>
      <c r="N10" s="439">
        <f t="shared" si="3"/>
        <v>12776</v>
      </c>
    </row>
    <row r="11" spans="1:14" x14ac:dyDescent="0.35">
      <c r="A11" s="386" t="s">
        <v>259</v>
      </c>
      <c r="B11" s="440" t="s">
        <v>30</v>
      </c>
      <c r="C11" s="388">
        <v>17076</v>
      </c>
      <c r="D11" s="388">
        <v>14269</v>
      </c>
      <c r="E11" s="441">
        <f t="shared" si="0"/>
        <v>31345</v>
      </c>
      <c r="F11" s="388">
        <v>14856</v>
      </c>
      <c r="G11" s="388">
        <v>15243</v>
      </c>
      <c r="H11" s="441">
        <f t="shared" si="1"/>
        <v>30099</v>
      </c>
      <c r="I11" s="388">
        <v>368</v>
      </c>
      <c r="J11" s="388">
        <v>734</v>
      </c>
      <c r="K11" s="441">
        <f t="shared" si="2"/>
        <v>1102</v>
      </c>
      <c r="L11" s="388">
        <v>530</v>
      </c>
      <c r="M11" s="388">
        <v>2440</v>
      </c>
      <c r="N11" s="442">
        <f t="shared" si="3"/>
        <v>2970</v>
      </c>
    </row>
    <row r="12" spans="1:14" x14ac:dyDescent="0.35">
      <c r="A12" s="386" t="s">
        <v>260</v>
      </c>
      <c r="B12" s="440" t="s">
        <v>33</v>
      </c>
      <c r="C12" s="388">
        <v>12917</v>
      </c>
      <c r="D12" s="388">
        <v>11070</v>
      </c>
      <c r="E12" s="441">
        <f t="shared" si="0"/>
        <v>23987</v>
      </c>
      <c r="F12" s="388">
        <v>11292</v>
      </c>
      <c r="G12" s="388">
        <v>11487</v>
      </c>
      <c r="H12" s="441">
        <f t="shared" si="1"/>
        <v>22779</v>
      </c>
      <c r="I12" s="388">
        <v>284</v>
      </c>
      <c r="J12" s="388">
        <v>538</v>
      </c>
      <c r="K12" s="441">
        <f t="shared" si="2"/>
        <v>822</v>
      </c>
      <c r="L12" s="388">
        <v>417</v>
      </c>
      <c r="M12" s="388">
        <v>1914</v>
      </c>
      <c r="N12" s="442">
        <f t="shared" si="3"/>
        <v>2331</v>
      </c>
    </row>
    <row r="13" spans="1:14" x14ac:dyDescent="0.35">
      <c r="A13" s="386" t="s">
        <v>261</v>
      </c>
      <c r="B13" s="440" t="s">
        <v>36</v>
      </c>
      <c r="C13" s="388">
        <v>11471</v>
      </c>
      <c r="D13" s="388">
        <v>9748</v>
      </c>
      <c r="E13" s="441">
        <f t="shared" si="0"/>
        <v>21219</v>
      </c>
      <c r="F13" s="388">
        <v>10602</v>
      </c>
      <c r="G13" s="388">
        <v>10837</v>
      </c>
      <c r="H13" s="441">
        <f t="shared" si="1"/>
        <v>21439</v>
      </c>
      <c r="I13" s="388">
        <v>268</v>
      </c>
      <c r="J13" s="388">
        <v>449</v>
      </c>
      <c r="K13" s="441">
        <f t="shared" si="2"/>
        <v>717</v>
      </c>
      <c r="L13" s="388">
        <v>394</v>
      </c>
      <c r="M13" s="388">
        <v>1753</v>
      </c>
      <c r="N13" s="442">
        <f t="shared" si="3"/>
        <v>2147</v>
      </c>
    </row>
    <row r="14" spans="1:14" x14ac:dyDescent="0.35">
      <c r="A14" s="386" t="s">
        <v>262</v>
      </c>
      <c r="B14" s="440" t="s">
        <v>38</v>
      </c>
      <c r="C14" s="388">
        <v>9121</v>
      </c>
      <c r="D14" s="388">
        <v>7815</v>
      </c>
      <c r="E14" s="441">
        <f t="shared" si="0"/>
        <v>16936</v>
      </c>
      <c r="F14" s="388">
        <v>8055</v>
      </c>
      <c r="G14" s="388">
        <v>8371</v>
      </c>
      <c r="H14" s="441">
        <f t="shared" si="1"/>
        <v>16426</v>
      </c>
      <c r="I14" s="388">
        <v>192</v>
      </c>
      <c r="J14" s="388">
        <v>390</v>
      </c>
      <c r="K14" s="441">
        <f t="shared" si="2"/>
        <v>582</v>
      </c>
      <c r="L14" s="388">
        <v>351</v>
      </c>
      <c r="M14" s="388">
        <v>1371</v>
      </c>
      <c r="N14" s="442">
        <f t="shared" si="3"/>
        <v>1722</v>
      </c>
    </row>
    <row r="15" spans="1:14" ht="15" thickBot="1" x14ac:dyDescent="0.4">
      <c r="A15" s="390" t="s">
        <v>263</v>
      </c>
      <c r="B15" s="443" t="s">
        <v>40</v>
      </c>
      <c r="C15" s="392">
        <v>19488</v>
      </c>
      <c r="D15" s="392">
        <v>16764</v>
      </c>
      <c r="E15" s="444">
        <f t="shared" si="0"/>
        <v>36252</v>
      </c>
      <c r="F15" s="392">
        <v>17054</v>
      </c>
      <c r="G15" s="392">
        <v>17362</v>
      </c>
      <c r="H15" s="444">
        <f t="shared" si="1"/>
        <v>34416</v>
      </c>
      <c r="I15" s="392">
        <v>471</v>
      </c>
      <c r="J15" s="392">
        <v>888</v>
      </c>
      <c r="K15" s="444">
        <f t="shared" si="2"/>
        <v>1359</v>
      </c>
      <c r="L15" s="392">
        <v>622</v>
      </c>
      <c r="M15" s="392">
        <v>2984</v>
      </c>
      <c r="N15" s="445">
        <f t="shared" si="3"/>
        <v>3606</v>
      </c>
    </row>
    <row r="16" spans="1:14" x14ac:dyDescent="0.35">
      <c r="A16" s="370" t="s">
        <v>264</v>
      </c>
      <c r="B16" s="428" t="s">
        <v>47</v>
      </c>
      <c r="C16" s="372">
        <v>89976</v>
      </c>
      <c r="D16" s="372">
        <v>77219</v>
      </c>
      <c r="E16" s="429">
        <f t="shared" si="0"/>
        <v>167195</v>
      </c>
      <c r="F16" s="372">
        <v>80417</v>
      </c>
      <c r="G16" s="372">
        <v>81984</v>
      </c>
      <c r="H16" s="429">
        <f t="shared" si="1"/>
        <v>162401</v>
      </c>
      <c r="I16" s="372">
        <v>1790</v>
      </c>
      <c r="J16" s="372">
        <v>3303</v>
      </c>
      <c r="K16" s="429">
        <f t="shared" si="2"/>
        <v>5093</v>
      </c>
      <c r="L16" s="372">
        <v>2330</v>
      </c>
      <c r="M16" s="372">
        <v>11603</v>
      </c>
      <c r="N16" s="430">
        <f t="shared" si="3"/>
        <v>13933</v>
      </c>
    </row>
    <row r="17" spans="1:14" x14ac:dyDescent="0.35">
      <c r="A17" s="374" t="s">
        <v>265</v>
      </c>
      <c r="B17" s="431" t="s">
        <v>43</v>
      </c>
      <c r="C17" s="376">
        <v>25126</v>
      </c>
      <c r="D17" s="376">
        <v>21397</v>
      </c>
      <c r="E17" s="432">
        <f t="shared" si="0"/>
        <v>46523</v>
      </c>
      <c r="F17" s="376">
        <v>22684</v>
      </c>
      <c r="G17" s="376">
        <v>23127</v>
      </c>
      <c r="H17" s="432">
        <f t="shared" si="1"/>
        <v>45811</v>
      </c>
      <c r="I17" s="376">
        <v>459</v>
      </c>
      <c r="J17" s="376">
        <v>861</v>
      </c>
      <c r="K17" s="432">
        <f t="shared" si="2"/>
        <v>1320</v>
      </c>
      <c r="L17" s="376">
        <v>726</v>
      </c>
      <c r="M17" s="376">
        <v>3164</v>
      </c>
      <c r="N17" s="433">
        <f t="shared" si="3"/>
        <v>3890</v>
      </c>
    </row>
    <row r="18" spans="1:14" x14ac:dyDescent="0.35">
      <c r="A18" s="374" t="s">
        <v>266</v>
      </c>
      <c r="B18" s="431" t="s">
        <v>45</v>
      </c>
      <c r="C18" s="376">
        <v>10559</v>
      </c>
      <c r="D18" s="376">
        <v>9190</v>
      </c>
      <c r="E18" s="432">
        <f t="shared" si="0"/>
        <v>19749</v>
      </c>
      <c r="F18" s="376">
        <v>9447</v>
      </c>
      <c r="G18" s="376">
        <v>9640</v>
      </c>
      <c r="H18" s="432">
        <f t="shared" si="1"/>
        <v>19087</v>
      </c>
      <c r="I18" s="376">
        <v>189</v>
      </c>
      <c r="J18" s="376">
        <v>363</v>
      </c>
      <c r="K18" s="432">
        <f t="shared" si="2"/>
        <v>552</v>
      </c>
      <c r="L18" s="376">
        <v>239</v>
      </c>
      <c r="M18" s="376">
        <v>1181</v>
      </c>
      <c r="N18" s="433">
        <f t="shared" si="3"/>
        <v>1420</v>
      </c>
    </row>
    <row r="19" spans="1:14" x14ac:dyDescent="0.35">
      <c r="A19" s="374" t="s">
        <v>267</v>
      </c>
      <c r="B19" s="431" t="s">
        <v>48</v>
      </c>
      <c r="C19" s="376">
        <v>7611</v>
      </c>
      <c r="D19" s="376">
        <v>6518</v>
      </c>
      <c r="E19" s="432">
        <f t="shared" si="0"/>
        <v>14129</v>
      </c>
      <c r="F19" s="376">
        <v>6792</v>
      </c>
      <c r="G19" s="376">
        <v>6898</v>
      </c>
      <c r="H19" s="432">
        <f t="shared" si="1"/>
        <v>13690</v>
      </c>
      <c r="I19" s="376">
        <v>131</v>
      </c>
      <c r="J19" s="376">
        <v>281</v>
      </c>
      <c r="K19" s="432">
        <f t="shared" si="2"/>
        <v>412</v>
      </c>
      <c r="L19" s="376">
        <v>149</v>
      </c>
      <c r="M19" s="376">
        <v>711</v>
      </c>
      <c r="N19" s="433">
        <f t="shared" si="3"/>
        <v>860</v>
      </c>
    </row>
    <row r="20" spans="1:14" x14ac:dyDescent="0.35">
      <c r="A20" s="374" t="s">
        <v>268</v>
      </c>
      <c r="B20" s="431" t="s">
        <v>50</v>
      </c>
      <c r="C20" s="376">
        <v>18642</v>
      </c>
      <c r="D20" s="376">
        <v>15638</v>
      </c>
      <c r="E20" s="432">
        <f t="shared" si="0"/>
        <v>34280</v>
      </c>
      <c r="F20" s="376">
        <v>16510</v>
      </c>
      <c r="G20" s="376">
        <v>16818</v>
      </c>
      <c r="H20" s="432">
        <f t="shared" si="1"/>
        <v>33328</v>
      </c>
      <c r="I20" s="376">
        <v>388</v>
      </c>
      <c r="J20" s="376">
        <v>663</v>
      </c>
      <c r="K20" s="432">
        <f t="shared" si="2"/>
        <v>1051</v>
      </c>
      <c r="L20" s="376">
        <v>509</v>
      </c>
      <c r="M20" s="376">
        <v>2667</v>
      </c>
      <c r="N20" s="433">
        <f t="shared" si="3"/>
        <v>3176</v>
      </c>
    </row>
    <row r="21" spans="1:14" x14ac:dyDescent="0.35">
      <c r="A21" s="374" t="s">
        <v>269</v>
      </c>
      <c r="B21" s="431" t="s">
        <v>52</v>
      </c>
      <c r="C21" s="376">
        <v>6523</v>
      </c>
      <c r="D21" s="376">
        <v>5466</v>
      </c>
      <c r="E21" s="432">
        <f t="shared" si="0"/>
        <v>11989</v>
      </c>
      <c r="F21" s="376">
        <v>5773</v>
      </c>
      <c r="G21" s="376">
        <v>5879</v>
      </c>
      <c r="H21" s="432">
        <f t="shared" si="1"/>
        <v>11652</v>
      </c>
      <c r="I21" s="376">
        <v>136</v>
      </c>
      <c r="J21" s="376">
        <v>239</v>
      </c>
      <c r="K21" s="432">
        <f t="shared" si="2"/>
        <v>375</v>
      </c>
      <c r="L21" s="376">
        <v>164</v>
      </c>
      <c r="M21" s="376">
        <v>863</v>
      </c>
      <c r="N21" s="433">
        <f t="shared" si="3"/>
        <v>1027</v>
      </c>
    </row>
    <row r="22" spans="1:14" ht="15" thickBot="1" x14ac:dyDescent="0.4">
      <c r="A22" s="378" t="s">
        <v>270</v>
      </c>
      <c r="B22" s="434" t="s">
        <v>54</v>
      </c>
      <c r="C22" s="380">
        <v>21515</v>
      </c>
      <c r="D22" s="380">
        <v>19010</v>
      </c>
      <c r="E22" s="435">
        <f t="shared" si="0"/>
        <v>40525</v>
      </c>
      <c r="F22" s="380">
        <v>19211</v>
      </c>
      <c r="G22" s="380">
        <v>19622</v>
      </c>
      <c r="H22" s="435">
        <f t="shared" si="1"/>
        <v>38833</v>
      </c>
      <c r="I22" s="380">
        <v>487</v>
      </c>
      <c r="J22" s="380">
        <v>896</v>
      </c>
      <c r="K22" s="435">
        <f t="shared" si="2"/>
        <v>1383</v>
      </c>
      <c r="L22" s="380">
        <v>543</v>
      </c>
      <c r="M22" s="380">
        <v>3017</v>
      </c>
      <c r="N22" s="436">
        <f t="shared" si="3"/>
        <v>3560</v>
      </c>
    </row>
    <row r="23" spans="1:14" x14ac:dyDescent="0.35">
      <c r="A23" s="382" t="s">
        <v>271</v>
      </c>
      <c r="B23" s="437" t="s">
        <v>61</v>
      </c>
      <c r="C23" s="384">
        <v>55765</v>
      </c>
      <c r="D23" s="384">
        <v>49460</v>
      </c>
      <c r="E23" s="438">
        <f t="shared" si="0"/>
        <v>105225</v>
      </c>
      <c r="F23" s="384">
        <v>50334</v>
      </c>
      <c r="G23" s="384">
        <v>51964</v>
      </c>
      <c r="H23" s="438">
        <f t="shared" si="1"/>
        <v>102298</v>
      </c>
      <c r="I23" s="384">
        <v>1443</v>
      </c>
      <c r="J23" s="384">
        <v>2693</v>
      </c>
      <c r="K23" s="438">
        <f t="shared" si="2"/>
        <v>4136</v>
      </c>
      <c r="L23" s="384">
        <v>1369</v>
      </c>
      <c r="M23" s="384">
        <v>7516</v>
      </c>
      <c r="N23" s="439">
        <f t="shared" si="3"/>
        <v>8885</v>
      </c>
    </row>
    <row r="24" spans="1:14" x14ac:dyDescent="0.35">
      <c r="A24" s="386" t="s">
        <v>272</v>
      </c>
      <c r="B24" s="440" t="s">
        <v>57</v>
      </c>
      <c r="C24" s="388">
        <v>15159</v>
      </c>
      <c r="D24" s="388">
        <v>13782</v>
      </c>
      <c r="E24" s="441">
        <f t="shared" si="0"/>
        <v>28941</v>
      </c>
      <c r="F24" s="388">
        <v>14032</v>
      </c>
      <c r="G24" s="388">
        <v>14496</v>
      </c>
      <c r="H24" s="441">
        <f t="shared" si="1"/>
        <v>28528</v>
      </c>
      <c r="I24" s="388">
        <v>375</v>
      </c>
      <c r="J24" s="388">
        <v>780</v>
      </c>
      <c r="K24" s="441">
        <f t="shared" si="2"/>
        <v>1155</v>
      </c>
      <c r="L24" s="388">
        <v>386</v>
      </c>
      <c r="M24" s="388">
        <v>1922</v>
      </c>
      <c r="N24" s="442">
        <f t="shared" si="3"/>
        <v>2308</v>
      </c>
    </row>
    <row r="25" spans="1:14" x14ac:dyDescent="0.35">
      <c r="A25" s="386" t="s">
        <v>273</v>
      </c>
      <c r="B25" s="440" t="s">
        <v>59</v>
      </c>
      <c r="C25" s="388">
        <v>4615</v>
      </c>
      <c r="D25" s="388">
        <v>3980</v>
      </c>
      <c r="E25" s="441">
        <f t="shared" si="0"/>
        <v>8595</v>
      </c>
      <c r="F25" s="388">
        <v>3952</v>
      </c>
      <c r="G25" s="388">
        <v>4042</v>
      </c>
      <c r="H25" s="441">
        <f t="shared" si="1"/>
        <v>7994</v>
      </c>
      <c r="I25" s="388">
        <v>127</v>
      </c>
      <c r="J25" s="388">
        <v>249</v>
      </c>
      <c r="K25" s="441">
        <f t="shared" si="2"/>
        <v>376</v>
      </c>
      <c r="L25" s="388">
        <v>95</v>
      </c>
      <c r="M25" s="388">
        <v>594</v>
      </c>
      <c r="N25" s="442">
        <f t="shared" si="3"/>
        <v>689</v>
      </c>
    </row>
    <row r="26" spans="1:14" x14ac:dyDescent="0.35">
      <c r="A26" s="386" t="s">
        <v>274</v>
      </c>
      <c r="B26" s="440" t="s">
        <v>62</v>
      </c>
      <c r="C26" s="388">
        <v>9596</v>
      </c>
      <c r="D26" s="388">
        <v>8298</v>
      </c>
      <c r="E26" s="441">
        <f t="shared" si="0"/>
        <v>17894</v>
      </c>
      <c r="F26" s="388">
        <v>8802</v>
      </c>
      <c r="G26" s="388">
        <v>9126</v>
      </c>
      <c r="H26" s="441">
        <f t="shared" si="1"/>
        <v>17928</v>
      </c>
      <c r="I26" s="388">
        <v>225</v>
      </c>
      <c r="J26" s="388">
        <v>397</v>
      </c>
      <c r="K26" s="441">
        <f t="shared" si="2"/>
        <v>622</v>
      </c>
      <c r="L26" s="388">
        <v>228</v>
      </c>
      <c r="M26" s="388">
        <v>1248</v>
      </c>
      <c r="N26" s="442">
        <f t="shared" si="3"/>
        <v>1476</v>
      </c>
    </row>
    <row r="27" spans="1:14" x14ac:dyDescent="0.35">
      <c r="A27" s="386" t="s">
        <v>275</v>
      </c>
      <c r="B27" s="440" t="s">
        <v>64</v>
      </c>
      <c r="C27" s="388">
        <v>11190</v>
      </c>
      <c r="D27" s="388">
        <v>10108</v>
      </c>
      <c r="E27" s="441">
        <f t="shared" si="0"/>
        <v>21298</v>
      </c>
      <c r="F27" s="388">
        <v>10497</v>
      </c>
      <c r="G27" s="388">
        <v>10898</v>
      </c>
      <c r="H27" s="441">
        <f t="shared" si="1"/>
        <v>21395</v>
      </c>
      <c r="I27" s="388">
        <v>305</v>
      </c>
      <c r="J27" s="388">
        <v>563</v>
      </c>
      <c r="K27" s="441">
        <f t="shared" si="2"/>
        <v>868</v>
      </c>
      <c r="L27" s="388">
        <v>273</v>
      </c>
      <c r="M27" s="388">
        <v>1401</v>
      </c>
      <c r="N27" s="442">
        <f t="shared" si="3"/>
        <v>1674</v>
      </c>
    </row>
    <row r="28" spans="1:14" ht="15" thickBot="1" x14ac:dyDescent="0.4">
      <c r="A28" s="390" t="s">
        <v>276</v>
      </c>
      <c r="B28" s="443" t="s">
        <v>66</v>
      </c>
      <c r="C28" s="392">
        <v>15205</v>
      </c>
      <c r="D28" s="392">
        <v>13292</v>
      </c>
      <c r="E28" s="444">
        <f t="shared" si="0"/>
        <v>28497</v>
      </c>
      <c r="F28" s="392">
        <v>13051</v>
      </c>
      <c r="G28" s="392">
        <v>13402</v>
      </c>
      <c r="H28" s="444">
        <f t="shared" si="1"/>
        <v>26453</v>
      </c>
      <c r="I28" s="392">
        <v>411</v>
      </c>
      <c r="J28" s="392">
        <v>704</v>
      </c>
      <c r="K28" s="444">
        <f t="shared" si="2"/>
        <v>1115</v>
      </c>
      <c r="L28" s="392">
        <v>387</v>
      </c>
      <c r="M28" s="392">
        <v>2351</v>
      </c>
      <c r="N28" s="445">
        <f t="shared" si="3"/>
        <v>2738</v>
      </c>
    </row>
    <row r="29" spans="1:14" x14ac:dyDescent="0.35">
      <c r="A29" s="370" t="s">
        <v>277</v>
      </c>
      <c r="B29" s="428" t="s">
        <v>73</v>
      </c>
      <c r="C29" s="372">
        <v>58218</v>
      </c>
      <c r="D29" s="372">
        <v>51106</v>
      </c>
      <c r="E29" s="429">
        <f t="shared" si="0"/>
        <v>109324</v>
      </c>
      <c r="F29" s="372">
        <v>52955</v>
      </c>
      <c r="G29" s="372">
        <v>54182</v>
      </c>
      <c r="H29" s="429">
        <f t="shared" si="1"/>
        <v>107137</v>
      </c>
      <c r="I29" s="372">
        <v>1186</v>
      </c>
      <c r="J29" s="372">
        <v>2278</v>
      </c>
      <c r="K29" s="429">
        <f t="shared" si="2"/>
        <v>3464</v>
      </c>
      <c r="L29" s="372">
        <v>1402</v>
      </c>
      <c r="M29" s="372">
        <v>6620</v>
      </c>
      <c r="N29" s="430">
        <f t="shared" si="3"/>
        <v>8022</v>
      </c>
    </row>
    <row r="30" spans="1:14" x14ac:dyDescent="0.35">
      <c r="A30" s="374" t="s">
        <v>278</v>
      </c>
      <c r="B30" s="431" t="s">
        <v>69</v>
      </c>
      <c r="C30" s="376">
        <v>20601</v>
      </c>
      <c r="D30" s="376">
        <v>17842</v>
      </c>
      <c r="E30" s="432">
        <f t="shared" si="0"/>
        <v>38443</v>
      </c>
      <c r="F30" s="376">
        <v>18988</v>
      </c>
      <c r="G30" s="376">
        <v>19364</v>
      </c>
      <c r="H30" s="432">
        <f t="shared" si="1"/>
        <v>38352</v>
      </c>
      <c r="I30" s="376">
        <v>422</v>
      </c>
      <c r="J30" s="376">
        <v>822</v>
      </c>
      <c r="K30" s="432">
        <f t="shared" si="2"/>
        <v>1244</v>
      </c>
      <c r="L30" s="376">
        <v>533</v>
      </c>
      <c r="M30" s="376">
        <v>2370</v>
      </c>
      <c r="N30" s="433">
        <f t="shared" si="3"/>
        <v>2903</v>
      </c>
    </row>
    <row r="31" spans="1:14" x14ac:dyDescent="0.35">
      <c r="A31" s="374" t="s">
        <v>279</v>
      </c>
      <c r="B31" s="431" t="s">
        <v>71</v>
      </c>
      <c r="C31" s="376">
        <v>16090</v>
      </c>
      <c r="D31" s="376">
        <v>14228</v>
      </c>
      <c r="E31" s="432">
        <f t="shared" si="0"/>
        <v>30318</v>
      </c>
      <c r="F31" s="376">
        <v>14597</v>
      </c>
      <c r="G31" s="376">
        <v>15068</v>
      </c>
      <c r="H31" s="432">
        <f t="shared" si="1"/>
        <v>29665</v>
      </c>
      <c r="I31" s="376">
        <v>377</v>
      </c>
      <c r="J31" s="376">
        <v>683</v>
      </c>
      <c r="K31" s="432">
        <f t="shared" si="2"/>
        <v>1060</v>
      </c>
      <c r="L31" s="376">
        <v>443</v>
      </c>
      <c r="M31" s="376">
        <v>2135</v>
      </c>
      <c r="N31" s="433">
        <f t="shared" si="3"/>
        <v>2578</v>
      </c>
    </row>
    <row r="32" spans="1:14" x14ac:dyDescent="0.35">
      <c r="A32" s="374" t="s">
        <v>280</v>
      </c>
      <c r="B32" s="431" t="s">
        <v>74</v>
      </c>
      <c r="C32" s="376">
        <v>9713</v>
      </c>
      <c r="D32" s="376">
        <v>8525</v>
      </c>
      <c r="E32" s="432">
        <f t="shared" si="0"/>
        <v>18238</v>
      </c>
      <c r="F32" s="376">
        <v>8709</v>
      </c>
      <c r="G32" s="376">
        <v>8906</v>
      </c>
      <c r="H32" s="432">
        <f t="shared" si="1"/>
        <v>17615</v>
      </c>
      <c r="I32" s="376">
        <v>187</v>
      </c>
      <c r="J32" s="376">
        <v>406</v>
      </c>
      <c r="K32" s="432">
        <f t="shared" si="2"/>
        <v>593</v>
      </c>
      <c r="L32" s="376">
        <v>214</v>
      </c>
      <c r="M32" s="376">
        <v>1091</v>
      </c>
      <c r="N32" s="433">
        <f t="shared" si="3"/>
        <v>1305</v>
      </c>
    </row>
    <row r="33" spans="1:14" ht="15" thickBot="1" x14ac:dyDescent="0.4">
      <c r="A33" s="378" t="s">
        <v>281</v>
      </c>
      <c r="B33" s="434" t="s">
        <v>76</v>
      </c>
      <c r="C33" s="380">
        <v>11814</v>
      </c>
      <c r="D33" s="380">
        <v>10511</v>
      </c>
      <c r="E33" s="435">
        <f t="shared" si="0"/>
        <v>22325</v>
      </c>
      <c r="F33" s="380">
        <v>10661</v>
      </c>
      <c r="G33" s="380">
        <v>10844</v>
      </c>
      <c r="H33" s="435">
        <f t="shared" si="1"/>
        <v>21505</v>
      </c>
      <c r="I33" s="380">
        <v>200</v>
      </c>
      <c r="J33" s="380">
        <v>367</v>
      </c>
      <c r="K33" s="435">
        <f t="shared" si="2"/>
        <v>567</v>
      </c>
      <c r="L33" s="380">
        <v>212</v>
      </c>
      <c r="M33" s="380">
        <v>1024</v>
      </c>
      <c r="N33" s="436">
        <f t="shared" si="3"/>
        <v>1236</v>
      </c>
    </row>
    <row r="34" spans="1:14" x14ac:dyDescent="0.35">
      <c r="A34" s="382" t="s">
        <v>282</v>
      </c>
      <c r="B34" s="437" t="s">
        <v>79</v>
      </c>
      <c r="C34" s="384">
        <v>42612</v>
      </c>
      <c r="D34" s="384">
        <v>35966</v>
      </c>
      <c r="E34" s="438">
        <f t="shared" si="0"/>
        <v>78578</v>
      </c>
      <c r="F34" s="384">
        <v>37199</v>
      </c>
      <c r="G34" s="384">
        <v>37961</v>
      </c>
      <c r="H34" s="438">
        <f t="shared" si="1"/>
        <v>75160</v>
      </c>
      <c r="I34" s="384">
        <v>769</v>
      </c>
      <c r="J34" s="384">
        <v>1575</v>
      </c>
      <c r="K34" s="438">
        <f t="shared" si="2"/>
        <v>2344</v>
      </c>
      <c r="L34" s="384">
        <v>1162</v>
      </c>
      <c r="M34" s="384">
        <v>5394</v>
      </c>
      <c r="N34" s="439">
        <f t="shared" si="3"/>
        <v>6556</v>
      </c>
    </row>
    <row r="35" spans="1:14" x14ac:dyDescent="0.35">
      <c r="A35" s="386" t="s">
        <v>283</v>
      </c>
      <c r="B35" s="440" t="s">
        <v>79</v>
      </c>
      <c r="C35" s="388">
        <v>7491</v>
      </c>
      <c r="D35" s="388">
        <v>6159</v>
      </c>
      <c r="E35" s="441">
        <f t="shared" si="0"/>
        <v>13650</v>
      </c>
      <c r="F35" s="388">
        <v>6562</v>
      </c>
      <c r="G35" s="388">
        <v>6622</v>
      </c>
      <c r="H35" s="441">
        <f t="shared" si="1"/>
        <v>13184</v>
      </c>
      <c r="I35" s="388">
        <v>130</v>
      </c>
      <c r="J35" s="388">
        <v>256</v>
      </c>
      <c r="K35" s="441">
        <f t="shared" si="2"/>
        <v>386</v>
      </c>
      <c r="L35" s="388">
        <v>226</v>
      </c>
      <c r="M35" s="388">
        <v>908</v>
      </c>
      <c r="N35" s="442">
        <f t="shared" si="3"/>
        <v>1134</v>
      </c>
    </row>
    <row r="36" spans="1:14" x14ac:dyDescent="0.35">
      <c r="A36" s="386" t="s">
        <v>284</v>
      </c>
      <c r="B36" s="440" t="s">
        <v>81</v>
      </c>
      <c r="C36" s="388">
        <v>6824</v>
      </c>
      <c r="D36" s="388">
        <v>5640</v>
      </c>
      <c r="E36" s="441">
        <f t="shared" si="0"/>
        <v>12464</v>
      </c>
      <c r="F36" s="388">
        <v>5726</v>
      </c>
      <c r="G36" s="388">
        <v>5856</v>
      </c>
      <c r="H36" s="441">
        <f t="shared" si="1"/>
        <v>11582</v>
      </c>
      <c r="I36" s="388">
        <v>130</v>
      </c>
      <c r="J36" s="388">
        <v>264</v>
      </c>
      <c r="K36" s="441">
        <f t="shared" si="2"/>
        <v>394</v>
      </c>
      <c r="L36" s="388">
        <v>164</v>
      </c>
      <c r="M36" s="388">
        <v>774</v>
      </c>
      <c r="N36" s="442">
        <f t="shared" si="3"/>
        <v>938</v>
      </c>
    </row>
    <row r="37" spans="1:14" x14ac:dyDescent="0.35">
      <c r="A37" s="386" t="s">
        <v>285</v>
      </c>
      <c r="B37" s="440" t="s">
        <v>83</v>
      </c>
      <c r="C37" s="388">
        <v>20060</v>
      </c>
      <c r="D37" s="388">
        <v>17345</v>
      </c>
      <c r="E37" s="441">
        <f t="shared" si="0"/>
        <v>37405</v>
      </c>
      <c r="F37" s="388">
        <v>17802</v>
      </c>
      <c r="G37" s="388">
        <v>18253</v>
      </c>
      <c r="H37" s="441">
        <f t="shared" si="1"/>
        <v>36055</v>
      </c>
      <c r="I37" s="388">
        <v>353</v>
      </c>
      <c r="J37" s="388">
        <v>765</v>
      </c>
      <c r="K37" s="441">
        <f t="shared" si="2"/>
        <v>1118</v>
      </c>
      <c r="L37" s="388">
        <v>543</v>
      </c>
      <c r="M37" s="388">
        <v>2736</v>
      </c>
      <c r="N37" s="442">
        <f t="shared" si="3"/>
        <v>3279</v>
      </c>
    </row>
    <row r="38" spans="1:14" ht="15" thickBot="1" x14ac:dyDescent="0.4">
      <c r="A38" s="390" t="s">
        <v>286</v>
      </c>
      <c r="B38" s="443" t="s">
        <v>85</v>
      </c>
      <c r="C38" s="392">
        <v>8237</v>
      </c>
      <c r="D38" s="392">
        <v>6822</v>
      </c>
      <c r="E38" s="444">
        <f t="shared" si="0"/>
        <v>15059</v>
      </c>
      <c r="F38" s="392">
        <v>7109</v>
      </c>
      <c r="G38" s="392">
        <v>7230</v>
      </c>
      <c r="H38" s="444">
        <f t="shared" si="1"/>
        <v>14339</v>
      </c>
      <c r="I38" s="392">
        <v>156</v>
      </c>
      <c r="J38" s="392">
        <v>290</v>
      </c>
      <c r="K38" s="444">
        <f t="shared" si="2"/>
        <v>446</v>
      </c>
      <c r="L38" s="392">
        <v>229</v>
      </c>
      <c r="M38" s="392">
        <v>976</v>
      </c>
      <c r="N38" s="445">
        <f t="shared" si="3"/>
        <v>1205</v>
      </c>
    </row>
    <row r="39" spans="1:14" x14ac:dyDescent="0.35">
      <c r="A39" s="370" t="s">
        <v>287</v>
      </c>
      <c r="B39" s="428" t="s">
        <v>89</v>
      </c>
      <c r="C39" s="372">
        <v>30847</v>
      </c>
      <c r="D39" s="372">
        <v>26026</v>
      </c>
      <c r="E39" s="429">
        <f t="shared" si="0"/>
        <v>56873</v>
      </c>
      <c r="F39" s="372">
        <v>29441</v>
      </c>
      <c r="G39" s="372">
        <v>29790</v>
      </c>
      <c r="H39" s="429">
        <f t="shared" si="1"/>
        <v>59231</v>
      </c>
      <c r="I39" s="372">
        <v>562</v>
      </c>
      <c r="J39" s="372">
        <v>945</v>
      </c>
      <c r="K39" s="429">
        <f t="shared" si="2"/>
        <v>1507</v>
      </c>
      <c r="L39" s="372">
        <v>567</v>
      </c>
      <c r="M39" s="372">
        <v>2731</v>
      </c>
      <c r="N39" s="430">
        <f t="shared" si="3"/>
        <v>3298</v>
      </c>
    </row>
    <row r="40" spans="1:14" x14ac:dyDescent="0.35">
      <c r="A40" s="374" t="s">
        <v>288</v>
      </c>
      <c r="B40" s="431" t="s">
        <v>89</v>
      </c>
      <c r="C40" s="376">
        <v>9111</v>
      </c>
      <c r="D40" s="376">
        <v>7576</v>
      </c>
      <c r="E40" s="432">
        <f t="shared" si="0"/>
        <v>16687</v>
      </c>
      <c r="F40" s="376">
        <v>8528</v>
      </c>
      <c r="G40" s="376">
        <v>8618</v>
      </c>
      <c r="H40" s="432">
        <f t="shared" si="1"/>
        <v>17146</v>
      </c>
      <c r="I40" s="376">
        <v>177</v>
      </c>
      <c r="J40" s="376">
        <v>291</v>
      </c>
      <c r="K40" s="432">
        <f t="shared" si="2"/>
        <v>468</v>
      </c>
      <c r="L40" s="376">
        <v>162</v>
      </c>
      <c r="M40" s="376">
        <v>869</v>
      </c>
      <c r="N40" s="433">
        <f t="shared" si="3"/>
        <v>1031</v>
      </c>
    </row>
    <row r="41" spans="1:14" x14ac:dyDescent="0.35">
      <c r="A41" s="374" t="s">
        <v>289</v>
      </c>
      <c r="B41" s="431" t="s">
        <v>91</v>
      </c>
      <c r="C41" s="376">
        <v>7633</v>
      </c>
      <c r="D41" s="376">
        <v>6313</v>
      </c>
      <c r="E41" s="432">
        <f t="shared" si="0"/>
        <v>13946</v>
      </c>
      <c r="F41" s="376">
        <v>7362</v>
      </c>
      <c r="G41" s="376">
        <v>7415</v>
      </c>
      <c r="H41" s="432">
        <f t="shared" si="1"/>
        <v>14777</v>
      </c>
      <c r="I41" s="376">
        <v>152</v>
      </c>
      <c r="J41" s="376">
        <v>235</v>
      </c>
      <c r="K41" s="432">
        <f t="shared" si="2"/>
        <v>387</v>
      </c>
      <c r="L41" s="376">
        <v>118</v>
      </c>
      <c r="M41" s="376">
        <v>614</v>
      </c>
      <c r="N41" s="433">
        <f t="shared" si="3"/>
        <v>732</v>
      </c>
    </row>
    <row r="42" spans="1:14" x14ac:dyDescent="0.35">
      <c r="A42" s="374" t="s">
        <v>290</v>
      </c>
      <c r="B42" s="431" t="s">
        <v>93</v>
      </c>
      <c r="C42" s="376">
        <v>6906</v>
      </c>
      <c r="D42" s="376">
        <v>5862</v>
      </c>
      <c r="E42" s="432">
        <f t="shared" si="0"/>
        <v>12768</v>
      </c>
      <c r="F42" s="376">
        <v>6664</v>
      </c>
      <c r="G42" s="376">
        <v>6760</v>
      </c>
      <c r="H42" s="432">
        <f t="shared" si="1"/>
        <v>13424</v>
      </c>
      <c r="I42" s="376">
        <v>129</v>
      </c>
      <c r="J42" s="376">
        <v>196</v>
      </c>
      <c r="K42" s="432">
        <f t="shared" si="2"/>
        <v>325</v>
      </c>
      <c r="L42" s="376">
        <v>151</v>
      </c>
      <c r="M42" s="376">
        <v>595</v>
      </c>
      <c r="N42" s="433">
        <f t="shared" si="3"/>
        <v>746</v>
      </c>
    </row>
    <row r="43" spans="1:14" ht="15" thickBot="1" x14ac:dyDescent="0.4">
      <c r="A43" s="378" t="s">
        <v>291</v>
      </c>
      <c r="B43" s="434" t="s">
        <v>95</v>
      </c>
      <c r="C43" s="380">
        <v>7197</v>
      </c>
      <c r="D43" s="380">
        <v>6275</v>
      </c>
      <c r="E43" s="435">
        <f t="shared" si="0"/>
        <v>13472</v>
      </c>
      <c r="F43" s="380">
        <v>6887</v>
      </c>
      <c r="G43" s="380">
        <v>6997</v>
      </c>
      <c r="H43" s="435">
        <f t="shared" si="1"/>
        <v>13884</v>
      </c>
      <c r="I43" s="380">
        <v>104</v>
      </c>
      <c r="J43" s="380">
        <v>223</v>
      </c>
      <c r="K43" s="435">
        <f t="shared" si="2"/>
        <v>327</v>
      </c>
      <c r="L43" s="380">
        <v>136</v>
      </c>
      <c r="M43" s="380">
        <v>653</v>
      </c>
      <c r="N43" s="436">
        <f t="shared" si="3"/>
        <v>789</v>
      </c>
    </row>
    <row r="44" spans="1:14" x14ac:dyDescent="0.35">
      <c r="A44" s="382" t="s">
        <v>292</v>
      </c>
      <c r="B44" s="437" t="s">
        <v>102</v>
      </c>
      <c r="C44" s="384">
        <v>59969</v>
      </c>
      <c r="D44" s="384">
        <v>51456</v>
      </c>
      <c r="E44" s="438">
        <f t="shared" si="0"/>
        <v>111425</v>
      </c>
      <c r="F44" s="384">
        <v>54198</v>
      </c>
      <c r="G44" s="384">
        <v>55632</v>
      </c>
      <c r="H44" s="438">
        <f t="shared" si="1"/>
        <v>109830</v>
      </c>
      <c r="I44" s="384">
        <v>1371</v>
      </c>
      <c r="J44" s="384">
        <v>2666</v>
      </c>
      <c r="K44" s="438">
        <f t="shared" si="2"/>
        <v>4037</v>
      </c>
      <c r="L44" s="384">
        <v>1578</v>
      </c>
      <c r="M44" s="384">
        <v>8532</v>
      </c>
      <c r="N44" s="439">
        <f t="shared" si="3"/>
        <v>10110</v>
      </c>
    </row>
    <row r="45" spans="1:14" x14ac:dyDescent="0.35">
      <c r="A45" s="386" t="s">
        <v>293</v>
      </c>
      <c r="B45" s="440" t="s">
        <v>98</v>
      </c>
      <c r="C45" s="388">
        <v>12255</v>
      </c>
      <c r="D45" s="388">
        <v>10613</v>
      </c>
      <c r="E45" s="441">
        <f t="shared" si="0"/>
        <v>22868</v>
      </c>
      <c r="F45" s="388">
        <v>11105</v>
      </c>
      <c r="G45" s="388">
        <v>11373</v>
      </c>
      <c r="H45" s="441">
        <f t="shared" si="1"/>
        <v>22478</v>
      </c>
      <c r="I45" s="388">
        <v>292</v>
      </c>
      <c r="J45" s="388">
        <v>525</v>
      </c>
      <c r="K45" s="441">
        <f t="shared" si="2"/>
        <v>817</v>
      </c>
      <c r="L45" s="388">
        <v>358</v>
      </c>
      <c r="M45" s="388">
        <v>1765</v>
      </c>
      <c r="N45" s="442">
        <f t="shared" si="3"/>
        <v>2123</v>
      </c>
    </row>
    <row r="46" spans="1:14" x14ac:dyDescent="0.35">
      <c r="A46" s="386" t="s">
        <v>294</v>
      </c>
      <c r="B46" s="440" t="s">
        <v>100</v>
      </c>
      <c r="C46" s="388">
        <v>9681</v>
      </c>
      <c r="D46" s="388">
        <v>8116</v>
      </c>
      <c r="E46" s="441">
        <f t="shared" si="0"/>
        <v>17797</v>
      </c>
      <c r="F46" s="388">
        <v>9020</v>
      </c>
      <c r="G46" s="388">
        <v>9266</v>
      </c>
      <c r="H46" s="441">
        <f t="shared" si="1"/>
        <v>18286</v>
      </c>
      <c r="I46" s="388">
        <v>217</v>
      </c>
      <c r="J46" s="388">
        <v>445</v>
      </c>
      <c r="K46" s="441">
        <f t="shared" si="2"/>
        <v>662</v>
      </c>
      <c r="L46" s="388">
        <v>251</v>
      </c>
      <c r="M46" s="388">
        <v>1347</v>
      </c>
      <c r="N46" s="442">
        <f t="shared" si="3"/>
        <v>1598</v>
      </c>
    </row>
    <row r="47" spans="1:14" x14ac:dyDescent="0.35">
      <c r="A47" s="386" t="s">
        <v>295</v>
      </c>
      <c r="B47" s="440" t="s">
        <v>103</v>
      </c>
      <c r="C47" s="388">
        <v>16170</v>
      </c>
      <c r="D47" s="388">
        <v>13877</v>
      </c>
      <c r="E47" s="441">
        <f t="shared" si="0"/>
        <v>30047</v>
      </c>
      <c r="F47" s="388">
        <v>14427</v>
      </c>
      <c r="G47" s="388">
        <v>14857</v>
      </c>
      <c r="H47" s="441">
        <f t="shared" si="1"/>
        <v>29284</v>
      </c>
      <c r="I47" s="388">
        <v>333</v>
      </c>
      <c r="J47" s="388">
        <v>678</v>
      </c>
      <c r="K47" s="441">
        <f t="shared" si="2"/>
        <v>1011</v>
      </c>
      <c r="L47" s="388">
        <v>405</v>
      </c>
      <c r="M47" s="388">
        <v>2136</v>
      </c>
      <c r="N47" s="442">
        <f t="shared" si="3"/>
        <v>2541</v>
      </c>
    </row>
    <row r="48" spans="1:14" x14ac:dyDescent="0.35">
      <c r="A48" s="386" t="s">
        <v>296</v>
      </c>
      <c r="B48" s="440" t="s">
        <v>105</v>
      </c>
      <c r="C48" s="388">
        <v>10033</v>
      </c>
      <c r="D48" s="388">
        <v>8738</v>
      </c>
      <c r="E48" s="441">
        <f t="shared" si="0"/>
        <v>18771</v>
      </c>
      <c r="F48" s="388">
        <v>9138</v>
      </c>
      <c r="G48" s="388">
        <v>9365</v>
      </c>
      <c r="H48" s="441">
        <f t="shared" si="1"/>
        <v>18503</v>
      </c>
      <c r="I48" s="388">
        <v>215</v>
      </c>
      <c r="J48" s="388">
        <v>445</v>
      </c>
      <c r="K48" s="441">
        <f t="shared" si="2"/>
        <v>660</v>
      </c>
      <c r="L48" s="388">
        <v>257</v>
      </c>
      <c r="M48" s="388">
        <v>1483</v>
      </c>
      <c r="N48" s="442">
        <f t="shared" si="3"/>
        <v>1740</v>
      </c>
    </row>
    <row r="49" spans="1:14" ht="15" thickBot="1" x14ac:dyDescent="0.4">
      <c r="A49" s="390" t="s">
        <v>297</v>
      </c>
      <c r="B49" s="443" t="s">
        <v>107</v>
      </c>
      <c r="C49" s="392">
        <v>11830</v>
      </c>
      <c r="D49" s="392">
        <v>10112</v>
      </c>
      <c r="E49" s="444">
        <f t="shared" si="0"/>
        <v>21942</v>
      </c>
      <c r="F49" s="392">
        <v>10508</v>
      </c>
      <c r="G49" s="392">
        <v>10771</v>
      </c>
      <c r="H49" s="444">
        <f t="shared" si="1"/>
        <v>21279</v>
      </c>
      <c r="I49" s="392">
        <v>314</v>
      </c>
      <c r="J49" s="392">
        <v>573</v>
      </c>
      <c r="K49" s="444">
        <f t="shared" si="2"/>
        <v>887</v>
      </c>
      <c r="L49" s="392">
        <v>307</v>
      </c>
      <c r="M49" s="392">
        <v>1801</v>
      </c>
      <c r="N49" s="445">
        <f t="shared" si="3"/>
        <v>2108</v>
      </c>
    </row>
    <row r="50" spans="1:14" x14ac:dyDescent="0.35">
      <c r="A50" s="370" t="s">
        <v>298</v>
      </c>
      <c r="B50" s="428" t="s">
        <v>112</v>
      </c>
      <c r="C50" s="372">
        <v>65016</v>
      </c>
      <c r="D50" s="372">
        <v>56770</v>
      </c>
      <c r="E50" s="429">
        <f t="shared" si="0"/>
        <v>121786</v>
      </c>
      <c r="F50" s="372">
        <v>58020</v>
      </c>
      <c r="G50" s="372">
        <v>59508</v>
      </c>
      <c r="H50" s="429">
        <f t="shared" si="1"/>
        <v>117528</v>
      </c>
      <c r="I50" s="372">
        <v>1292</v>
      </c>
      <c r="J50" s="372">
        <v>2598</v>
      </c>
      <c r="K50" s="429">
        <f t="shared" si="2"/>
        <v>3890</v>
      </c>
      <c r="L50" s="372">
        <v>1622</v>
      </c>
      <c r="M50" s="372">
        <v>8164</v>
      </c>
      <c r="N50" s="430">
        <f t="shared" si="3"/>
        <v>9786</v>
      </c>
    </row>
    <row r="51" spans="1:14" x14ac:dyDescent="0.35">
      <c r="A51" s="374" t="s">
        <v>299</v>
      </c>
      <c r="B51" s="431" t="s">
        <v>110</v>
      </c>
      <c r="C51" s="376">
        <v>10876</v>
      </c>
      <c r="D51" s="376">
        <v>9363</v>
      </c>
      <c r="E51" s="432">
        <f t="shared" si="0"/>
        <v>20239</v>
      </c>
      <c r="F51" s="376">
        <v>9642</v>
      </c>
      <c r="G51" s="376">
        <v>9873</v>
      </c>
      <c r="H51" s="432">
        <f t="shared" si="1"/>
        <v>19515</v>
      </c>
      <c r="I51" s="376">
        <v>207</v>
      </c>
      <c r="J51" s="376">
        <v>414</v>
      </c>
      <c r="K51" s="432">
        <f t="shared" si="2"/>
        <v>621</v>
      </c>
      <c r="L51" s="376">
        <v>328</v>
      </c>
      <c r="M51" s="376">
        <v>1473</v>
      </c>
      <c r="N51" s="433">
        <f t="shared" si="3"/>
        <v>1801</v>
      </c>
    </row>
    <row r="52" spans="1:14" x14ac:dyDescent="0.35">
      <c r="A52" s="374" t="s">
        <v>300</v>
      </c>
      <c r="B52" s="431" t="s">
        <v>112</v>
      </c>
      <c r="C52" s="376">
        <v>10019</v>
      </c>
      <c r="D52" s="376">
        <v>8575</v>
      </c>
      <c r="E52" s="432">
        <f t="shared" si="0"/>
        <v>18594</v>
      </c>
      <c r="F52" s="376">
        <v>8868</v>
      </c>
      <c r="G52" s="376">
        <v>9012</v>
      </c>
      <c r="H52" s="432">
        <f t="shared" si="1"/>
        <v>17880</v>
      </c>
      <c r="I52" s="376">
        <v>205</v>
      </c>
      <c r="J52" s="376">
        <v>453</v>
      </c>
      <c r="K52" s="432">
        <f t="shared" si="2"/>
        <v>658</v>
      </c>
      <c r="L52" s="376">
        <v>283</v>
      </c>
      <c r="M52" s="376">
        <v>1428</v>
      </c>
      <c r="N52" s="433">
        <f t="shared" si="3"/>
        <v>1711</v>
      </c>
    </row>
    <row r="53" spans="1:14" x14ac:dyDescent="0.35">
      <c r="A53" s="374" t="s">
        <v>301</v>
      </c>
      <c r="B53" s="431" t="s">
        <v>114</v>
      </c>
      <c r="C53" s="376">
        <v>12209</v>
      </c>
      <c r="D53" s="376">
        <v>10641</v>
      </c>
      <c r="E53" s="432">
        <f t="shared" si="0"/>
        <v>22850</v>
      </c>
      <c r="F53" s="376">
        <v>10929</v>
      </c>
      <c r="G53" s="376">
        <v>11219</v>
      </c>
      <c r="H53" s="432">
        <f t="shared" si="1"/>
        <v>22148</v>
      </c>
      <c r="I53" s="376">
        <v>247</v>
      </c>
      <c r="J53" s="376">
        <v>485</v>
      </c>
      <c r="K53" s="432">
        <f t="shared" si="2"/>
        <v>732</v>
      </c>
      <c r="L53" s="376">
        <v>293</v>
      </c>
      <c r="M53" s="376">
        <v>1654</v>
      </c>
      <c r="N53" s="433">
        <f t="shared" si="3"/>
        <v>1947</v>
      </c>
    </row>
    <row r="54" spans="1:14" x14ac:dyDescent="0.35">
      <c r="A54" s="374" t="s">
        <v>302</v>
      </c>
      <c r="B54" s="431" t="s">
        <v>116</v>
      </c>
      <c r="C54" s="376">
        <v>10854</v>
      </c>
      <c r="D54" s="376">
        <v>9336</v>
      </c>
      <c r="E54" s="432">
        <f t="shared" si="0"/>
        <v>20190</v>
      </c>
      <c r="F54" s="376">
        <v>9677</v>
      </c>
      <c r="G54" s="376">
        <v>9979</v>
      </c>
      <c r="H54" s="432">
        <f t="shared" si="1"/>
        <v>19656</v>
      </c>
      <c r="I54" s="376">
        <v>224</v>
      </c>
      <c r="J54" s="376">
        <v>461</v>
      </c>
      <c r="K54" s="432">
        <f t="shared" si="2"/>
        <v>685</v>
      </c>
      <c r="L54" s="376">
        <v>309</v>
      </c>
      <c r="M54" s="376">
        <v>1392</v>
      </c>
      <c r="N54" s="433">
        <f t="shared" si="3"/>
        <v>1701</v>
      </c>
    </row>
    <row r="55" spans="1:14" x14ac:dyDescent="0.35">
      <c r="A55" s="374" t="s">
        <v>303</v>
      </c>
      <c r="B55" s="431" t="s">
        <v>118</v>
      </c>
      <c r="C55" s="376">
        <v>9607</v>
      </c>
      <c r="D55" s="376">
        <v>8732</v>
      </c>
      <c r="E55" s="432">
        <f t="shared" si="0"/>
        <v>18339</v>
      </c>
      <c r="F55" s="376">
        <v>8727</v>
      </c>
      <c r="G55" s="376">
        <v>8959</v>
      </c>
      <c r="H55" s="432">
        <f t="shared" si="1"/>
        <v>17686</v>
      </c>
      <c r="I55" s="376">
        <v>170</v>
      </c>
      <c r="J55" s="376">
        <v>334</v>
      </c>
      <c r="K55" s="432">
        <f t="shared" si="2"/>
        <v>504</v>
      </c>
      <c r="L55" s="376">
        <v>169</v>
      </c>
      <c r="M55" s="376">
        <v>957</v>
      </c>
      <c r="N55" s="433">
        <f t="shared" si="3"/>
        <v>1126</v>
      </c>
    </row>
    <row r="56" spans="1:14" ht="15" thickBot="1" x14ac:dyDescent="0.4">
      <c r="A56" s="378" t="s">
        <v>304</v>
      </c>
      <c r="B56" s="434" t="s">
        <v>120</v>
      </c>
      <c r="C56" s="380">
        <v>11451</v>
      </c>
      <c r="D56" s="380">
        <v>10123</v>
      </c>
      <c r="E56" s="435">
        <f t="shared" si="0"/>
        <v>21574</v>
      </c>
      <c r="F56" s="380">
        <v>10177</v>
      </c>
      <c r="G56" s="380">
        <v>10466</v>
      </c>
      <c r="H56" s="435">
        <f t="shared" si="1"/>
        <v>20643</v>
      </c>
      <c r="I56" s="380">
        <v>239</v>
      </c>
      <c r="J56" s="380">
        <v>451</v>
      </c>
      <c r="K56" s="435">
        <f t="shared" si="2"/>
        <v>690</v>
      </c>
      <c r="L56" s="380">
        <v>240</v>
      </c>
      <c r="M56" s="380">
        <v>1260</v>
      </c>
      <c r="N56" s="436">
        <f t="shared" si="3"/>
        <v>1500</v>
      </c>
    </row>
    <row r="57" spans="1:14" x14ac:dyDescent="0.35">
      <c r="A57" s="382" t="s">
        <v>305</v>
      </c>
      <c r="B57" s="437" t="s">
        <v>123</v>
      </c>
      <c r="C57" s="384">
        <v>31232</v>
      </c>
      <c r="D57" s="384">
        <v>27622</v>
      </c>
      <c r="E57" s="438">
        <f t="shared" si="0"/>
        <v>58854</v>
      </c>
      <c r="F57" s="384">
        <v>29045</v>
      </c>
      <c r="G57" s="384">
        <v>29998</v>
      </c>
      <c r="H57" s="438">
        <f t="shared" si="1"/>
        <v>59043</v>
      </c>
      <c r="I57" s="384">
        <v>591</v>
      </c>
      <c r="J57" s="384">
        <v>1438</v>
      </c>
      <c r="K57" s="438">
        <f t="shared" si="2"/>
        <v>2029</v>
      </c>
      <c r="L57" s="384">
        <v>742</v>
      </c>
      <c r="M57" s="384">
        <v>3397</v>
      </c>
      <c r="N57" s="439">
        <f t="shared" si="3"/>
        <v>4139</v>
      </c>
    </row>
    <row r="58" spans="1:14" x14ac:dyDescent="0.35">
      <c r="A58" s="386" t="s">
        <v>306</v>
      </c>
      <c r="B58" s="440" t="s">
        <v>123</v>
      </c>
      <c r="C58" s="388">
        <v>8089</v>
      </c>
      <c r="D58" s="388">
        <v>7192</v>
      </c>
      <c r="E58" s="441">
        <f t="shared" si="0"/>
        <v>15281</v>
      </c>
      <c r="F58" s="388">
        <v>7519</v>
      </c>
      <c r="G58" s="388">
        <v>7722</v>
      </c>
      <c r="H58" s="441">
        <f t="shared" si="1"/>
        <v>15241</v>
      </c>
      <c r="I58" s="388">
        <v>148</v>
      </c>
      <c r="J58" s="388">
        <v>459</v>
      </c>
      <c r="K58" s="441">
        <f t="shared" si="2"/>
        <v>607</v>
      </c>
      <c r="L58" s="388">
        <v>234</v>
      </c>
      <c r="M58" s="388">
        <v>976</v>
      </c>
      <c r="N58" s="442">
        <f t="shared" si="3"/>
        <v>1210</v>
      </c>
    </row>
    <row r="59" spans="1:14" x14ac:dyDescent="0.35">
      <c r="A59" s="386" t="s">
        <v>307</v>
      </c>
      <c r="B59" s="440" t="s">
        <v>125</v>
      </c>
      <c r="C59" s="388">
        <v>4140</v>
      </c>
      <c r="D59" s="388">
        <v>3912</v>
      </c>
      <c r="E59" s="441">
        <f t="shared" si="0"/>
        <v>8052</v>
      </c>
      <c r="F59" s="388">
        <v>4004</v>
      </c>
      <c r="G59" s="388">
        <v>4230</v>
      </c>
      <c r="H59" s="441">
        <f t="shared" si="1"/>
        <v>8234</v>
      </c>
      <c r="I59" s="388">
        <v>100</v>
      </c>
      <c r="J59" s="388">
        <v>254</v>
      </c>
      <c r="K59" s="441">
        <f t="shared" si="2"/>
        <v>354</v>
      </c>
      <c r="L59" s="388">
        <v>81</v>
      </c>
      <c r="M59" s="388">
        <v>452</v>
      </c>
      <c r="N59" s="442">
        <f t="shared" si="3"/>
        <v>533</v>
      </c>
    </row>
    <row r="60" spans="1:14" x14ac:dyDescent="0.35">
      <c r="A60" s="386" t="s">
        <v>308</v>
      </c>
      <c r="B60" s="440" t="s">
        <v>127</v>
      </c>
      <c r="C60" s="388">
        <v>7834</v>
      </c>
      <c r="D60" s="388">
        <v>6858</v>
      </c>
      <c r="E60" s="441">
        <f t="shared" si="0"/>
        <v>14692</v>
      </c>
      <c r="F60" s="388">
        <v>7011</v>
      </c>
      <c r="G60" s="388">
        <v>7222</v>
      </c>
      <c r="H60" s="441">
        <f t="shared" si="1"/>
        <v>14233</v>
      </c>
      <c r="I60" s="388">
        <v>155</v>
      </c>
      <c r="J60" s="388">
        <v>302</v>
      </c>
      <c r="K60" s="441">
        <f t="shared" si="2"/>
        <v>457</v>
      </c>
      <c r="L60" s="388">
        <v>206</v>
      </c>
      <c r="M60" s="388">
        <v>876</v>
      </c>
      <c r="N60" s="442">
        <f t="shared" si="3"/>
        <v>1082</v>
      </c>
    </row>
    <row r="61" spans="1:14" x14ac:dyDescent="0.35">
      <c r="A61" s="386" t="s">
        <v>309</v>
      </c>
      <c r="B61" s="440" t="s">
        <v>129</v>
      </c>
      <c r="C61" s="388">
        <v>5010</v>
      </c>
      <c r="D61" s="388">
        <v>4329</v>
      </c>
      <c r="E61" s="441">
        <f t="shared" si="0"/>
        <v>9339</v>
      </c>
      <c r="F61" s="388">
        <v>5044</v>
      </c>
      <c r="G61" s="388">
        <v>5196</v>
      </c>
      <c r="H61" s="441">
        <f t="shared" si="1"/>
        <v>10240</v>
      </c>
      <c r="I61" s="388">
        <v>75</v>
      </c>
      <c r="J61" s="388">
        <v>193</v>
      </c>
      <c r="K61" s="441">
        <f t="shared" si="2"/>
        <v>268</v>
      </c>
      <c r="L61" s="388">
        <v>105</v>
      </c>
      <c r="M61" s="388">
        <v>490</v>
      </c>
      <c r="N61" s="442">
        <f t="shared" si="3"/>
        <v>595</v>
      </c>
    </row>
    <row r="62" spans="1:14" ht="15" thickBot="1" x14ac:dyDescent="0.4">
      <c r="A62" s="390" t="s">
        <v>310</v>
      </c>
      <c r="B62" s="443" t="s">
        <v>131</v>
      </c>
      <c r="C62" s="392">
        <v>6159</v>
      </c>
      <c r="D62" s="392">
        <v>5331</v>
      </c>
      <c r="E62" s="444">
        <f t="shared" si="0"/>
        <v>11490</v>
      </c>
      <c r="F62" s="392">
        <v>5467</v>
      </c>
      <c r="G62" s="392">
        <v>5628</v>
      </c>
      <c r="H62" s="444">
        <f t="shared" si="1"/>
        <v>11095</v>
      </c>
      <c r="I62" s="392">
        <v>113</v>
      </c>
      <c r="J62" s="392">
        <v>230</v>
      </c>
      <c r="K62" s="444">
        <f t="shared" si="2"/>
        <v>343</v>
      </c>
      <c r="L62" s="392">
        <v>116</v>
      </c>
      <c r="M62" s="392">
        <v>603</v>
      </c>
      <c r="N62" s="445">
        <f t="shared" si="3"/>
        <v>719</v>
      </c>
    </row>
    <row r="63" spans="1:14" x14ac:dyDescent="0.35">
      <c r="A63" s="370" t="s">
        <v>311</v>
      </c>
      <c r="B63" s="428" t="s">
        <v>138</v>
      </c>
      <c r="C63" s="372">
        <v>59762</v>
      </c>
      <c r="D63" s="372">
        <v>52350</v>
      </c>
      <c r="E63" s="429">
        <f t="shared" si="0"/>
        <v>112112</v>
      </c>
      <c r="F63" s="372">
        <v>53827</v>
      </c>
      <c r="G63" s="372">
        <v>55146</v>
      </c>
      <c r="H63" s="429">
        <f t="shared" si="1"/>
        <v>108973</v>
      </c>
      <c r="I63" s="372">
        <v>1090</v>
      </c>
      <c r="J63" s="372">
        <v>2168</v>
      </c>
      <c r="K63" s="429">
        <f t="shared" si="2"/>
        <v>3258</v>
      </c>
      <c r="L63" s="372">
        <v>1265</v>
      </c>
      <c r="M63" s="372">
        <v>5992</v>
      </c>
      <c r="N63" s="430">
        <f t="shared" si="3"/>
        <v>7257</v>
      </c>
    </row>
    <row r="64" spans="1:14" x14ac:dyDescent="0.35">
      <c r="A64" s="374" t="s">
        <v>312</v>
      </c>
      <c r="B64" s="431" t="s">
        <v>134</v>
      </c>
      <c r="C64" s="376">
        <v>15796</v>
      </c>
      <c r="D64" s="376">
        <v>13566</v>
      </c>
      <c r="E64" s="432">
        <f t="shared" si="0"/>
        <v>29362</v>
      </c>
      <c r="F64" s="376">
        <v>14267</v>
      </c>
      <c r="G64" s="376">
        <v>14619</v>
      </c>
      <c r="H64" s="432">
        <f t="shared" si="1"/>
        <v>28886</v>
      </c>
      <c r="I64" s="376">
        <v>321</v>
      </c>
      <c r="J64" s="376">
        <v>568</v>
      </c>
      <c r="K64" s="432">
        <f t="shared" si="2"/>
        <v>889</v>
      </c>
      <c r="L64" s="376">
        <v>306</v>
      </c>
      <c r="M64" s="376">
        <v>1463</v>
      </c>
      <c r="N64" s="433">
        <f t="shared" si="3"/>
        <v>1769</v>
      </c>
    </row>
    <row r="65" spans="1:14" x14ac:dyDescent="0.35">
      <c r="A65" s="374" t="s">
        <v>313</v>
      </c>
      <c r="B65" s="431" t="s">
        <v>136</v>
      </c>
      <c r="C65" s="376">
        <v>12090</v>
      </c>
      <c r="D65" s="376">
        <v>10934</v>
      </c>
      <c r="E65" s="432">
        <f t="shared" si="0"/>
        <v>23024</v>
      </c>
      <c r="F65" s="376">
        <v>11154</v>
      </c>
      <c r="G65" s="376">
        <v>11407</v>
      </c>
      <c r="H65" s="432">
        <f t="shared" si="1"/>
        <v>22561</v>
      </c>
      <c r="I65" s="376">
        <v>198</v>
      </c>
      <c r="J65" s="376">
        <v>408</v>
      </c>
      <c r="K65" s="432">
        <f t="shared" si="2"/>
        <v>606</v>
      </c>
      <c r="L65" s="376">
        <v>210</v>
      </c>
      <c r="M65" s="376">
        <v>1114</v>
      </c>
      <c r="N65" s="433">
        <f t="shared" si="3"/>
        <v>1324</v>
      </c>
    </row>
    <row r="66" spans="1:14" x14ac:dyDescent="0.35">
      <c r="A66" s="374" t="s">
        <v>314</v>
      </c>
      <c r="B66" s="431" t="s">
        <v>138</v>
      </c>
      <c r="C66" s="376">
        <v>21237</v>
      </c>
      <c r="D66" s="376">
        <v>18806</v>
      </c>
      <c r="E66" s="432">
        <f t="shared" si="0"/>
        <v>40043</v>
      </c>
      <c r="F66" s="376">
        <v>18757</v>
      </c>
      <c r="G66" s="376">
        <v>19264</v>
      </c>
      <c r="H66" s="432">
        <f t="shared" si="1"/>
        <v>38021</v>
      </c>
      <c r="I66" s="376">
        <v>344</v>
      </c>
      <c r="J66" s="376">
        <v>780</v>
      </c>
      <c r="K66" s="432">
        <f t="shared" si="2"/>
        <v>1124</v>
      </c>
      <c r="L66" s="376">
        <v>505</v>
      </c>
      <c r="M66" s="376">
        <v>2281</v>
      </c>
      <c r="N66" s="433">
        <f t="shared" si="3"/>
        <v>2786</v>
      </c>
    </row>
    <row r="67" spans="1:14" ht="15" thickBot="1" x14ac:dyDescent="0.4">
      <c r="A67" s="378" t="s">
        <v>315</v>
      </c>
      <c r="B67" s="434" t="s">
        <v>140</v>
      </c>
      <c r="C67" s="380">
        <v>10639</v>
      </c>
      <c r="D67" s="380">
        <v>9044</v>
      </c>
      <c r="E67" s="435">
        <f t="shared" si="0"/>
        <v>19683</v>
      </c>
      <c r="F67" s="380">
        <v>9649</v>
      </c>
      <c r="G67" s="380">
        <v>9856</v>
      </c>
      <c r="H67" s="435">
        <f t="shared" si="1"/>
        <v>19505</v>
      </c>
      <c r="I67" s="380">
        <v>227</v>
      </c>
      <c r="J67" s="380">
        <v>412</v>
      </c>
      <c r="K67" s="435">
        <f t="shared" si="2"/>
        <v>639</v>
      </c>
      <c r="L67" s="380">
        <v>244</v>
      </c>
      <c r="M67" s="380">
        <v>1134</v>
      </c>
      <c r="N67" s="436">
        <f t="shared" si="3"/>
        <v>1378</v>
      </c>
    </row>
    <row r="68" spans="1:14" x14ac:dyDescent="0.35">
      <c r="A68" s="382" t="s">
        <v>316</v>
      </c>
      <c r="B68" s="437" t="s">
        <v>148</v>
      </c>
      <c r="C68" s="384">
        <v>34236</v>
      </c>
      <c r="D68" s="384">
        <v>29108</v>
      </c>
      <c r="E68" s="438">
        <f t="shared" si="0"/>
        <v>63344</v>
      </c>
      <c r="F68" s="384">
        <v>30716</v>
      </c>
      <c r="G68" s="384">
        <v>31530</v>
      </c>
      <c r="H68" s="438">
        <f t="shared" si="1"/>
        <v>62246</v>
      </c>
      <c r="I68" s="384">
        <v>752</v>
      </c>
      <c r="J68" s="384">
        <v>1418</v>
      </c>
      <c r="K68" s="438">
        <f t="shared" si="2"/>
        <v>2170</v>
      </c>
      <c r="L68" s="384">
        <v>1055</v>
      </c>
      <c r="M68" s="384">
        <v>5149</v>
      </c>
      <c r="N68" s="439">
        <f t="shared" si="3"/>
        <v>6204</v>
      </c>
    </row>
    <row r="69" spans="1:14" x14ac:dyDescent="0.35">
      <c r="A69" s="386" t="s">
        <v>317</v>
      </c>
      <c r="B69" s="440" t="s">
        <v>144</v>
      </c>
      <c r="C69" s="388">
        <v>14967</v>
      </c>
      <c r="D69" s="388">
        <v>12588</v>
      </c>
      <c r="E69" s="441">
        <f t="shared" ref="E69:E72" si="4">SUM(C69:D69)</f>
        <v>27555</v>
      </c>
      <c r="F69" s="388">
        <v>13464</v>
      </c>
      <c r="G69" s="388">
        <v>13842</v>
      </c>
      <c r="H69" s="441">
        <f t="shared" ref="H69:H72" si="5">SUM(F69:G69)</f>
        <v>27306</v>
      </c>
      <c r="I69" s="388">
        <v>353</v>
      </c>
      <c r="J69" s="388">
        <v>643</v>
      </c>
      <c r="K69" s="441">
        <f t="shared" ref="K69:K72" si="6">SUM(I69:J69)</f>
        <v>996</v>
      </c>
      <c r="L69" s="388">
        <v>495</v>
      </c>
      <c r="M69" s="388">
        <v>2547</v>
      </c>
      <c r="N69" s="442">
        <f t="shared" ref="N69:N72" si="7">SUM(L69:M69)</f>
        <v>3042</v>
      </c>
    </row>
    <row r="70" spans="1:14" x14ac:dyDescent="0.35">
      <c r="A70" s="386" t="s">
        <v>318</v>
      </c>
      <c r="B70" s="440" t="s">
        <v>146</v>
      </c>
      <c r="C70" s="388">
        <v>6067</v>
      </c>
      <c r="D70" s="388">
        <v>5221</v>
      </c>
      <c r="E70" s="441">
        <f t="shared" si="4"/>
        <v>11288</v>
      </c>
      <c r="F70" s="388">
        <v>5430</v>
      </c>
      <c r="G70" s="388">
        <v>5606</v>
      </c>
      <c r="H70" s="441">
        <f t="shared" si="5"/>
        <v>11036</v>
      </c>
      <c r="I70" s="388">
        <v>133</v>
      </c>
      <c r="J70" s="388">
        <v>274</v>
      </c>
      <c r="K70" s="441">
        <f t="shared" si="6"/>
        <v>407</v>
      </c>
      <c r="L70" s="388">
        <v>177</v>
      </c>
      <c r="M70" s="388">
        <v>896</v>
      </c>
      <c r="N70" s="442">
        <f t="shared" si="7"/>
        <v>1073</v>
      </c>
    </row>
    <row r="71" spans="1:14" x14ac:dyDescent="0.35">
      <c r="A71" s="386" t="s">
        <v>319</v>
      </c>
      <c r="B71" s="440" t="s">
        <v>149</v>
      </c>
      <c r="C71" s="388">
        <v>5829</v>
      </c>
      <c r="D71" s="388">
        <v>4976</v>
      </c>
      <c r="E71" s="441">
        <f t="shared" si="4"/>
        <v>10805</v>
      </c>
      <c r="F71" s="388">
        <v>5217</v>
      </c>
      <c r="G71" s="388">
        <v>5351</v>
      </c>
      <c r="H71" s="441">
        <f t="shared" si="5"/>
        <v>10568</v>
      </c>
      <c r="I71" s="388">
        <v>126</v>
      </c>
      <c r="J71" s="388">
        <v>229</v>
      </c>
      <c r="K71" s="441">
        <f t="shared" si="6"/>
        <v>355</v>
      </c>
      <c r="L71" s="388">
        <v>145</v>
      </c>
      <c r="M71" s="388">
        <v>703</v>
      </c>
      <c r="N71" s="442">
        <f t="shared" si="7"/>
        <v>848</v>
      </c>
    </row>
    <row r="72" spans="1:14" ht="15" thickBot="1" x14ac:dyDescent="0.4">
      <c r="A72" s="394" t="s">
        <v>320</v>
      </c>
      <c r="B72" s="446" t="s">
        <v>151</v>
      </c>
      <c r="C72" s="396">
        <v>7373</v>
      </c>
      <c r="D72" s="396">
        <v>6323</v>
      </c>
      <c r="E72" s="447">
        <f t="shared" si="4"/>
        <v>13696</v>
      </c>
      <c r="F72" s="396">
        <v>6605</v>
      </c>
      <c r="G72" s="396">
        <v>6731</v>
      </c>
      <c r="H72" s="447">
        <f t="shared" si="5"/>
        <v>13336</v>
      </c>
      <c r="I72" s="396">
        <v>140</v>
      </c>
      <c r="J72" s="396">
        <v>272</v>
      </c>
      <c r="K72" s="447">
        <f t="shared" si="6"/>
        <v>412</v>
      </c>
      <c r="L72" s="396">
        <v>238</v>
      </c>
      <c r="M72" s="396">
        <v>1003</v>
      </c>
      <c r="N72" s="448">
        <f t="shared" si="7"/>
        <v>1241</v>
      </c>
    </row>
  </sheetData>
  <mergeCells count="1">
    <mergeCell ref="A1:N1"/>
  </mergeCells>
  <pageMargins left="0.78740157480314965" right="0.59055118110236227" top="0.39370078740157483" bottom="0.39370078740157483" header="0.31496062992125984" footer="0.31496062992125984"/>
  <pageSetup paperSize="5" scale="60" orientation="landscape" horizontalDpi="360" verticalDpi="360" r:id="rId1"/>
  <rowBreaks count="1" manualBreakCount="1">
    <brk id="43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D85BE-D354-44BB-8CBD-8B92DB9AE23D}">
  <sheetPr>
    <tabColor rgb="FF00B050"/>
  </sheetPr>
  <dimension ref="A1:AJ73"/>
  <sheetViews>
    <sheetView zoomScale="80" zoomScaleNormal="80" workbookViewId="0">
      <selection activeCell="H74" sqref="H74"/>
    </sheetView>
  </sheetViews>
  <sheetFormatPr defaultColWidth="8.7265625" defaultRowHeight="14.5" x14ac:dyDescent="0.35"/>
  <cols>
    <col min="1" max="1" width="12" style="294" customWidth="1"/>
    <col min="2" max="2" width="21.7265625" style="294" bestFit="1" customWidth="1"/>
    <col min="3" max="35" width="10.1796875" style="294" customWidth="1"/>
    <col min="36" max="36" width="11.26953125" style="294" bestFit="1" customWidth="1"/>
    <col min="37" max="16384" width="8.7265625" style="294"/>
  </cols>
  <sheetData>
    <row r="1" spans="1:36" x14ac:dyDescent="0.35">
      <c r="A1" s="449" t="s">
        <v>397</v>
      </c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89"/>
      <c r="T1" s="289"/>
      <c r="U1" s="289"/>
      <c r="V1" s="289"/>
      <c r="W1" s="289"/>
      <c r="X1" s="289"/>
      <c r="Y1" s="289"/>
      <c r="Z1" s="289"/>
      <c r="AA1" s="289"/>
      <c r="AB1" s="289"/>
      <c r="AC1" s="289"/>
      <c r="AD1" s="289"/>
      <c r="AE1" s="289"/>
      <c r="AF1" s="289"/>
      <c r="AG1" s="289"/>
      <c r="AH1" s="289"/>
      <c r="AI1" s="289"/>
    </row>
    <row r="2" spans="1:36" x14ac:dyDescent="0.35">
      <c r="A2" s="449" t="s">
        <v>344</v>
      </c>
      <c r="B2" s="289"/>
      <c r="C2" s="289"/>
      <c r="D2" s="289"/>
      <c r="E2" s="289"/>
      <c r="F2" s="289"/>
      <c r="G2" s="289"/>
      <c r="H2" s="417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89"/>
      <c r="W2" s="289"/>
      <c r="X2" s="289"/>
      <c r="Y2" s="289"/>
      <c r="Z2" s="289"/>
      <c r="AA2" s="289"/>
      <c r="AB2" s="289"/>
      <c r="AC2" s="289"/>
      <c r="AD2" s="289"/>
      <c r="AE2" s="289"/>
      <c r="AF2" s="289"/>
      <c r="AG2" s="289"/>
      <c r="AH2" s="289"/>
      <c r="AI2" s="289"/>
    </row>
    <row r="3" spans="1:36" ht="15" thickBot="1" x14ac:dyDescent="0.4">
      <c r="A3" s="289"/>
      <c r="B3" s="289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</row>
    <row r="4" spans="1:36" ht="35" thickBot="1" x14ac:dyDescent="0.4">
      <c r="A4" s="450" t="s">
        <v>14</v>
      </c>
      <c r="B4" s="451" t="s">
        <v>15</v>
      </c>
      <c r="C4" s="452" t="s">
        <v>398</v>
      </c>
      <c r="D4" s="453" t="s">
        <v>399</v>
      </c>
      <c r="E4" s="454" t="s">
        <v>400</v>
      </c>
      <c r="F4" s="452" t="s">
        <v>401</v>
      </c>
      <c r="G4" s="453" t="s">
        <v>402</v>
      </c>
      <c r="H4" s="454" t="s">
        <v>403</v>
      </c>
      <c r="I4" s="452" t="s">
        <v>404</v>
      </c>
      <c r="J4" s="453" t="s">
        <v>405</v>
      </c>
      <c r="K4" s="454" t="s">
        <v>406</v>
      </c>
      <c r="L4" s="452" t="s">
        <v>407</v>
      </c>
      <c r="M4" s="453" t="s">
        <v>408</v>
      </c>
      <c r="N4" s="454" t="s">
        <v>409</v>
      </c>
      <c r="O4" s="452" t="s">
        <v>410</v>
      </c>
      <c r="P4" s="453" t="s">
        <v>411</v>
      </c>
      <c r="Q4" s="454" t="s">
        <v>412</v>
      </c>
      <c r="R4" s="452" t="s">
        <v>413</v>
      </c>
      <c r="S4" s="453" t="s">
        <v>414</v>
      </c>
      <c r="T4" s="454" t="s">
        <v>415</v>
      </c>
      <c r="U4" s="452" t="s">
        <v>416</v>
      </c>
      <c r="V4" s="453" t="s">
        <v>417</v>
      </c>
      <c r="W4" s="454" t="s">
        <v>418</v>
      </c>
      <c r="X4" s="452" t="s">
        <v>419</v>
      </c>
      <c r="Y4" s="453" t="s">
        <v>420</v>
      </c>
      <c r="Z4" s="454" t="s">
        <v>421</v>
      </c>
      <c r="AA4" s="452" t="s">
        <v>422</v>
      </c>
      <c r="AB4" s="453" t="s">
        <v>423</v>
      </c>
      <c r="AC4" s="454" t="s">
        <v>424</v>
      </c>
      <c r="AD4" s="452" t="s">
        <v>425</v>
      </c>
      <c r="AE4" s="453" t="s">
        <v>426</v>
      </c>
      <c r="AF4" s="454" t="s">
        <v>427</v>
      </c>
      <c r="AG4" s="452" t="s">
        <v>428</v>
      </c>
      <c r="AH4" s="454" t="s">
        <v>429</v>
      </c>
      <c r="AI4" s="454" t="s">
        <v>430</v>
      </c>
    </row>
    <row r="5" spans="1:36" ht="15" thickBot="1" x14ac:dyDescent="0.4">
      <c r="A5" s="455" t="s">
        <v>251</v>
      </c>
      <c r="B5" s="456" t="s">
        <v>22</v>
      </c>
      <c r="C5" s="457">
        <v>660768</v>
      </c>
      <c r="D5" s="458">
        <v>171386</v>
      </c>
      <c r="E5" s="459">
        <f>C5+D5</f>
        <v>832154</v>
      </c>
      <c r="F5" s="457">
        <v>5</v>
      </c>
      <c r="G5" s="458">
        <v>0</v>
      </c>
      <c r="H5" s="459">
        <f t="shared" ref="H5:H68" si="0">F5+G5</f>
        <v>5</v>
      </c>
      <c r="I5" s="457">
        <v>0</v>
      </c>
      <c r="J5" s="458">
        <v>560726</v>
      </c>
      <c r="K5" s="459">
        <f t="shared" ref="K5:K68" si="1">I5+J5</f>
        <v>560726</v>
      </c>
      <c r="L5" s="457">
        <v>614792</v>
      </c>
      <c r="M5" s="458">
        <v>541627</v>
      </c>
      <c r="N5" s="459">
        <f t="shared" ref="N5:N68" si="2">L5+M5</f>
        <v>1156419</v>
      </c>
      <c r="O5" s="457">
        <v>142</v>
      </c>
      <c r="P5" s="458">
        <v>173</v>
      </c>
      <c r="Q5" s="459">
        <f t="shared" ref="Q5:Q68" si="3">O5+P5</f>
        <v>315</v>
      </c>
      <c r="R5" s="457">
        <v>6797</v>
      </c>
      <c r="S5" s="458">
        <v>5908</v>
      </c>
      <c r="T5" s="459">
        <f t="shared" ref="T5:T68" si="4">R5+S5</f>
        <v>12705</v>
      </c>
      <c r="U5" s="457">
        <v>707</v>
      </c>
      <c r="V5" s="458">
        <v>6732</v>
      </c>
      <c r="W5" s="459">
        <f t="shared" ref="W5:W68" si="5">U5+V5</f>
        <v>7439</v>
      </c>
      <c r="X5" s="457">
        <v>316</v>
      </c>
      <c r="Y5" s="458">
        <v>2580</v>
      </c>
      <c r="Z5" s="459">
        <f t="shared" ref="Z5:Z68" si="6">X5+Y5</f>
        <v>2896</v>
      </c>
      <c r="AA5" s="457">
        <v>16045</v>
      </c>
      <c r="AB5" s="458">
        <v>15439</v>
      </c>
      <c r="AC5" s="459">
        <f t="shared" ref="AC5:AC68" si="7">AA5+AB5</f>
        <v>31484</v>
      </c>
      <c r="AD5" s="457">
        <v>9</v>
      </c>
      <c r="AE5" s="458">
        <v>136</v>
      </c>
      <c r="AF5" s="459">
        <f t="shared" ref="AF5:AF68" si="8">AD5+AE5</f>
        <v>145</v>
      </c>
      <c r="AG5" s="457">
        <v>1241</v>
      </c>
      <c r="AH5" s="458">
        <v>1719</v>
      </c>
      <c r="AI5" s="459">
        <f t="shared" ref="AI5:AI68" si="9">AG5+AH5</f>
        <v>2960</v>
      </c>
      <c r="AJ5" s="460"/>
    </row>
    <row r="6" spans="1:36" x14ac:dyDescent="0.35">
      <c r="A6" s="461" t="s">
        <v>253</v>
      </c>
      <c r="B6" s="462" t="s">
        <v>20</v>
      </c>
      <c r="C6" s="463">
        <v>69596</v>
      </c>
      <c r="D6" s="464">
        <v>20186</v>
      </c>
      <c r="E6" s="465">
        <f t="shared" ref="E6:E69" si="10">C6+D6</f>
        <v>89782</v>
      </c>
      <c r="F6" s="463">
        <v>1</v>
      </c>
      <c r="G6" s="464">
        <v>0</v>
      </c>
      <c r="H6" s="465">
        <f t="shared" si="0"/>
        <v>1</v>
      </c>
      <c r="I6" s="463">
        <v>0</v>
      </c>
      <c r="J6" s="464">
        <v>58039</v>
      </c>
      <c r="K6" s="465">
        <f t="shared" si="1"/>
        <v>58039</v>
      </c>
      <c r="L6" s="463">
        <v>64482</v>
      </c>
      <c r="M6" s="464">
        <v>56676</v>
      </c>
      <c r="N6" s="465">
        <f t="shared" si="2"/>
        <v>121158</v>
      </c>
      <c r="O6" s="463">
        <v>22</v>
      </c>
      <c r="P6" s="464">
        <v>18</v>
      </c>
      <c r="Q6" s="465">
        <f t="shared" si="3"/>
        <v>40</v>
      </c>
      <c r="R6" s="463">
        <v>937</v>
      </c>
      <c r="S6" s="464">
        <v>861</v>
      </c>
      <c r="T6" s="465">
        <f t="shared" si="4"/>
        <v>1798</v>
      </c>
      <c r="U6" s="463">
        <v>92</v>
      </c>
      <c r="V6" s="464">
        <v>785</v>
      </c>
      <c r="W6" s="465">
        <f t="shared" si="5"/>
        <v>877</v>
      </c>
      <c r="X6" s="463">
        <v>43</v>
      </c>
      <c r="Y6" s="464">
        <v>299</v>
      </c>
      <c r="Z6" s="465">
        <f t="shared" si="6"/>
        <v>342</v>
      </c>
      <c r="AA6" s="463">
        <v>1932</v>
      </c>
      <c r="AB6" s="464">
        <v>1971</v>
      </c>
      <c r="AC6" s="465">
        <f t="shared" si="7"/>
        <v>3903</v>
      </c>
      <c r="AD6" s="463">
        <v>0</v>
      </c>
      <c r="AE6" s="464">
        <v>10</v>
      </c>
      <c r="AF6" s="465">
        <f t="shared" si="8"/>
        <v>10</v>
      </c>
      <c r="AG6" s="463">
        <v>165</v>
      </c>
      <c r="AH6" s="464">
        <v>196</v>
      </c>
      <c r="AI6" s="465">
        <f t="shared" si="9"/>
        <v>361</v>
      </c>
    </row>
    <row r="7" spans="1:36" x14ac:dyDescent="0.35">
      <c r="A7" s="466" t="s">
        <v>254</v>
      </c>
      <c r="B7" s="467" t="s">
        <v>19</v>
      </c>
      <c r="C7" s="468">
        <v>16538</v>
      </c>
      <c r="D7" s="469">
        <v>4883</v>
      </c>
      <c r="E7" s="470">
        <f t="shared" si="10"/>
        <v>21421</v>
      </c>
      <c r="F7" s="468">
        <v>0</v>
      </c>
      <c r="G7" s="469">
        <v>0</v>
      </c>
      <c r="H7" s="470">
        <f t="shared" si="0"/>
        <v>0</v>
      </c>
      <c r="I7" s="468">
        <v>0</v>
      </c>
      <c r="J7" s="469">
        <v>13776</v>
      </c>
      <c r="K7" s="470">
        <f t="shared" si="1"/>
        <v>13776</v>
      </c>
      <c r="L7" s="468">
        <v>15636</v>
      </c>
      <c r="M7" s="469">
        <v>13727</v>
      </c>
      <c r="N7" s="470">
        <f t="shared" si="2"/>
        <v>29363</v>
      </c>
      <c r="O7" s="468">
        <v>5</v>
      </c>
      <c r="P7" s="469">
        <v>6</v>
      </c>
      <c r="Q7" s="470">
        <f t="shared" si="3"/>
        <v>11</v>
      </c>
      <c r="R7" s="468">
        <v>241</v>
      </c>
      <c r="S7" s="469">
        <v>218</v>
      </c>
      <c r="T7" s="470">
        <f t="shared" si="4"/>
        <v>459</v>
      </c>
      <c r="U7" s="468">
        <v>23</v>
      </c>
      <c r="V7" s="469">
        <v>212</v>
      </c>
      <c r="W7" s="470">
        <f t="shared" si="5"/>
        <v>235</v>
      </c>
      <c r="X7" s="468">
        <v>13</v>
      </c>
      <c r="Y7" s="469">
        <v>82</v>
      </c>
      <c r="Z7" s="470">
        <f t="shared" si="6"/>
        <v>95</v>
      </c>
      <c r="AA7" s="468">
        <v>480</v>
      </c>
      <c r="AB7" s="469">
        <v>479</v>
      </c>
      <c r="AC7" s="470">
        <f t="shared" si="7"/>
        <v>959</v>
      </c>
      <c r="AD7" s="468">
        <v>0</v>
      </c>
      <c r="AE7" s="469">
        <v>4</v>
      </c>
      <c r="AF7" s="470">
        <f t="shared" si="8"/>
        <v>4</v>
      </c>
      <c r="AG7" s="468">
        <v>27</v>
      </c>
      <c r="AH7" s="469">
        <v>33</v>
      </c>
      <c r="AI7" s="470">
        <f t="shared" si="9"/>
        <v>60</v>
      </c>
    </row>
    <row r="8" spans="1:36" x14ac:dyDescent="0.35">
      <c r="A8" s="466" t="s">
        <v>255</v>
      </c>
      <c r="B8" s="467" t="s">
        <v>23</v>
      </c>
      <c r="C8" s="468">
        <v>17006</v>
      </c>
      <c r="D8" s="469">
        <v>4987</v>
      </c>
      <c r="E8" s="470">
        <f t="shared" si="10"/>
        <v>21993</v>
      </c>
      <c r="F8" s="468">
        <v>1</v>
      </c>
      <c r="G8" s="469">
        <v>0</v>
      </c>
      <c r="H8" s="470">
        <f t="shared" si="0"/>
        <v>1</v>
      </c>
      <c r="I8" s="468">
        <v>0</v>
      </c>
      <c r="J8" s="469">
        <v>13807</v>
      </c>
      <c r="K8" s="470">
        <f t="shared" si="1"/>
        <v>13807</v>
      </c>
      <c r="L8" s="468">
        <v>15622</v>
      </c>
      <c r="M8" s="469">
        <v>13592</v>
      </c>
      <c r="N8" s="470">
        <f t="shared" si="2"/>
        <v>29214</v>
      </c>
      <c r="O8" s="468">
        <v>9</v>
      </c>
      <c r="P8" s="469">
        <v>8</v>
      </c>
      <c r="Q8" s="470">
        <f t="shared" si="3"/>
        <v>17</v>
      </c>
      <c r="R8" s="468">
        <v>221</v>
      </c>
      <c r="S8" s="469">
        <v>163</v>
      </c>
      <c r="T8" s="470">
        <f t="shared" si="4"/>
        <v>384</v>
      </c>
      <c r="U8" s="468">
        <v>18</v>
      </c>
      <c r="V8" s="469">
        <v>152</v>
      </c>
      <c r="W8" s="470">
        <f t="shared" si="5"/>
        <v>170</v>
      </c>
      <c r="X8" s="468">
        <v>6</v>
      </c>
      <c r="Y8" s="469">
        <v>66</v>
      </c>
      <c r="Z8" s="470">
        <f t="shared" si="6"/>
        <v>72</v>
      </c>
      <c r="AA8" s="468">
        <v>468</v>
      </c>
      <c r="AB8" s="469">
        <v>488</v>
      </c>
      <c r="AC8" s="470">
        <f t="shared" si="7"/>
        <v>956</v>
      </c>
      <c r="AD8" s="468">
        <v>0</v>
      </c>
      <c r="AE8" s="469">
        <v>4</v>
      </c>
      <c r="AF8" s="470">
        <f t="shared" si="8"/>
        <v>4</v>
      </c>
      <c r="AG8" s="468">
        <v>69</v>
      </c>
      <c r="AH8" s="469">
        <v>72</v>
      </c>
      <c r="AI8" s="470">
        <f t="shared" si="9"/>
        <v>141</v>
      </c>
    </row>
    <row r="9" spans="1:36" x14ac:dyDescent="0.35">
      <c r="A9" s="466" t="s">
        <v>256</v>
      </c>
      <c r="B9" s="467" t="s">
        <v>25</v>
      </c>
      <c r="C9" s="468">
        <v>19312</v>
      </c>
      <c r="D9" s="469">
        <v>5325</v>
      </c>
      <c r="E9" s="470">
        <f t="shared" si="10"/>
        <v>24637</v>
      </c>
      <c r="F9" s="468">
        <v>0</v>
      </c>
      <c r="G9" s="469">
        <v>0</v>
      </c>
      <c r="H9" s="470">
        <f t="shared" si="0"/>
        <v>0</v>
      </c>
      <c r="I9" s="468">
        <v>0</v>
      </c>
      <c r="J9" s="469">
        <v>16340</v>
      </c>
      <c r="K9" s="470">
        <f t="shared" si="1"/>
        <v>16340</v>
      </c>
      <c r="L9" s="468">
        <v>17790</v>
      </c>
      <c r="M9" s="469">
        <v>15790</v>
      </c>
      <c r="N9" s="470">
        <f t="shared" si="2"/>
        <v>33580</v>
      </c>
      <c r="O9" s="468">
        <v>3</v>
      </c>
      <c r="P9" s="469">
        <v>3</v>
      </c>
      <c r="Q9" s="470">
        <f t="shared" si="3"/>
        <v>6</v>
      </c>
      <c r="R9" s="468">
        <v>228</v>
      </c>
      <c r="S9" s="469">
        <v>238</v>
      </c>
      <c r="T9" s="470">
        <f t="shared" si="4"/>
        <v>466</v>
      </c>
      <c r="U9" s="468">
        <v>25</v>
      </c>
      <c r="V9" s="469">
        <v>225</v>
      </c>
      <c r="W9" s="470">
        <f t="shared" si="5"/>
        <v>250</v>
      </c>
      <c r="X9" s="468">
        <v>17</v>
      </c>
      <c r="Y9" s="469">
        <v>86</v>
      </c>
      <c r="Z9" s="470">
        <f t="shared" si="6"/>
        <v>103</v>
      </c>
      <c r="AA9" s="468">
        <v>511</v>
      </c>
      <c r="AB9" s="469">
        <v>527</v>
      </c>
      <c r="AC9" s="470">
        <f t="shared" si="7"/>
        <v>1038</v>
      </c>
      <c r="AD9" s="468">
        <v>0</v>
      </c>
      <c r="AE9" s="469">
        <v>2</v>
      </c>
      <c r="AF9" s="470">
        <f t="shared" si="8"/>
        <v>2</v>
      </c>
      <c r="AG9" s="468">
        <v>36</v>
      </c>
      <c r="AH9" s="469">
        <v>60</v>
      </c>
      <c r="AI9" s="470">
        <f t="shared" si="9"/>
        <v>96</v>
      </c>
    </row>
    <row r="10" spans="1:36" ht="15" thickBot="1" x14ac:dyDescent="0.4">
      <c r="A10" s="471" t="s">
        <v>257</v>
      </c>
      <c r="B10" s="472" t="s">
        <v>27</v>
      </c>
      <c r="C10" s="473">
        <v>16740</v>
      </c>
      <c r="D10" s="474">
        <v>4991</v>
      </c>
      <c r="E10" s="475">
        <f t="shared" si="10"/>
        <v>21731</v>
      </c>
      <c r="F10" s="473">
        <v>0</v>
      </c>
      <c r="G10" s="474">
        <v>0</v>
      </c>
      <c r="H10" s="475">
        <f t="shared" si="0"/>
        <v>0</v>
      </c>
      <c r="I10" s="473">
        <v>0</v>
      </c>
      <c r="J10" s="474">
        <v>14116</v>
      </c>
      <c r="K10" s="475">
        <f t="shared" si="1"/>
        <v>14116</v>
      </c>
      <c r="L10" s="473">
        <v>15434</v>
      </c>
      <c r="M10" s="474">
        <v>13567</v>
      </c>
      <c r="N10" s="475">
        <f t="shared" si="2"/>
        <v>29001</v>
      </c>
      <c r="O10" s="473">
        <v>5</v>
      </c>
      <c r="P10" s="474">
        <v>1</v>
      </c>
      <c r="Q10" s="475">
        <f t="shared" si="3"/>
        <v>6</v>
      </c>
      <c r="R10" s="473">
        <v>247</v>
      </c>
      <c r="S10" s="474">
        <v>242</v>
      </c>
      <c r="T10" s="475">
        <f t="shared" si="4"/>
        <v>489</v>
      </c>
      <c r="U10" s="473">
        <v>26</v>
      </c>
      <c r="V10" s="474">
        <v>196</v>
      </c>
      <c r="W10" s="475">
        <f t="shared" si="5"/>
        <v>222</v>
      </c>
      <c r="X10" s="473">
        <v>7</v>
      </c>
      <c r="Y10" s="474">
        <v>65</v>
      </c>
      <c r="Z10" s="475">
        <f t="shared" si="6"/>
        <v>72</v>
      </c>
      <c r="AA10" s="473">
        <v>473</v>
      </c>
      <c r="AB10" s="474">
        <v>477</v>
      </c>
      <c r="AC10" s="475">
        <f t="shared" si="7"/>
        <v>950</v>
      </c>
      <c r="AD10" s="473">
        <v>0</v>
      </c>
      <c r="AE10" s="474">
        <v>0</v>
      </c>
      <c r="AF10" s="475">
        <f t="shared" si="8"/>
        <v>0</v>
      </c>
      <c r="AG10" s="473">
        <v>33</v>
      </c>
      <c r="AH10" s="474">
        <v>31</v>
      </c>
      <c r="AI10" s="475">
        <f t="shared" si="9"/>
        <v>64</v>
      </c>
    </row>
    <row r="11" spans="1:36" x14ac:dyDescent="0.35">
      <c r="A11" s="476" t="s">
        <v>258</v>
      </c>
      <c r="B11" s="477" t="s">
        <v>34</v>
      </c>
      <c r="C11" s="478">
        <v>68898</v>
      </c>
      <c r="D11" s="479">
        <v>19794</v>
      </c>
      <c r="E11" s="480">
        <f t="shared" si="10"/>
        <v>88692</v>
      </c>
      <c r="F11" s="478">
        <v>0</v>
      </c>
      <c r="G11" s="479">
        <v>0</v>
      </c>
      <c r="H11" s="480">
        <f t="shared" si="0"/>
        <v>0</v>
      </c>
      <c r="I11" s="478">
        <v>0</v>
      </c>
      <c r="J11" s="479">
        <v>57461</v>
      </c>
      <c r="K11" s="480">
        <f t="shared" si="1"/>
        <v>57461</v>
      </c>
      <c r="L11" s="478">
        <v>64203</v>
      </c>
      <c r="M11" s="479">
        <v>55843</v>
      </c>
      <c r="N11" s="480">
        <f t="shared" si="2"/>
        <v>120046</v>
      </c>
      <c r="O11" s="478">
        <v>12</v>
      </c>
      <c r="P11" s="479">
        <v>9</v>
      </c>
      <c r="Q11" s="480">
        <f t="shared" si="3"/>
        <v>21</v>
      </c>
      <c r="R11" s="478">
        <v>777</v>
      </c>
      <c r="S11" s="479">
        <v>636</v>
      </c>
      <c r="T11" s="480">
        <f t="shared" si="4"/>
        <v>1413</v>
      </c>
      <c r="U11" s="478">
        <v>65</v>
      </c>
      <c r="V11" s="479">
        <v>700</v>
      </c>
      <c r="W11" s="480">
        <f t="shared" si="5"/>
        <v>765</v>
      </c>
      <c r="X11" s="478">
        <v>29</v>
      </c>
      <c r="Y11" s="479">
        <v>244</v>
      </c>
      <c r="Z11" s="480">
        <f t="shared" si="6"/>
        <v>273</v>
      </c>
      <c r="AA11" s="478">
        <v>1723</v>
      </c>
      <c r="AB11" s="479">
        <v>1634</v>
      </c>
      <c r="AC11" s="480">
        <f t="shared" si="7"/>
        <v>3357</v>
      </c>
      <c r="AD11" s="478">
        <v>1</v>
      </c>
      <c r="AE11" s="479">
        <v>9</v>
      </c>
      <c r="AF11" s="480">
        <f t="shared" si="8"/>
        <v>10</v>
      </c>
      <c r="AG11" s="478">
        <v>121</v>
      </c>
      <c r="AH11" s="479">
        <v>97</v>
      </c>
      <c r="AI11" s="480">
        <f t="shared" si="9"/>
        <v>218</v>
      </c>
    </row>
    <row r="12" spans="1:36" x14ac:dyDescent="0.35">
      <c r="A12" s="481" t="s">
        <v>259</v>
      </c>
      <c r="B12" s="482" t="s">
        <v>30</v>
      </c>
      <c r="C12" s="483">
        <v>16498</v>
      </c>
      <c r="D12" s="484">
        <v>4710</v>
      </c>
      <c r="E12" s="485">
        <f t="shared" si="10"/>
        <v>21208</v>
      </c>
      <c r="F12" s="483">
        <v>0</v>
      </c>
      <c r="G12" s="484">
        <v>0</v>
      </c>
      <c r="H12" s="485">
        <f t="shared" si="0"/>
        <v>0</v>
      </c>
      <c r="I12" s="483">
        <v>0</v>
      </c>
      <c r="J12" s="484">
        <v>13843</v>
      </c>
      <c r="K12" s="485">
        <f t="shared" si="1"/>
        <v>13843</v>
      </c>
      <c r="L12" s="483">
        <v>15696</v>
      </c>
      <c r="M12" s="484">
        <v>13364</v>
      </c>
      <c r="N12" s="485">
        <f t="shared" si="2"/>
        <v>29060</v>
      </c>
      <c r="O12" s="483">
        <v>5</v>
      </c>
      <c r="P12" s="484">
        <v>2</v>
      </c>
      <c r="Q12" s="485">
        <f t="shared" si="3"/>
        <v>7</v>
      </c>
      <c r="R12" s="483">
        <v>172</v>
      </c>
      <c r="S12" s="484">
        <v>145</v>
      </c>
      <c r="T12" s="485">
        <f t="shared" si="4"/>
        <v>317</v>
      </c>
      <c r="U12" s="483">
        <v>12</v>
      </c>
      <c r="V12" s="484">
        <v>161</v>
      </c>
      <c r="W12" s="485">
        <f t="shared" si="5"/>
        <v>173</v>
      </c>
      <c r="X12" s="483">
        <v>3</v>
      </c>
      <c r="Y12" s="484">
        <v>54</v>
      </c>
      <c r="Z12" s="485">
        <f t="shared" si="6"/>
        <v>57</v>
      </c>
      <c r="AA12" s="483">
        <v>419</v>
      </c>
      <c r="AB12" s="484">
        <v>388</v>
      </c>
      <c r="AC12" s="485">
        <f t="shared" si="7"/>
        <v>807</v>
      </c>
      <c r="AD12" s="483">
        <v>0</v>
      </c>
      <c r="AE12" s="484">
        <v>0</v>
      </c>
      <c r="AF12" s="485">
        <f t="shared" si="8"/>
        <v>0</v>
      </c>
      <c r="AG12" s="483">
        <v>25</v>
      </c>
      <c r="AH12" s="484">
        <v>19</v>
      </c>
      <c r="AI12" s="485">
        <f t="shared" si="9"/>
        <v>44</v>
      </c>
    </row>
    <row r="13" spans="1:36" x14ac:dyDescent="0.35">
      <c r="A13" s="481" t="s">
        <v>260</v>
      </c>
      <c r="B13" s="482" t="s">
        <v>33</v>
      </c>
      <c r="C13" s="483">
        <v>12620</v>
      </c>
      <c r="D13" s="484">
        <v>3595</v>
      </c>
      <c r="E13" s="485">
        <f t="shared" si="10"/>
        <v>16215</v>
      </c>
      <c r="F13" s="483">
        <v>0</v>
      </c>
      <c r="G13" s="484">
        <v>0</v>
      </c>
      <c r="H13" s="485">
        <f t="shared" si="0"/>
        <v>0</v>
      </c>
      <c r="I13" s="483">
        <v>0</v>
      </c>
      <c r="J13" s="484">
        <v>10397</v>
      </c>
      <c r="K13" s="485">
        <f t="shared" si="1"/>
        <v>10397</v>
      </c>
      <c r="L13" s="483">
        <v>11790</v>
      </c>
      <c r="M13" s="484">
        <v>10417</v>
      </c>
      <c r="N13" s="485">
        <f t="shared" si="2"/>
        <v>22207</v>
      </c>
      <c r="O13" s="483">
        <v>0</v>
      </c>
      <c r="P13" s="484">
        <v>1</v>
      </c>
      <c r="Q13" s="485">
        <f t="shared" si="3"/>
        <v>1</v>
      </c>
      <c r="R13" s="483">
        <v>143</v>
      </c>
      <c r="S13" s="484">
        <v>125</v>
      </c>
      <c r="T13" s="485">
        <f t="shared" si="4"/>
        <v>268</v>
      </c>
      <c r="U13" s="483">
        <v>14</v>
      </c>
      <c r="V13" s="484">
        <v>131</v>
      </c>
      <c r="W13" s="485">
        <f t="shared" si="5"/>
        <v>145</v>
      </c>
      <c r="X13" s="483">
        <v>9</v>
      </c>
      <c r="Y13" s="484">
        <v>47</v>
      </c>
      <c r="Z13" s="485">
        <f t="shared" si="6"/>
        <v>56</v>
      </c>
      <c r="AA13" s="483">
        <v>319</v>
      </c>
      <c r="AB13" s="484">
        <v>279</v>
      </c>
      <c r="AC13" s="485">
        <f t="shared" si="7"/>
        <v>598</v>
      </c>
      <c r="AD13" s="483">
        <v>0</v>
      </c>
      <c r="AE13" s="484">
        <v>1</v>
      </c>
      <c r="AF13" s="485">
        <f t="shared" si="8"/>
        <v>1</v>
      </c>
      <c r="AG13" s="483">
        <v>15</v>
      </c>
      <c r="AH13" s="484">
        <v>16</v>
      </c>
      <c r="AI13" s="485">
        <f t="shared" si="9"/>
        <v>31</v>
      </c>
    </row>
    <row r="14" spans="1:36" x14ac:dyDescent="0.35">
      <c r="A14" s="481" t="s">
        <v>261</v>
      </c>
      <c r="B14" s="482" t="s">
        <v>36</v>
      </c>
      <c r="C14" s="483">
        <v>11730</v>
      </c>
      <c r="D14" s="484">
        <v>3196</v>
      </c>
      <c r="E14" s="485">
        <f t="shared" si="10"/>
        <v>14926</v>
      </c>
      <c r="F14" s="483">
        <v>0</v>
      </c>
      <c r="G14" s="484">
        <v>0</v>
      </c>
      <c r="H14" s="485">
        <f t="shared" si="0"/>
        <v>0</v>
      </c>
      <c r="I14" s="483">
        <v>0</v>
      </c>
      <c r="J14" s="484">
        <v>9906</v>
      </c>
      <c r="K14" s="485">
        <f t="shared" si="1"/>
        <v>9906</v>
      </c>
      <c r="L14" s="483">
        <v>10560</v>
      </c>
      <c r="M14" s="484">
        <v>9175</v>
      </c>
      <c r="N14" s="485">
        <f t="shared" si="2"/>
        <v>19735</v>
      </c>
      <c r="O14" s="483">
        <v>2</v>
      </c>
      <c r="P14" s="484">
        <v>1</v>
      </c>
      <c r="Q14" s="485">
        <f t="shared" si="3"/>
        <v>3</v>
      </c>
      <c r="R14" s="483">
        <v>127</v>
      </c>
      <c r="S14" s="484">
        <v>104</v>
      </c>
      <c r="T14" s="485">
        <f t="shared" si="4"/>
        <v>231</v>
      </c>
      <c r="U14" s="483">
        <v>15</v>
      </c>
      <c r="V14" s="484">
        <v>110</v>
      </c>
      <c r="W14" s="485">
        <f t="shared" si="5"/>
        <v>125</v>
      </c>
      <c r="X14" s="483">
        <v>4</v>
      </c>
      <c r="Y14" s="484">
        <v>38</v>
      </c>
      <c r="Z14" s="485">
        <f t="shared" si="6"/>
        <v>42</v>
      </c>
      <c r="AA14" s="483">
        <v>270</v>
      </c>
      <c r="AB14" s="484">
        <v>238</v>
      </c>
      <c r="AC14" s="485">
        <f t="shared" si="7"/>
        <v>508</v>
      </c>
      <c r="AD14" s="483">
        <v>0</v>
      </c>
      <c r="AE14" s="484">
        <v>2</v>
      </c>
      <c r="AF14" s="485">
        <f t="shared" si="8"/>
        <v>2</v>
      </c>
      <c r="AG14" s="483">
        <v>27</v>
      </c>
      <c r="AH14" s="484">
        <v>17</v>
      </c>
      <c r="AI14" s="485">
        <f t="shared" si="9"/>
        <v>44</v>
      </c>
    </row>
    <row r="15" spans="1:36" x14ac:dyDescent="0.35">
      <c r="A15" s="481" t="s">
        <v>262</v>
      </c>
      <c r="B15" s="482" t="s">
        <v>38</v>
      </c>
      <c r="C15" s="483">
        <v>8982</v>
      </c>
      <c r="D15" s="484">
        <v>2654</v>
      </c>
      <c r="E15" s="485">
        <f t="shared" si="10"/>
        <v>11636</v>
      </c>
      <c r="F15" s="483">
        <v>0</v>
      </c>
      <c r="G15" s="484">
        <v>0</v>
      </c>
      <c r="H15" s="485">
        <f t="shared" si="0"/>
        <v>0</v>
      </c>
      <c r="I15" s="483">
        <v>0</v>
      </c>
      <c r="J15" s="484">
        <v>7520</v>
      </c>
      <c r="K15" s="485">
        <f t="shared" si="1"/>
        <v>7520</v>
      </c>
      <c r="L15" s="483">
        <v>8397</v>
      </c>
      <c r="M15" s="484">
        <v>7312</v>
      </c>
      <c r="N15" s="485">
        <f t="shared" si="2"/>
        <v>15709</v>
      </c>
      <c r="O15" s="483">
        <v>1</v>
      </c>
      <c r="P15" s="484">
        <v>2</v>
      </c>
      <c r="Q15" s="485">
        <f t="shared" si="3"/>
        <v>3</v>
      </c>
      <c r="R15" s="483">
        <v>100</v>
      </c>
      <c r="S15" s="484">
        <v>76</v>
      </c>
      <c r="T15" s="485">
        <f t="shared" si="4"/>
        <v>176</v>
      </c>
      <c r="U15" s="483">
        <v>5</v>
      </c>
      <c r="V15" s="484">
        <v>110</v>
      </c>
      <c r="W15" s="485">
        <f t="shared" si="5"/>
        <v>115</v>
      </c>
      <c r="X15" s="483">
        <v>3</v>
      </c>
      <c r="Y15" s="484">
        <v>38</v>
      </c>
      <c r="Z15" s="485">
        <f t="shared" si="6"/>
        <v>41</v>
      </c>
      <c r="AA15" s="483">
        <v>217</v>
      </c>
      <c r="AB15" s="484">
        <v>218</v>
      </c>
      <c r="AC15" s="485">
        <f t="shared" si="7"/>
        <v>435</v>
      </c>
      <c r="AD15" s="483">
        <v>0</v>
      </c>
      <c r="AE15" s="484">
        <v>2</v>
      </c>
      <c r="AF15" s="485">
        <f t="shared" si="8"/>
        <v>2</v>
      </c>
      <c r="AG15" s="483">
        <v>14</v>
      </c>
      <c r="AH15" s="484">
        <v>15</v>
      </c>
      <c r="AI15" s="485">
        <f t="shared" si="9"/>
        <v>29</v>
      </c>
    </row>
    <row r="16" spans="1:36" ht="15" thickBot="1" x14ac:dyDescent="0.4">
      <c r="A16" s="486" t="s">
        <v>263</v>
      </c>
      <c r="B16" s="487" t="s">
        <v>40</v>
      </c>
      <c r="C16" s="488">
        <v>19068</v>
      </c>
      <c r="D16" s="489">
        <v>5639</v>
      </c>
      <c r="E16" s="490">
        <f t="shared" si="10"/>
        <v>24707</v>
      </c>
      <c r="F16" s="488">
        <v>0</v>
      </c>
      <c r="G16" s="489">
        <v>0</v>
      </c>
      <c r="H16" s="490">
        <f t="shared" si="0"/>
        <v>0</v>
      </c>
      <c r="I16" s="488">
        <v>0</v>
      </c>
      <c r="J16" s="489">
        <v>15795</v>
      </c>
      <c r="K16" s="490">
        <f t="shared" si="1"/>
        <v>15795</v>
      </c>
      <c r="L16" s="488">
        <v>17760</v>
      </c>
      <c r="M16" s="489">
        <v>15575</v>
      </c>
      <c r="N16" s="490">
        <f t="shared" si="2"/>
        <v>33335</v>
      </c>
      <c r="O16" s="488">
        <v>4</v>
      </c>
      <c r="P16" s="489">
        <v>3</v>
      </c>
      <c r="Q16" s="490">
        <f t="shared" si="3"/>
        <v>7</v>
      </c>
      <c r="R16" s="488">
        <v>235</v>
      </c>
      <c r="S16" s="489">
        <v>186</v>
      </c>
      <c r="T16" s="490">
        <f t="shared" si="4"/>
        <v>421</v>
      </c>
      <c r="U16" s="488">
        <v>19</v>
      </c>
      <c r="V16" s="489">
        <v>188</v>
      </c>
      <c r="W16" s="490">
        <f t="shared" si="5"/>
        <v>207</v>
      </c>
      <c r="X16" s="488">
        <v>10</v>
      </c>
      <c r="Y16" s="489">
        <v>67</v>
      </c>
      <c r="Z16" s="490">
        <f t="shared" si="6"/>
        <v>77</v>
      </c>
      <c r="AA16" s="488">
        <v>498</v>
      </c>
      <c r="AB16" s="489">
        <v>511</v>
      </c>
      <c r="AC16" s="490">
        <f t="shared" si="7"/>
        <v>1009</v>
      </c>
      <c r="AD16" s="488">
        <v>1</v>
      </c>
      <c r="AE16" s="489">
        <v>4</v>
      </c>
      <c r="AF16" s="490">
        <f t="shared" si="8"/>
        <v>5</v>
      </c>
      <c r="AG16" s="488">
        <v>40</v>
      </c>
      <c r="AH16" s="489">
        <v>30</v>
      </c>
      <c r="AI16" s="490">
        <f t="shared" si="9"/>
        <v>70</v>
      </c>
    </row>
    <row r="17" spans="1:35" x14ac:dyDescent="0.35">
      <c r="A17" s="461" t="s">
        <v>264</v>
      </c>
      <c r="B17" s="462" t="s">
        <v>47</v>
      </c>
      <c r="C17" s="463">
        <v>87703</v>
      </c>
      <c r="D17" s="464">
        <v>21335</v>
      </c>
      <c r="E17" s="465">
        <f t="shared" si="10"/>
        <v>109038</v>
      </c>
      <c r="F17" s="463">
        <v>1</v>
      </c>
      <c r="G17" s="464">
        <v>0</v>
      </c>
      <c r="H17" s="465">
        <f t="shared" si="0"/>
        <v>1</v>
      </c>
      <c r="I17" s="463">
        <v>0</v>
      </c>
      <c r="J17" s="464">
        <v>75790</v>
      </c>
      <c r="K17" s="465">
        <f t="shared" si="1"/>
        <v>75790</v>
      </c>
      <c r="L17" s="463">
        <v>83596</v>
      </c>
      <c r="M17" s="464">
        <v>72800</v>
      </c>
      <c r="N17" s="465">
        <f t="shared" si="2"/>
        <v>156396</v>
      </c>
      <c r="O17" s="463">
        <v>16</v>
      </c>
      <c r="P17" s="464">
        <v>11</v>
      </c>
      <c r="Q17" s="465">
        <f t="shared" si="3"/>
        <v>27</v>
      </c>
      <c r="R17" s="463">
        <v>926</v>
      </c>
      <c r="S17" s="464">
        <v>776</v>
      </c>
      <c r="T17" s="465">
        <f t="shared" si="4"/>
        <v>1702</v>
      </c>
      <c r="U17" s="463">
        <v>82</v>
      </c>
      <c r="V17" s="464">
        <v>852</v>
      </c>
      <c r="W17" s="465">
        <f t="shared" si="5"/>
        <v>934</v>
      </c>
      <c r="X17" s="463">
        <v>48</v>
      </c>
      <c r="Y17" s="464">
        <v>401</v>
      </c>
      <c r="Z17" s="465">
        <f t="shared" si="6"/>
        <v>449</v>
      </c>
      <c r="AA17" s="463">
        <v>1996</v>
      </c>
      <c r="AB17" s="464">
        <v>1923</v>
      </c>
      <c r="AC17" s="465">
        <f t="shared" si="7"/>
        <v>3919</v>
      </c>
      <c r="AD17" s="463">
        <v>0</v>
      </c>
      <c r="AE17" s="464">
        <v>9</v>
      </c>
      <c r="AF17" s="465">
        <f t="shared" si="8"/>
        <v>9</v>
      </c>
      <c r="AG17" s="463">
        <v>145</v>
      </c>
      <c r="AH17" s="464">
        <v>212</v>
      </c>
      <c r="AI17" s="465">
        <f t="shared" si="9"/>
        <v>357</v>
      </c>
    </row>
    <row r="18" spans="1:35" x14ac:dyDescent="0.35">
      <c r="A18" s="466" t="s">
        <v>265</v>
      </c>
      <c r="B18" s="467" t="s">
        <v>43</v>
      </c>
      <c r="C18" s="468">
        <v>24705</v>
      </c>
      <c r="D18" s="469">
        <v>5804</v>
      </c>
      <c r="E18" s="470">
        <f t="shared" si="10"/>
        <v>30509</v>
      </c>
      <c r="F18" s="468">
        <v>0</v>
      </c>
      <c r="G18" s="469">
        <v>0</v>
      </c>
      <c r="H18" s="470">
        <f t="shared" si="0"/>
        <v>0</v>
      </c>
      <c r="I18" s="468">
        <v>0</v>
      </c>
      <c r="J18" s="469">
        <v>21450</v>
      </c>
      <c r="K18" s="470">
        <f t="shared" si="1"/>
        <v>21450</v>
      </c>
      <c r="L18" s="468">
        <v>23449</v>
      </c>
      <c r="M18" s="469">
        <v>20238</v>
      </c>
      <c r="N18" s="470">
        <f t="shared" si="2"/>
        <v>43687</v>
      </c>
      <c r="O18" s="468">
        <v>3</v>
      </c>
      <c r="P18" s="469">
        <v>3</v>
      </c>
      <c r="Q18" s="470">
        <f t="shared" si="3"/>
        <v>6</v>
      </c>
      <c r="R18" s="468">
        <v>250</v>
      </c>
      <c r="S18" s="469">
        <v>216</v>
      </c>
      <c r="T18" s="470">
        <f t="shared" si="4"/>
        <v>466</v>
      </c>
      <c r="U18" s="468">
        <v>24</v>
      </c>
      <c r="V18" s="469">
        <v>193</v>
      </c>
      <c r="W18" s="470">
        <f t="shared" si="5"/>
        <v>217</v>
      </c>
      <c r="X18" s="468">
        <v>10</v>
      </c>
      <c r="Y18" s="469">
        <v>97</v>
      </c>
      <c r="Z18" s="470">
        <f t="shared" si="6"/>
        <v>107</v>
      </c>
      <c r="AA18" s="468">
        <v>521</v>
      </c>
      <c r="AB18" s="469">
        <v>499</v>
      </c>
      <c r="AC18" s="470">
        <f t="shared" si="7"/>
        <v>1020</v>
      </c>
      <c r="AD18" s="468">
        <v>0</v>
      </c>
      <c r="AE18" s="469">
        <v>2</v>
      </c>
      <c r="AF18" s="470">
        <f t="shared" si="8"/>
        <v>2</v>
      </c>
      <c r="AG18" s="468">
        <v>33</v>
      </c>
      <c r="AH18" s="469">
        <v>47</v>
      </c>
      <c r="AI18" s="470">
        <f t="shared" si="9"/>
        <v>80</v>
      </c>
    </row>
    <row r="19" spans="1:35" x14ac:dyDescent="0.35">
      <c r="A19" s="466" t="s">
        <v>266</v>
      </c>
      <c r="B19" s="467" t="s">
        <v>45</v>
      </c>
      <c r="C19" s="468">
        <v>10207</v>
      </c>
      <c r="D19" s="469">
        <v>2259</v>
      </c>
      <c r="E19" s="470">
        <f t="shared" si="10"/>
        <v>12466</v>
      </c>
      <c r="F19" s="468">
        <v>0</v>
      </c>
      <c r="G19" s="469">
        <v>0</v>
      </c>
      <c r="H19" s="470">
        <f t="shared" si="0"/>
        <v>0</v>
      </c>
      <c r="I19" s="468">
        <v>0</v>
      </c>
      <c r="J19" s="469">
        <v>8964</v>
      </c>
      <c r="K19" s="470">
        <f t="shared" si="1"/>
        <v>8964</v>
      </c>
      <c r="L19" s="468">
        <v>9900</v>
      </c>
      <c r="M19" s="469">
        <v>8746</v>
      </c>
      <c r="N19" s="470">
        <f t="shared" si="2"/>
        <v>18646</v>
      </c>
      <c r="O19" s="468">
        <v>3</v>
      </c>
      <c r="P19" s="469">
        <v>0</v>
      </c>
      <c r="Q19" s="470">
        <f t="shared" si="3"/>
        <v>3</v>
      </c>
      <c r="R19" s="468">
        <v>103</v>
      </c>
      <c r="S19" s="469">
        <v>69</v>
      </c>
      <c r="T19" s="470">
        <f t="shared" si="4"/>
        <v>172</v>
      </c>
      <c r="U19" s="468">
        <v>11</v>
      </c>
      <c r="V19" s="469">
        <v>87</v>
      </c>
      <c r="W19" s="470">
        <f t="shared" si="5"/>
        <v>98</v>
      </c>
      <c r="X19" s="468">
        <v>4</v>
      </c>
      <c r="Y19" s="469">
        <v>42</v>
      </c>
      <c r="Z19" s="470">
        <f t="shared" si="6"/>
        <v>46</v>
      </c>
      <c r="AA19" s="468">
        <v>196</v>
      </c>
      <c r="AB19" s="469">
        <v>185</v>
      </c>
      <c r="AC19" s="470">
        <f t="shared" si="7"/>
        <v>381</v>
      </c>
      <c r="AD19" s="468">
        <v>0</v>
      </c>
      <c r="AE19" s="469">
        <v>0</v>
      </c>
      <c r="AF19" s="470">
        <f t="shared" si="8"/>
        <v>0</v>
      </c>
      <c r="AG19" s="468">
        <v>10</v>
      </c>
      <c r="AH19" s="469">
        <v>22</v>
      </c>
      <c r="AI19" s="470">
        <f t="shared" si="9"/>
        <v>32</v>
      </c>
    </row>
    <row r="20" spans="1:35" x14ac:dyDescent="0.35">
      <c r="A20" s="466" t="s">
        <v>267</v>
      </c>
      <c r="B20" s="467" t="s">
        <v>48</v>
      </c>
      <c r="C20" s="468">
        <v>7301</v>
      </c>
      <c r="D20" s="469">
        <v>1467</v>
      </c>
      <c r="E20" s="470">
        <f t="shared" si="10"/>
        <v>8768</v>
      </c>
      <c r="F20" s="468">
        <v>0</v>
      </c>
      <c r="G20" s="469">
        <v>0</v>
      </c>
      <c r="H20" s="470">
        <f t="shared" si="0"/>
        <v>0</v>
      </c>
      <c r="I20" s="468">
        <v>0</v>
      </c>
      <c r="J20" s="469">
        <v>6430</v>
      </c>
      <c r="K20" s="470">
        <f t="shared" si="1"/>
        <v>6430</v>
      </c>
      <c r="L20" s="468">
        <v>7158</v>
      </c>
      <c r="M20" s="469">
        <v>6165</v>
      </c>
      <c r="N20" s="470">
        <f t="shared" si="2"/>
        <v>13323</v>
      </c>
      <c r="O20" s="468">
        <v>2</v>
      </c>
      <c r="P20" s="469">
        <v>1</v>
      </c>
      <c r="Q20" s="470">
        <f t="shared" si="3"/>
        <v>3</v>
      </c>
      <c r="R20" s="468">
        <v>32</v>
      </c>
      <c r="S20" s="469">
        <v>36</v>
      </c>
      <c r="T20" s="470">
        <f t="shared" si="4"/>
        <v>68</v>
      </c>
      <c r="U20" s="468">
        <v>11</v>
      </c>
      <c r="V20" s="469">
        <v>79</v>
      </c>
      <c r="W20" s="470">
        <f t="shared" si="5"/>
        <v>90</v>
      </c>
      <c r="X20" s="468">
        <v>8</v>
      </c>
      <c r="Y20" s="469">
        <v>41</v>
      </c>
      <c r="Z20" s="470">
        <f t="shared" si="6"/>
        <v>49</v>
      </c>
      <c r="AA20" s="468">
        <v>165</v>
      </c>
      <c r="AB20" s="469">
        <v>170</v>
      </c>
      <c r="AC20" s="470">
        <f t="shared" si="7"/>
        <v>335</v>
      </c>
      <c r="AD20" s="468">
        <v>0</v>
      </c>
      <c r="AE20" s="469">
        <v>1</v>
      </c>
      <c r="AF20" s="470">
        <f t="shared" si="8"/>
        <v>1</v>
      </c>
      <c r="AG20" s="468">
        <v>6</v>
      </c>
      <c r="AH20" s="469">
        <v>18</v>
      </c>
      <c r="AI20" s="470">
        <f t="shared" si="9"/>
        <v>24</v>
      </c>
    </row>
    <row r="21" spans="1:35" x14ac:dyDescent="0.35">
      <c r="A21" s="466" t="s">
        <v>268</v>
      </c>
      <c r="B21" s="467" t="s">
        <v>50</v>
      </c>
      <c r="C21" s="468">
        <v>18057</v>
      </c>
      <c r="D21" s="469">
        <v>4630</v>
      </c>
      <c r="E21" s="470">
        <f t="shared" si="10"/>
        <v>22687</v>
      </c>
      <c r="F21" s="468">
        <v>1</v>
      </c>
      <c r="G21" s="469">
        <v>0</v>
      </c>
      <c r="H21" s="470">
        <f t="shared" si="0"/>
        <v>1</v>
      </c>
      <c r="I21" s="468">
        <v>0</v>
      </c>
      <c r="J21" s="469">
        <v>15552</v>
      </c>
      <c r="K21" s="470">
        <f t="shared" si="1"/>
        <v>15552</v>
      </c>
      <c r="L21" s="468">
        <v>17268</v>
      </c>
      <c r="M21" s="469">
        <v>14676</v>
      </c>
      <c r="N21" s="470">
        <f t="shared" si="2"/>
        <v>31944</v>
      </c>
      <c r="O21" s="468">
        <v>3</v>
      </c>
      <c r="P21" s="469">
        <v>2</v>
      </c>
      <c r="Q21" s="470">
        <f t="shared" si="3"/>
        <v>5</v>
      </c>
      <c r="R21" s="468">
        <v>202</v>
      </c>
      <c r="S21" s="469">
        <v>158</v>
      </c>
      <c r="T21" s="470">
        <f t="shared" si="4"/>
        <v>360</v>
      </c>
      <c r="U21" s="468">
        <v>17</v>
      </c>
      <c r="V21" s="469">
        <v>188</v>
      </c>
      <c r="W21" s="470">
        <f t="shared" si="5"/>
        <v>205</v>
      </c>
      <c r="X21" s="468">
        <v>12</v>
      </c>
      <c r="Y21" s="469">
        <v>80</v>
      </c>
      <c r="Z21" s="470">
        <f t="shared" si="6"/>
        <v>92</v>
      </c>
      <c r="AA21" s="468">
        <v>452</v>
      </c>
      <c r="AB21" s="469">
        <v>445</v>
      </c>
      <c r="AC21" s="470">
        <f t="shared" si="7"/>
        <v>897</v>
      </c>
      <c r="AD21" s="468">
        <v>0</v>
      </c>
      <c r="AE21" s="469">
        <v>1</v>
      </c>
      <c r="AF21" s="470">
        <f t="shared" si="8"/>
        <v>1</v>
      </c>
      <c r="AG21" s="468">
        <v>37</v>
      </c>
      <c r="AH21" s="469">
        <v>54</v>
      </c>
      <c r="AI21" s="470">
        <f t="shared" si="9"/>
        <v>91</v>
      </c>
    </row>
    <row r="22" spans="1:35" x14ac:dyDescent="0.35">
      <c r="A22" s="466" t="s">
        <v>269</v>
      </c>
      <c r="B22" s="467" t="s">
        <v>52</v>
      </c>
      <c r="C22" s="468">
        <v>6376</v>
      </c>
      <c r="D22" s="469">
        <v>1673</v>
      </c>
      <c r="E22" s="470">
        <f t="shared" si="10"/>
        <v>8049</v>
      </c>
      <c r="F22" s="468">
        <v>0</v>
      </c>
      <c r="G22" s="469">
        <v>0</v>
      </c>
      <c r="H22" s="470">
        <f t="shared" si="0"/>
        <v>0</v>
      </c>
      <c r="I22" s="468">
        <v>0</v>
      </c>
      <c r="J22" s="469">
        <v>5325</v>
      </c>
      <c r="K22" s="470">
        <f t="shared" si="1"/>
        <v>5325</v>
      </c>
      <c r="L22" s="468">
        <v>5969</v>
      </c>
      <c r="M22" s="469">
        <v>5095</v>
      </c>
      <c r="N22" s="470">
        <f t="shared" si="2"/>
        <v>11064</v>
      </c>
      <c r="O22" s="468">
        <v>2</v>
      </c>
      <c r="P22" s="469">
        <v>0</v>
      </c>
      <c r="Q22" s="470">
        <f t="shared" si="3"/>
        <v>2</v>
      </c>
      <c r="R22" s="468">
        <v>80</v>
      </c>
      <c r="S22" s="469">
        <v>65</v>
      </c>
      <c r="T22" s="470">
        <f t="shared" si="4"/>
        <v>145</v>
      </c>
      <c r="U22" s="468">
        <v>6</v>
      </c>
      <c r="V22" s="469">
        <v>80</v>
      </c>
      <c r="W22" s="470">
        <f t="shared" si="5"/>
        <v>86</v>
      </c>
      <c r="X22" s="468">
        <v>6</v>
      </c>
      <c r="Y22" s="469">
        <v>46</v>
      </c>
      <c r="Z22" s="470">
        <f t="shared" si="6"/>
        <v>52</v>
      </c>
      <c r="AA22" s="468">
        <v>135</v>
      </c>
      <c r="AB22" s="469">
        <v>145</v>
      </c>
      <c r="AC22" s="470">
        <f t="shared" si="7"/>
        <v>280</v>
      </c>
      <c r="AD22" s="468">
        <v>0</v>
      </c>
      <c r="AE22" s="469">
        <v>1</v>
      </c>
      <c r="AF22" s="470">
        <f t="shared" si="8"/>
        <v>1</v>
      </c>
      <c r="AG22" s="468">
        <v>22</v>
      </c>
      <c r="AH22" s="469">
        <v>17</v>
      </c>
      <c r="AI22" s="470">
        <f t="shared" si="9"/>
        <v>39</v>
      </c>
    </row>
    <row r="23" spans="1:35" ht="15" thickBot="1" x14ac:dyDescent="0.4">
      <c r="A23" s="471" t="s">
        <v>270</v>
      </c>
      <c r="B23" s="472" t="s">
        <v>54</v>
      </c>
      <c r="C23" s="473">
        <v>21057</v>
      </c>
      <c r="D23" s="474">
        <v>5502</v>
      </c>
      <c r="E23" s="475">
        <f t="shared" si="10"/>
        <v>26559</v>
      </c>
      <c r="F23" s="473">
        <v>0</v>
      </c>
      <c r="G23" s="474">
        <v>0</v>
      </c>
      <c r="H23" s="475">
        <f t="shared" si="0"/>
        <v>0</v>
      </c>
      <c r="I23" s="473">
        <v>0</v>
      </c>
      <c r="J23" s="474">
        <v>18069</v>
      </c>
      <c r="K23" s="475">
        <f t="shared" si="1"/>
        <v>18069</v>
      </c>
      <c r="L23" s="473">
        <v>19852</v>
      </c>
      <c r="M23" s="474">
        <v>17880</v>
      </c>
      <c r="N23" s="475">
        <f t="shared" si="2"/>
        <v>37732</v>
      </c>
      <c r="O23" s="473">
        <v>3</v>
      </c>
      <c r="P23" s="474">
        <v>5</v>
      </c>
      <c r="Q23" s="475">
        <f t="shared" si="3"/>
        <v>8</v>
      </c>
      <c r="R23" s="473">
        <v>259</v>
      </c>
      <c r="S23" s="474">
        <v>232</v>
      </c>
      <c r="T23" s="475">
        <f t="shared" si="4"/>
        <v>491</v>
      </c>
      <c r="U23" s="473">
        <v>13</v>
      </c>
      <c r="V23" s="474">
        <v>225</v>
      </c>
      <c r="W23" s="475">
        <f t="shared" si="5"/>
        <v>238</v>
      </c>
      <c r="X23" s="473">
        <v>8</v>
      </c>
      <c r="Y23" s="474">
        <v>95</v>
      </c>
      <c r="Z23" s="475">
        <f t="shared" si="6"/>
        <v>103</v>
      </c>
      <c r="AA23" s="473">
        <v>527</v>
      </c>
      <c r="AB23" s="474">
        <v>479</v>
      </c>
      <c r="AC23" s="475">
        <f t="shared" si="7"/>
        <v>1006</v>
      </c>
      <c r="AD23" s="473">
        <v>0</v>
      </c>
      <c r="AE23" s="474">
        <v>4</v>
      </c>
      <c r="AF23" s="475">
        <f t="shared" si="8"/>
        <v>4</v>
      </c>
      <c r="AG23" s="473">
        <v>37</v>
      </c>
      <c r="AH23" s="474">
        <v>54</v>
      </c>
      <c r="AI23" s="475">
        <f t="shared" si="9"/>
        <v>91</v>
      </c>
    </row>
    <row r="24" spans="1:35" x14ac:dyDescent="0.35">
      <c r="A24" s="476" t="s">
        <v>271</v>
      </c>
      <c r="B24" s="477" t="s">
        <v>61</v>
      </c>
      <c r="C24" s="478">
        <v>55440</v>
      </c>
      <c r="D24" s="479">
        <v>15792</v>
      </c>
      <c r="E24" s="480">
        <f t="shared" si="10"/>
        <v>71232</v>
      </c>
      <c r="F24" s="478">
        <v>0</v>
      </c>
      <c r="G24" s="479">
        <v>0</v>
      </c>
      <c r="H24" s="480">
        <f t="shared" si="0"/>
        <v>0</v>
      </c>
      <c r="I24" s="478">
        <v>0</v>
      </c>
      <c r="J24" s="479">
        <v>46727</v>
      </c>
      <c r="K24" s="480">
        <f t="shared" si="1"/>
        <v>46727</v>
      </c>
      <c r="L24" s="478">
        <v>50974</v>
      </c>
      <c r="M24" s="479">
        <v>45785</v>
      </c>
      <c r="N24" s="480">
        <f t="shared" si="2"/>
        <v>96759</v>
      </c>
      <c r="O24" s="478">
        <v>24</v>
      </c>
      <c r="P24" s="479">
        <v>24</v>
      </c>
      <c r="Q24" s="480">
        <f t="shared" si="3"/>
        <v>48</v>
      </c>
      <c r="R24" s="478">
        <v>705</v>
      </c>
      <c r="S24" s="479">
        <v>599</v>
      </c>
      <c r="T24" s="480">
        <f t="shared" si="4"/>
        <v>1304</v>
      </c>
      <c r="U24" s="478">
        <v>56</v>
      </c>
      <c r="V24" s="479">
        <v>598</v>
      </c>
      <c r="W24" s="480">
        <f t="shared" si="5"/>
        <v>654</v>
      </c>
      <c r="X24" s="478">
        <v>28</v>
      </c>
      <c r="Y24" s="479">
        <v>234</v>
      </c>
      <c r="Z24" s="480">
        <f t="shared" si="6"/>
        <v>262</v>
      </c>
      <c r="AA24" s="478">
        <v>1576</v>
      </c>
      <c r="AB24" s="479">
        <v>1730</v>
      </c>
      <c r="AC24" s="480">
        <f t="shared" si="7"/>
        <v>3306</v>
      </c>
      <c r="AD24" s="478">
        <v>1</v>
      </c>
      <c r="AE24" s="479">
        <v>22</v>
      </c>
      <c r="AF24" s="480">
        <f t="shared" si="8"/>
        <v>23</v>
      </c>
      <c r="AG24" s="478">
        <v>107</v>
      </c>
      <c r="AH24" s="479">
        <v>122</v>
      </c>
      <c r="AI24" s="480">
        <f t="shared" si="9"/>
        <v>229</v>
      </c>
    </row>
    <row r="25" spans="1:35" x14ac:dyDescent="0.35">
      <c r="A25" s="481" t="s">
        <v>272</v>
      </c>
      <c r="B25" s="482" t="s">
        <v>57</v>
      </c>
      <c r="C25" s="483">
        <v>15334</v>
      </c>
      <c r="D25" s="484">
        <v>4238</v>
      </c>
      <c r="E25" s="485">
        <f t="shared" si="10"/>
        <v>19572</v>
      </c>
      <c r="F25" s="483">
        <v>0</v>
      </c>
      <c r="G25" s="484">
        <v>0</v>
      </c>
      <c r="H25" s="485">
        <f t="shared" si="0"/>
        <v>0</v>
      </c>
      <c r="I25" s="483">
        <v>0</v>
      </c>
      <c r="J25" s="484">
        <v>13081</v>
      </c>
      <c r="K25" s="485">
        <f t="shared" si="1"/>
        <v>13081</v>
      </c>
      <c r="L25" s="483">
        <v>13932</v>
      </c>
      <c r="M25" s="484">
        <v>12705</v>
      </c>
      <c r="N25" s="485">
        <f t="shared" si="2"/>
        <v>26637</v>
      </c>
      <c r="O25" s="483">
        <v>8</v>
      </c>
      <c r="P25" s="484">
        <v>7</v>
      </c>
      <c r="Q25" s="485">
        <f t="shared" si="3"/>
        <v>15</v>
      </c>
      <c r="R25" s="483">
        <v>186</v>
      </c>
      <c r="S25" s="484">
        <v>156</v>
      </c>
      <c r="T25" s="485">
        <f t="shared" si="4"/>
        <v>342</v>
      </c>
      <c r="U25" s="483">
        <v>14</v>
      </c>
      <c r="V25" s="484">
        <v>175</v>
      </c>
      <c r="W25" s="485">
        <f t="shared" si="5"/>
        <v>189</v>
      </c>
      <c r="X25" s="483">
        <v>7</v>
      </c>
      <c r="Y25" s="484">
        <v>63</v>
      </c>
      <c r="Z25" s="485">
        <f t="shared" si="6"/>
        <v>70</v>
      </c>
      <c r="AA25" s="483">
        <v>456</v>
      </c>
      <c r="AB25" s="484">
        <v>521</v>
      </c>
      <c r="AC25" s="485">
        <f t="shared" si="7"/>
        <v>977</v>
      </c>
      <c r="AD25" s="483">
        <v>1</v>
      </c>
      <c r="AE25" s="484">
        <v>7</v>
      </c>
      <c r="AF25" s="485">
        <f t="shared" si="8"/>
        <v>8</v>
      </c>
      <c r="AG25" s="483">
        <v>14</v>
      </c>
      <c r="AH25" s="484">
        <v>27</v>
      </c>
      <c r="AI25" s="485">
        <f t="shared" si="9"/>
        <v>41</v>
      </c>
    </row>
    <row r="26" spans="1:35" x14ac:dyDescent="0.35">
      <c r="A26" s="481" t="s">
        <v>273</v>
      </c>
      <c r="B26" s="482" t="s">
        <v>59</v>
      </c>
      <c r="C26" s="483">
        <v>4462</v>
      </c>
      <c r="D26" s="484">
        <v>1363</v>
      </c>
      <c r="E26" s="485">
        <f t="shared" si="10"/>
        <v>5825</v>
      </c>
      <c r="F26" s="483">
        <v>0</v>
      </c>
      <c r="G26" s="484">
        <v>0</v>
      </c>
      <c r="H26" s="485">
        <f t="shared" si="0"/>
        <v>0</v>
      </c>
      <c r="I26" s="483">
        <v>0</v>
      </c>
      <c r="J26" s="484">
        <v>3624</v>
      </c>
      <c r="K26" s="485">
        <f t="shared" si="1"/>
        <v>3624</v>
      </c>
      <c r="L26" s="483">
        <v>4140</v>
      </c>
      <c r="M26" s="484">
        <v>3690</v>
      </c>
      <c r="N26" s="485">
        <f t="shared" si="2"/>
        <v>7830</v>
      </c>
      <c r="O26" s="483">
        <v>0</v>
      </c>
      <c r="P26" s="484">
        <v>0</v>
      </c>
      <c r="Q26" s="485">
        <f t="shared" si="3"/>
        <v>0</v>
      </c>
      <c r="R26" s="483">
        <v>42</v>
      </c>
      <c r="S26" s="484">
        <v>43</v>
      </c>
      <c r="T26" s="485">
        <f t="shared" si="4"/>
        <v>85</v>
      </c>
      <c r="U26" s="483">
        <v>3</v>
      </c>
      <c r="V26" s="484">
        <v>32</v>
      </c>
      <c r="W26" s="485">
        <f t="shared" si="5"/>
        <v>35</v>
      </c>
      <c r="X26" s="483">
        <v>5</v>
      </c>
      <c r="Y26" s="484">
        <v>14</v>
      </c>
      <c r="Z26" s="485">
        <f t="shared" si="6"/>
        <v>19</v>
      </c>
      <c r="AA26" s="483">
        <v>128</v>
      </c>
      <c r="AB26" s="484">
        <v>90</v>
      </c>
      <c r="AC26" s="485">
        <f t="shared" si="7"/>
        <v>218</v>
      </c>
      <c r="AD26" s="483">
        <v>0</v>
      </c>
      <c r="AE26" s="484">
        <v>0</v>
      </c>
      <c r="AF26" s="485">
        <f t="shared" si="8"/>
        <v>0</v>
      </c>
      <c r="AG26" s="483">
        <v>9</v>
      </c>
      <c r="AH26" s="484">
        <v>9</v>
      </c>
      <c r="AI26" s="485">
        <f t="shared" si="9"/>
        <v>18</v>
      </c>
    </row>
    <row r="27" spans="1:35" x14ac:dyDescent="0.35">
      <c r="A27" s="481" t="s">
        <v>274</v>
      </c>
      <c r="B27" s="482" t="s">
        <v>62</v>
      </c>
      <c r="C27" s="483">
        <v>9572</v>
      </c>
      <c r="D27" s="484">
        <v>2461</v>
      </c>
      <c r="E27" s="485">
        <f t="shared" si="10"/>
        <v>12033</v>
      </c>
      <c r="F27" s="483">
        <v>0</v>
      </c>
      <c r="G27" s="484">
        <v>0</v>
      </c>
      <c r="H27" s="485">
        <f t="shared" si="0"/>
        <v>0</v>
      </c>
      <c r="I27" s="483">
        <v>0</v>
      </c>
      <c r="J27" s="484">
        <v>8224</v>
      </c>
      <c r="K27" s="485">
        <f t="shared" si="1"/>
        <v>8224</v>
      </c>
      <c r="L27" s="483">
        <v>8925</v>
      </c>
      <c r="M27" s="484">
        <v>7846</v>
      </c>
      <c r="N27" s="485">
        <f t="shared" si="2"/>
        <v>16771</v>
      </c>
      <c r="O27" s="483">
        <v>5</v>
      </c>
      <c r="P27" s="484">
        <v>5</v>
      </c>
      <c r="Q27" s="485">
        <f t="shared" si="3"/>
        <v>10</v>
      </c>
      <c r="R27" s="483">
        <v>123</v>
      </c>
      <c r="S27" s="484">
        <v>84</v>
      </c>
      <c r="T27" s="485">
        <f t="shared" si="4"/>
        <v>207</v>
      </c>
      <c r="U27" s="483">
        <v>10</v>
      </c>
      <c r="V27" s="484">
        <v>119</v>
      </c>
      <c r="W27" s="485">
        <f t="shared" si="5"/>
        <v>129</v>
      </c>
      <c r="X27" s="483">
        <v>3</v>
      </c>
      <c r="Y27" s="484">
        <v>43</v>
      </c>
      <c r="Z27" s="485">
        <f t="shared" si="6"/>
        <v>46</v>
      </c>
      <c r="AA27" s="483">
        <v>201</v>
      </c>
      <c r="AB27" s="484">
        <v>265</v>
      </c>
      <c r="AC27" s="485">
        <f t="shared" si="7"/>
        <v>466</v>
      </c>
      <c r="AD27" s="483">
        <v>0</v>
      </c>
      <c r="AE27" s="484">
        <v>3</v>
      </c>
      <c r="AF27" s="485">
        <f t="shared" si="8"/>
        <v>3</v>
      </c>
      <c r="AG27" s="483">
        <v>12</v>
      </c>
      <c r="AH27" s="484">
        <v>19</v>
      </c>
      <c r="AI27" s="485">
        <f t="shared" si="9"/>
        <v>31</v>
      </c>
    </row>
    <row r="28" spans="1:35" x14ac:dyDescent="0.35">
      <c r="A28" s="481" t="s">
        <v>275</v>
      </c>
      <c r="B28" s="482" t="s">
        <v>64</v>
      </c>
      <c r="C28" s="483">
        <v>11454</v>
      </c>
      <c r="D28" s="484">
        <v>3056</v>
      </c>
      <c r="E28" s="485">
        <f t="shared" si="10"/>
        <v>14510</v>
      </c>
      <c r="F28" s="483">
        <v>0</v>
      </c>
      <c r="G28" s="484">
        <v>0</v>
      </c>
      <c r="H28" s="485">
        <f t="shared" si="0"/>
        <v>0</v>
      </c>
      <c r="I28" s="483">
        <v>0</v>
      </c>
      <c r="J28" s="484">
        <v>9765</v>
      </c>
      <c r="K28" s="485">
        <f t="shared" si="1"/>
        <v>9765</v>
      </c>
      <c r="L28" s="483">
        <v>10347</v>
      </c>
      <c r="M28" s="484">
        <v>9445</v>
      </c>
      <c r="N28" s="485">
        <f t="shared" si="2"/>
        <v>19792</v>
      </c>
      <c r="O28" s="483">
        <v>6</v>
      </c>
      <c r="P28" s="484">
        <v>8</v>
      </c>
      <c r="Q28" s="485">
        <f t="shared" si="3"/>
        <v>14</v>
      </c>
      <c r="R28" s="483">
        <v>150</v>
      </c>
      <c r="S28" s="484">
        <v>130</v>
      </c>
      <c r="T28" s="485">
        <f t="shared" si="4"/>
        <v>280</v>
      </c>
      <c r="U28" s="483">
        <v>12</v>
      </c>
      <c r="V28" s="484">
        <v>136</v>
      </c>
      <c r="W28" s="485">
        <f t="shared" si="5"/>
        <v>148</v>
      </c>
      <c r="X28" s="483">
        <v>7</v>
      </c>
      <c r="Y28" s="484">
        <v>65</v>
      </c>
      <c r="Z28" s="485">
        <f t="shared" si="6"/>
        <v>72</v>
      </c>
      <c r="AA28" s="483">
        <v>278</v>
      </c>
      <c r="AB28" s="484">
        <v>331</v>
      </c>
      <c r="AC28" s="485">
        <f t="shared" si="7"/>
        <v>609</v>
      </c>
      <c r="AD28" s="483">
        <v>0</v>
      </c>
      <c r="AE28" s="484">
        <v>9</v>
      </c>
      <c r="AF28" s="485">
        <f t="shared" si="8"/>
        <v>9</v>
      </c>
      <c r="AG28" s="483">
        <v>11</v>
      </c>
      <c r="AH28" s="484">
        <v>25</v>
      </c>
      <c r="AI28" s="485">
        <f t="shared" si="9"/>
        <v>36</v>
      </c>
    </row>
    <row r="29" spans="1:35" ht="15" thickBot="1" x14ac:dyDescent="0.4">
      <c r="A29" s="486" t="s">
        <v>276</v>
      </c>
      <c r="B29" s="487" t="s">
        <v>66</v>
      </c>
      <c r="C29" s="488">
        <v>14618</v>
      </c>
      <c r="D29" s="489">
        <v>4674</v>
      </c>
      <c r="E29" s="490">
        <f t="shared" si="10"/>
        <v>19292</v>
      </c>
      <c r="F29" s="488">
        <v>0</v>
      </c>
      <c r="G29" s="489">
        <v>0</v>
      </c>
      <c r="H29" s="490">
        <f t="shared" si="0"/>
        <v>0</v>
      </c>
      <c r="I29" s="488">
        <v>0</v>
      </c>
      <c r="J29" s="489">
        <v>12033</v>
      </c>
      <c r="K29" s="490">
        <f t="shared" si="1"/>
        <v>12033</v>
      </c>
      <c r="L29" s="488">
        <v>13630</v>
      </c>
      <c r="M29" s="489">
        <v>12099</v>
      </c>
      <c r="N29" s="490">
        <f t="shared" si="2"/>
        <v>25729</v>
      </c>
      <c r="O29" s="488">
        <v>5</v>
      </c>
      <c r="P29" s="489">
        <v>4</v>
      </c>
      <c r="Q29" s="490">
        <f t="shared" si="3"/>
        <v>9</v>
      </c>
      <c r="R29" s="488">
        <v>204</v>
      </c>
      <c r="S29" s="489">
        <v>186</v>
      </c>
      <c r="T29" s="490">
        <f t="shared" si="4"/>
        <v>390</v>
      </c>
      <c r="U29" s="488">
        <v>17</v>
      </c>
      <c r="V29" s="489">
        <v>136</v>
      </c>
      <c r="W29" s="490">
        <f t="shared" si="5"/>
        <v>153</v>
      </c>
      <c r="X29" s="488">
        <v>6</v>
      </c>
      <c r="Y29" s="489">
        <v>49</v>
      </c>
      <c r="Z29" s="490">
        <f t="shared" si="6"/>
        <v>55</v>
      </c>
      <c r="AA29" s="488">
        <v>513</v>
      </c>
      <c r="AB29" s="489">
        <v>523</v>
      </c>
      <c r="AC29" s="490">
        <f t="shared" si="7"/>
        <v>1036</v>
      </c>
      <c r="AD29" s="488">
        <v>0</v>
      </c>
      <c r="AE29" s="489">
        <v>3</v>
      </c>
      <c r="AF29" s="490">
        <f t="shared" si="8"/>
        <v>3</v>
      </c>
      <c r="AG29" s="488">
        <v>61</v>
      </c>
      <c r="AH29" s="489">
        <v>42</v>
      </c>
      <c r="AI29" s="490">
        <f t="shared" si="9"/>
        <v>103</v>
      </c>
    </row>
    <row r="30" spans="1:35" x14ac:dyDescent="0.35">
      <c r="A30" s="461" t="s">
        <v>277</v>
      </c>
      <c r="B30" s="462" t="s">
        <v>73</v>
      </c>
      <c r="C30" s="463">
        <v>59018</v>
      </c>
      <c r="D30" s="464">
        <v>14946</v>
      </c>
      <c r="E30" s="465">
        <f t="shared" si="10"/>
        <v>73964</v>
      </c>
      <c r="F30" s="463">
        <v>1</v>
      </c>
      <c r="G30" s="464">
        <v>0</v>
      </c>
      <c r="H30" s="465">
        <f t="shared" si="0"/>
        <v>1</v>
      </c>
      <c r="I30" s="463">
        <v>0</v>
      </c>
      <c r="J30" s="464">
        <v>49375</v>
      </c>
      <c r="K30" s="465">
        <f t="shared" si="1"/>
        <v>49375</v>
      </c>
      <c r="L30" s="463">
        <v>52789</v>
      </c>
      <c r="M30" s="464">
        <v>47263</v>
      </c>
      <c r="N30" s="465">
        <f t="shared" si="2"/>
        <v>100052</v>
      </c>
      <c r="O30" s="463">
        <v>8</v>
      </c>
      <c r="P30" s="464">
        <v>16</v>
      </c>
      <c r="Q30" s="465">
        <f t="shared" si="3"/>
        <v>24</v>
      </c>
      <c r="R30" s="463">
        <v>438</v>
      </c>
      <c r="S30" s="464">
        <v>410</v>
      </c>
      <c r="T30" s="465">
        <f t="shared" si="4"/>
        <v>848</v>
      </c>
      <c r="U30" s="463">
        <v>43</v>
      </c>
      <c r="V30" s="464">
        <v>486</v>
      </c>
      <c r="W30" s="465">
        <f t="shared" si="5"/>
        <v>529</v>
      </c>
      <c r="X30" s="463">
        <v>16</v>
      </c>
      <c r="Y30" s="464">
        <v>214</v>
      </c>
      <c r="Z30" s="465">
        <f t="shared" si="6"/>
        <v>230</v>
      </c>
      <c r="AA30" s="463">
        <v>1348</v>
      </c>
      <c r="AB30" s="464">
        <v>1283</v>
      </c>
      <c r="AC30" s="465">
        <f t="shared" si="7"/>
        <v>2631</v>
      </c>
      <c r="AD30" s="463">
        <v>0</v>
      </c>
      <c r="AE30" s="464">
        <v>12</v>
      </c>
      <c r="AF30" s="465">
        <f t="shared" si="8"/>
        <v>12</v>
      </c>
      <c r="AG30" s="463">
        <v>100</v>
      </c>
      <c r="AH30" s="464">
        <v>181</v>
      </c>
      <c r="AI30" s="465">
        <f t="shared" si="9"/>
        <v>281</v>
      </c>
    </row>
    <row r="31" spans="1:35" x14ac:dyDescent="0.35">
      <c r="A31" s="466" t="s">
        <v>278</v>
      </c>
      <c r="B31" s="467" t="s">
        <v>69</v>
      </c>
      <c r="C31" s="468">
        <v>21132</v>
      </c>
      <c r="D31" s="469">
        <v>5179</v>
      </c>
      <c r="E31" s="470">
        <f t="shared" si="10"/>
        <v>26311</v>
      </c>
      <c r="F31" s="468">
        <v>1</v>
      </c>
      <c r="G31" s="469">
        <v>0</v>
      </c>
      <c r="H31" s="470">
        <f t="shared" si="0"/>
        <v>1</v>
      </c>
      <c r="I31" s="468">
        <v>0</v>
      </c>
      <c r="J31" s="469">
        <v>17732</v>
      </c>
      <c r="K31" s="470">
        <f t="shared" si="1"/>
        <v>17732</v>
      </c>
      <c r="L31" s="468">
        <v>18678</v>
      </c>
      <c r="M31" s="469">
        <v>16538</v>
      </c>
      <c r="N31" s="470">
        <f t="shared" si="2"/>
        <v>35216</v>
      </c>
      <c r="O31" s="468">
        <v>4</v>
      </c>
      <c r="P31" s="469">
        <v>7</v>
      </c>
      <c r="Q31" s="470">
        <f t="shared" si="3"/>
        <v>11</v>
      </c>
      <c r="R31" s="468">
        <v>147</v>
      </c>
      <c r="S31" s="469">
        <v>138</v>
      </c>
      <c r="T31" s="470">
        <f t="shared" si="4"/>
        <v>285</v>
      </c>
      <c r="U31" s="468">
        <v>19</v>
      </c>
      <c r="V31" s="469">
        <v>192</v>
      </c>
      <c r="W31" s="470">
        <f t="shared" si="5"/>
        <v>211</v>
      </c>
      <c r="X31" s="468">
        <v>6</v>
      </c>
      <c r="Y31" s="469">
        <v>83</v>
      </c>
      <c r="Z31" s="470">
        <f t="shared" si="6"/>
        <v>89</v>
      </c>
      <c r="AA31" s="468">
        <v>518</v>
      </c>
      <c r="AB31" s="469">
        <v>490</v>
      </c>
      <c r="AC31" s="470">
        <f t="shared" si="7"/>
        <v>1008</v>
      </c>
      <c r="AD31" s="468">
        <v>0</v>
      </c>
      <c r="AE31" s="469">
        <v>5</v>
      </c>
      <c r="AF31" s="470">
        <f t="shared" si="8"/>
        <v>5</v>
      </c>
      <c r="AG31" s="468">
        <v>39</v>
      </c>
      <c r="AH31" s="469">
        <v>34</v>
      </c>
      <c r="AI31" s="470">
        <f t="shared" si="9"/>
        <v>73</v>
      </c>
    </row>
    <row r="32" spans="1:35" x14ac:dyDescent="0.35">
      <c r="A32" s="466" t="s">
        <v>279</v>
      </c>
      <c r="B32" s="467" t="s">
        <v>71</v>
      </c>
      <c r="C32" s="468">
        <v>16084</v>
      </c>
      <c r="D32" s="469">
        <v>4220</v>
      </c>
      <c r="E32" s="470">
        <f t="shared" si="10"/>
        <v>20304</v>
      </c>
      <c r="F32" s="468">
        <v>0</v>
      </c>
      <c r="G32" s="469">
        <v>0</v>
      </c>
      <c r="H32" s="470">
        <f t="shared" si="0"/>
        <v>0</v>
      </c>
      <c r="I32" s="468">
        <v>0</v>
      </c>
      <c r="J32" s="469">
        <v>13789</v>
      </c>
      <c r="K32" s="470">
        <f t="shared" si="1"/>
        <v>13789</v>
      </c>
      <c r="L32" s="468">
        <v>14878</v>
      </c>
      <c r="M32" s="469">
        <v>13369</v>
      </c>
      <c r="N32" s="470">
        <f t="shared" si="2"/>
        <v>28247</v>
      </c>
      <c r="O32" s="468">
        <v>3</v>
      </c>
      <c r="P32" s="469">
        <v>3</v>
      </c>
      <c r="Q32" s="470">
        <f t="shared" si="3"/>
        <v>6</v>
      </c>
      <c r="R32" s="468">
        <v>131</v>
      </c>
      <c r="S32" s="469">
        <v>121</v>
      </c>
      <c r="T32" s="470">
        <f t="shared" si="4"/>
        <v>252</v>
      </c>
      <c r="U32" s="468">
        <v>13</v>
      </c>
      <c r="V32" s="469">
        <v>152</v>
      </c>
      <c r="W32" s="470">
        <f t="shared" si="5"/>
        <v>165</v>
      </c>
      <c r="X32" s="468">
        <v>5</v>
      </c>
      <c r="Y32" s="469">
        <v>55</v>
      </c>
      <c r="Z32" s="470">
        <f t="shared" si="6"/>
        <v>60</v>
      </c>
      <c r="AA32" s="468">
        <v>367</v>
      </c>
      <c r="AB32" s="469">
        <v>362</v>
      </c>
      <c r="AC32" s="470">
        <f t="shared" si="7"/>
        <v>729</v>
      </c>
      <c r="AD32" s="468">
        <v>0</v>
      </c>
      <c r="AE32" s="469">
        <v>6</v>
      </c>
      <c r="AF32" s="470">
        <f t="shared" si="8"/>
        <v>6</v>
      </c>
      <c r="AG32" s="468">
        <v>26</v>
      </c>
      <c r="AH32" s="469">
        <v>37</v>
      </c>
      <c r="AI32" s="470">
        <f t="shared" si="9"/>
        <v>63</v>
      </c>
    </row>
    <row r="33" spans="1:35" x14ac:dyDescent="0.35">
      <c r="A33" s="466" t="s">
        <v>280</v>
      </c>
      <c r="B33" s="467" t="s">
        <v>74</v>
      </c>
      <c r="C33" s="468">
        <v>9758</v>
      </c>
      <c r="D33" s="469">
        <v>2645</v>
      </c>
      <c r="E33" s="470">
        <f t="shared" si="10"/>
        <v>12403</v>
      </c>
      <c r="F33" s="468">
        <v>0</v>
      </c>
      <c r="G33" s="469">
        <v>0</v>
      </c>
      <c r="H33" s="470">
        <f t="shared" si="0"/>
        <v>0</v>
      </c>
      <c r="I33" s="468">
        <v>0</v>
      </c>
      <c r="J33" s="469">
        <v>8024</v>
      </c>
      <c r="K33" s="470">
        <f t="shared" si="1"/>
        <v>8024</v>
      </c>
      <c r="L33" s="468">
        <v>8705</v>
      </c>
      <c r="M33" s="469">
        <v>7787</v>
      </c>
      <c r="N33" s="470">
        <f t="shared" si="2"/>
        <v>16492</v>
      </c>
      <c r="O33" s="468">
        <v>1</v>
      </c>
      <c r="P33" s="469">
        <v>3</v>
      </c>
      <c r="Q33" s="470">
        <f t="shared" si="3"/>
        <v>4</v>
      </c>
      <c r="R33" s="468">
        <v>75</v>
      </c>
      <c r="S33" s="469">
        <v>82</v>
      </c>
      <c r="T33" s="470">
        <f t="shared" si="4"/>
        <v>157</v>
      </c>
      <c r="U33" s="468">
        <v>7</v>
      </c>
      <c r="V33" s="469">
        <v>81</v>
      </c>
      <c r="W33" s="470">
        <f t="shared" si="5"/>
        <v>88</v>
      </c>
      <c r="X33" s="468">
        <v>3</v>
      </c>
      <c r="Y33" s="469">
        <v>29</v>
      </c>
      <c r="Z33" s="470">
        <f t="shared" si="6"/>
        <v>32</v>
      </c>
      <c r="AA33" s="468">
        <v>251</v>
      </c>
      <c r="AB33" s="469">
        <v>246</v>
      </c>
      <c r="AC33" s="470">
        <f t="shared" si="7"/>
        <v>497</v>
      </c>
      <c r="AD33" s="468">
        <v>0</v>
      </c>
      <c r="AE33" s="469">
        <v>0</v>
      </c>
      <c r="AF33" s="470">
        <f t="shared" si="8"/>
        <v>0</v>
      </c>
      <c r="AG33" s="468">
        <v>23</v>
      </c>
      <c r="AH33" s="469">
        <v>31</v>
      </c>
      <c r="AI33" s="470">
        <f t="shared" si="9"/>
        <v>54</v>
      </c>
    </row>
    <row r="34" spans="1:35" ht="15" thickBot="1" x14ac:dyDescent="0.4">
      <c r="A34" s="471" t="s">
        <v>281</v>
      </c>
      <c r="B34" s="472" t="s">
        <v>76</v>
      </c>
      <c r="C34" s="473">
        <v>12044</v>
      </c>
      <c r="D34" s="474">
        <v>2902</v>
      </c>
      <c r="E34" s="475">
        <f t="shared" si="10"/>
        <v>14946</v>
      </c>
      <c r="F34" s="473">
        <v>0</v>
      </c>
      <c r="G34" s="474">
        <v>0</v>
      </c>
      <c r="H34" s="475">
        <f t="shared" si="0"/>
        <v>0</v>
      </c>
      <c r="I34" s="473">
        <v>0</v>
      </c>
      <c r="J34" s="474">
        <v>9830</v>
      </c>
      <c r="K34" s="475">
        <f t="shared" si="1"/>
        <v>9830</v>
      </c>
      <c r="L34" s="473">
        <v>10528</v>
      </c>
      <c r="M34" s="474">
        <v>9569</v>
      </c>
      <c r="N34" s="475">
        <f t="shared" si="2"/>
        <v>20097</v>
      </c>
      <c r="O34" s="473">
        <v>0</v>
      </c>
      <c r="P34" s="474">
        <v>3</v>
      </c>
      <c r="Q34" s="475">
        <f t="shared" si="3"/>
        <v>3</v>
      </c>
      <c r="R34" s="473">
        <v>85</v>
      </c>
      <c r="S34" s="474">
        <v>69</v>
      </c>
      <c r="T34" s="475">
        <f t="shared" si="4"/>
        <v>154</v>
      </c>
      <c r="U34" s="473">
        <v>4</v>
      </c>
      <c r="V34" s="474">
        <v>61</v>
      </c>
      <c r="W34" s="475">
        <f t="shared" si="5"/>
        <v>65</v>
      </c>
      <c r="X34" s="473">
        <v>2</v>
      </c>
      <c r="Y34" s="474">
        <v>47</v>
      </c>
      <c r="Z34" s="475">
        <f t="shared" si="6"/>
        <v>49</v>
      </c>
      <c r="AA34" s="473">
        <v>212</v>
      </c>
      <c r="AB34" s="474">
        <v>185</v>
      </c>
      <c r="AC34" s="475">
        <f t="shared" si="7"/>
        <v>397</v>
      </c>
      <c r="AD34" s="473">
        <v>0</v>
      </c>
      <c r="AE34" s="474">
        <v>1</v>
      </c>
      <c r="AF34" s="475">
        <f t="shared" si="8"/>
        <v>1</v>
      </c>
      <c r="AG34" s="473">
        <v>12</v>
      </c>
      <c r="AH34" s="474">
        <v>79</v>
      </c>
      <c r="AI34" s="475">
        <f t="shared" si="9"/>
        <v>91</v>
      </c>
    </row>
    <row r="35" spans="1:35" x14ac:dyDescent="0.35">
      <c r="A35" s="476" t="s">
        <v>282</v>
      </c>
      <c r="B35" s="477" t="s">
        <v>79</v>
      </c>
      <c r="C35" s="478">
        <v>41101</v>
      </c>
      <c r="D35" s="479">
        <v>10796</v>
      </c>
      <c r="E35" s="480">
        <f t="shared" si="10"/>
        <v>51897</v>
      </c>
      <c r="F35" s="478">
        <v>0</v>
      </c>
      <c r="G35" s="479">
        <v>0</v>
      </c>
      <c r="H35" s="480">
        <f t="shared" si="0"/>
        <v>0</v>
      </c>
      <c r="I35" s="478">
        <v>0</v>
      </c>
      <c r="J35" s="479">
        <v>34428</v>
      </c>
      <c r="K35" s="480">
        <f t="shared" si="1"/>
        <v>34428</v>
      </c>
      <c r="L35" s="478">
        <v>38965</v>
      </c>
      <c r="M35" s="479">
        <v>33579</v>
      </c>
      <c r="N35" s="480">
        <f t="shared" si="2"/>
        <v>72544</v>
      </c>
      <c r="O35" s="478">
        <v>1</v>
      </c>
      <c r="P35" s="479">
        <v>4</v>
      </c>
      <c r="Q35" s="480">
        <f t="shared" si="3"/>
        <v>5</v>
      </c>
      <c r="R35" s="478">
        <v>452</v>
      </c>
      <c r="S35" s="479">
        <v>354</v>
      </c>
      <c r="T35" s="480">
        <f t="shared" si="4"/>
        <v>806</v>
      </c>
      <c r="U35" s="478">
        <v>48</v>
      </c>
      <c r="V35" s="479">
        <v>438</v>
      </c>
      <c r="W35" s="480">
        <f t="shared" si="5"/>
        <v>486</v>
      </c>
      <c r="X35" s="478">
        <v>17</v>
      </c>
      <c r="Y35" s="479">
        <v>176</v>
      </c>
      <c r="Z35" s="480">
        <f t="shared" si="6"/>
        <v>193</v>
      </c>
      <c r="AA35" s="478">
        <v>1082</v>
      </c>
      <c r="AB35" s="479">
        <v>993</v>
      </c>
      <c r="AC35" s="480">
        <f t="shared" si="7"/>
        <v>2075</v>
      </c>
      <c r="AD35" s="478">
        <v>1</v>
      </c>
      <c r="AE35" s="479">
        <v>7</v>
      </c>
      <c r="AF35" s="480">
        <f t="shared" si="8"/>
        <v>8</v>
      </c>
      <c r="AG35" s="478">
        <v>75</v>
      </c>
      <c r="AH35" s="479">
        <v>121</v>
      </c>
      <c r="AI35" s="480">
        <f t="shared" si="9"/>
        <v>196</v>
      </c>
    </row>
    <row r="36" spans="1:35" x14ac:dyDescent="0.35">
      <c r="A36" s="481" t="s">
        <v>283</v>
      </c>
      <c r="B36" s="482" t="s">
        <v>79</v>
      </c>
      <c r="C36" s="483">
        <v>7303</v>
      </c>
      <c r="D36" s="484">
        <v>1822</v>
      </c>
      <c r="E36" s="485">
        <f t="shared" si="10"/>
        <v>9125</v>
      </c>
      <c r="F36" s="483">
        <v>0</v>
      </c>
      <c r="G36" s="484">
        <v>0</v>
      </c>
      <c r="H36" s="485">
        <f t="shared" si="0"/>
        <v>0</v>
      </c>
      <c r="I36" s="483">
        <v>0</v>
      </c>
      <c r="J36" s="484">
        <v>6041</v>
      </c>
      <c r="K36" s="485">
        <f t="shared" si="1"/>
        <v>6041</v>
      </c>
      <c r="L36" s="483">
        <v>6856</v>
      </c>
      <c r="M36" s="484">
        <v>5833</v>
      </c>
      <c r="N36" s="485">
        <f t="shared" si="2"/>
        <v>12689</v>
      </c>
      <c r="O36" s="483">
        <v>0</v>
      </c>
      <c r="P36" s="484">
        <v>1</v>
      </c>
      <c r="Q36" s="485">
        <f t="shared" si="3"/>
        <v>1</v>
      </c>
      <c r="R36" s="483">
        <v>81</v>
      </c>
      <c r="S36" s="484">
        <v>58</v>
      </c>
      <c r="T36" s="485">
        <f t="shared" si="4"/>
        <v>139</v>
      </c>
      <c r="U36" s="483">
        <v>8</v>
      </c>
      <c r="V36" s="484">
        <v>63</v>
      </c>
      <c r="W36" s="485">
        <f t="shared" si="5"/>
        <v>71</v>
      </c>
      <c r="X36" s="483">
        <v>1</v>
      </c>
      <c r="Y36" s="484">
        <v>17</v>
      </c>
      <c r="Z36" s="485">
        <f t="shared" si="6"/>
        <v>18</v>
      </c>
      <c r="AA36" s="483">
        <v>148</v>
      </c>
      <c r="AB36" s="484">
        <v>101</v>
      </c>
      <c r="AC36" s="485">
        <f t="shared" si="7"/>
        <v>249</v>
      </c>
      <c r="AD36" s="483">
        <v>0</v>
      </c>
      <c r="AE36" s="484">
        <v>0</v>
      </c>
      <c r="AF36" s="485">
        <f t="shared" si="8"/>
        <v>0</v>
      </c>
      <c r="AG36" s="483">
        <v>12</v>
      </c>
      <c r="AH36" s="484">
        <v>9</v>
      </c>
      <c r="AI36" s="485">
        <f t="shared" si="9"/>
        <v>21</v>
      </c>
    </row>
    <row r="37" spans="1:35" x14ac:dyDescent="0.35">
      <c r="A37" s="481" t="s">
        <v>284</v>
      </c>
      <c r="B37" s="482" t="s">
        <v>81</v>
      </c>
      <c r="C37" s="483">
        <v>6360</v>
      </c>
      <c r="D37" s="484">
        <v>1689</v>
      </c>
      <c r="E37" s="485">
        <f t="shared" si="10"/>
        <v>8049</v>
      </c>
      <c r="F37" s="483">
        <v>0</v>
      </c>
      <c r="G37" s="484">
        <v>0</v>
      </c>
      <c r="H37" s="485">
        <f t="shared" si="0"/>
        <v>0</v>
      </c>
      <c r="I37" s="483">
        <v>0</v>
      </c>
      <c r="J37" s="484">
        <v>5297</v>
      </c>
      <c r="K37" s="485">
        <f t="shared" si="1"/>
        <v>5297</v>
      </c>
      <c r="L37" s="483">
        <v>6221</v>
      </c>
      <c r="M37" s="484">
        <v>5280</v>
      </c>
      <c r="N37" s="485">
        <f t="shared" si="2"/>
        <v>11501</v>
      </c>
      <c r="O37" s="483">
        <v>0</v>
      </c>
      <c r="P37" s="484">
        <v>0</v>
      </c>
      <c r="Q37" s="485">
        <f t="shared" si="3"/>
        <v>0</v>
      </c>
      <c r="R37" s="483">
        <v>80</v>
      </c>
      <c r="S37" s="484">
        <v>65</v>
      </c>
      <c r="T37" s="485">
        <f t="shared" si="4"/>
        <v>145</v>
      </c>
      <c r="U37" s="483">
        <v>2</v>
      </c>
      <c r="V37" s="484">
        <v>35</v>
      </c>
      <c r="W37" s="485">
        <f t="shared" si="5"/>
        <v>37</v>
      </c>
      <c r="X37" s="483">
        <v>2</v>
      </c>
      <c r="Y37" s="484">
        <v>25</v>
      </c>
      <c r="Z37" s="485">
        <f t="shared" si="6"/>
        <v>27</v>
      </c>
      <c r="AA37" s="483">
        <v>170</v>
      </c>
      <c r="AB37" s="484">
        <v>133</v>
      </c>
      <c r="AC37" s="485">
        <f t="shared" si="7"/>
        <v>303</v>
      </c>
      <c r="AD37" s="483">
        <v>0</v>
      </c>
      <c r="AE37" s="484">
        <v>0</v>
      </c>
      <c r="AF37" s="485">
        <f t="shared" si="8"/>
        <v>0</v>
      </c>
      <c r="AG37" s="483">
        <v>9</v>
      </c>
      <c r="AH37" s="484">
        <v>10</v>
      </c>
      <c r="AI37" s="485">
        <f t="shared" si="9"/>
        <v>19</v>
      </c>
    </row>
    <row r="38" spans="1:35" x14ac:dyDescent="0.35">
      <c r="A38" s="481" t="s">
        <v>285</v>
      </c>
      <c r="B38" s="482" t="s">
        <v>83</v>
      </c>
      <c r="C38" s="483">
        <v>19510</v>
      </c>
      <c r="D38" s="484">
        <v>5129</v>
      </c>
      <c r="E38" s="485">
        <f t="shared" si="10"/>
        <v>24639</v>
      </c>
      <c r="F38" s="483">
        <v>0</v>
      </c>
      <c r="G38" s="484">
        <v>0</v>
      </c>
      <c r="H38" s="485">
        <f t="shared" si="0"/>
        <v>0</v>
      </c>
      <c r="I38" s="483">
        <v>0</v>
      </c>
      <c r="J38" s="484">
        <v>16643</v>
      </c>
      <c r="K38" s="485">
        <f t="shared" si="1"/>
        <v>16643</v>
      </c>
      <c r="L38" s="483">
        <v>18376</v>
      </c>
      <c r="M38" s="484">
        <v>16110</v>
      </c>
      <c r="N38" s="485">
        <f t="shared" si="2"/>
        <v>34486</v>
      </c>
      <c r="O38" s="483">
        <v>0</v>
      </c>
      <c r="P38" s="484">
        <v>3</v>
      </c>
      <c r="Q38" s="485">
        <f t="shared" si="3"/>
        <v>3</v>
      </c>
      <c r="R38" s="483">
        <v>188</v>
      </c>
      <c r="S38" s="484">
        <v>154</v>
      </c>
      <c r="T38" s="485">
        <f t="shared" si="4"/>
        <v>342</v>
      </c>
      <c r="U38" s="483">
        <v>34</v>
      </c>
      <c r="V38" s="484">
        <v>275</v>
      </c>
      <c r="W38" s="485">
        <f t="shared" si="5"/>
        <v>309</v>
      </c>
      <c r="X38" s="483">
        <v>9</v>
      </c>
      <c r="Y38" s="484">
        <v>107</v>
      </c>
      <c r="Z38" s="485">
        <f t="shared" si="6"/>
        <v>116</v>
      </c>
      <c r="AA38" s="483">
        <v>596</v>
      </c>
      <c r="AB38" s="484">
        <v>589</v>
      </c>
      <c r="AC38" s="485">
        <f t="shared" si="7"/>
        <v>1185</v>
      </c>
      <c r="AD38" s="483">
        <v>1</v>
      </c>
      <c r="AE38" s="484">
        <v>6</v>
      </c>
      <c r="AF38" s="485">
        <f t="shared" si="8"/>
        <v>7</v>
      </c>
      <c r="AG38" s="483">
        <v>44</v>
      </c>
      <c r="AH38" s="484">
        <v>83</v>
      </c>
      <c r="AI38" s="485">
        <f t="shared" si="9"/>
        <v>127</v>
      </c>
    </row>
    <row r="39" spans="1:35" ht="15" thickBot="1" x14ac:dyDescent="0.4">
      <c r="A39" s="486" t="s">
        <v>286</v>
      </c>
      <c r="B39" s="487" t="s">
        <v>85</v>
      </c>
      <c r="C39" s="488">
        <v>7928</v>
      </c>
      <c r="D39" s="489">
        <v>2156</v>
      </c>
      <c r="E39" s="490">
        <f t="shared" si="10"/>
        <v>10084</v>
      </c>
      <c r="F39" s="488">
        <v>0</v>
      </c>
      <c r="G39" s="489">
        <v>0</v>
      </c>
      <c r="H39" s="490">
        <f t="shared" si="0"/>
        <v>0</v>
      </c>
      <c r="I39" s="488">
        <v>0</v>
      </c>
      <c r="J39" s="489">
        <v>6447</v>
      </c>
      <c r="K39" s="490">
        <f t="shared" si="1"/>
        <v>6447</v>
      </c>
      <c r="L39" s="488">
        <v>7512</v>
      </c>
      <c r="M39" s="489">
        <v>6356</v>
      </c>
      <c r="N39" s="490">
        <f t="shared" si="2"/>
        <v>13868</v>
      </c>
      <c r="O39" s="488">
        <v>1</v>
      </c>
      <c r="P39" s="489">
        <v>0</v>
      </c>
      <c r="Q39" s="490">
        <f t="shared" si="3"/>
        <v>1</v>
      </c>
      <c r="R39" s="488">
        <v>103</v>
      </c>
      <c r="S39" s="489">
        <v>77</v>
      </c>
      <c r="T39" s="490">
        <f t="shared" si="4"/>
        <v>180</v>
      </c>
      <c r="U39" s="488">
        <v>4</v>
      </c>
      <c r="V39" s="489">
        <v>65</v>
      </c>
      <c r="W39" s="490">
        <f t="shared" si="5"/>
        <v>69</v>
      </c>
      <c r="X39" s="488">
        <v>5</v>
      </c>
      <c r="Y39" s="489">
        <v>27</v>
      </c>
      <c r="Z39" s="490">
        <f t="shared" si="6"/>
        <v>32</v>
      </c>
      <c r="AA39" s="488">
        <v>168</v>
      </c>
      <c r="AB39" s="489">
        <v>170</v>
      </c>
      <c r="AC39" s="490">
        <f t="shared" si="7"/>
        <v>338</v>
      </c>
      <c r="AD39" s="488">
        <v>0</v>
      </c>
      <c r="AE39" s="489">
        <v>1</v>
      </c>
      <c r="AF39" s="490">
        <f t="shared" si="8"/>
        <v>1</v>
      </c>
      <c r="AG39" s="488">
        <v>10</v>
      </c>
      <c r="AH39" s="489">
        <v>19</v>
      </c>
      <c r="AI39" s="490">
        <f t="shared" si="9"/>
        <v>29</v>
      </c>
    </row>
    <row r="40" spans="1:35" x14ac:dyDescent="0.35">
      <c r="A40" s="461" t="s">
        <v>287</v>
      </c>
      <c r="B40" s="462" t="s">
        <v>89</v>
      </c>
      <c r="C40" s="463">
        <v>32811</v>
      </c>
      <c r="D40" s="464">
        <v>6646</v>
      </c>
      <c r="E40" s="465">
        <f t="shared" si="10"/>
        <v>39457</v>
      </c>
      <c r="F40" s="463">
        <v>0</v>
      </c>
      <c r="G40" s="464">
        <v>0</v>
      </c>
      <c r="H40" s="465">
        <f t="shared" si="0"/>
        <v>0</v>
      </c>
      <c r="I40" s="463">
        <v>0</v>
      </c>
      <c r="J40" s="464">
        <v>27614</v>
      </c>
      <c r="K40" s="465">
        <f t="shared" si="1"/>
        <v>27614</v>
      </c>
      <c r="L40" s="463">
        <v>27926</v>
      </c>
      <c r="M40" s="464">
        <v>24584</v>
      </c>
      <c r="N40" s="465">
        <f t="shared" si="2"/>
        <v>52510</v>
      </c>
      <c r="O40" s="463">
        <v>0</v>
      </c>
      <c r="P40" s="464">
        <v>0</v>
      </c>
      <c r="Q40" s="465">
        <f t="shared" si="3"/>
        <v>0</v>
      </c>
      <c r="R40" s="463">
        <v>125</v>
      </c>
      <c r="S40" s="464">
        <v>128</v>
      </c>
      <c r="T40" s="465">
        <f t="shared" si="4"/>
        <v>253</v>
      </c>
      <c r="U40" s="463">
        <v>12</v>
      </c>
      <c r="V40" s="464">
        <v>96</v>
      </c>
      <c r="W40" s="465">
        <f t="shared" si="5"/>
        <v>108</v>
      </c>
      <c r="X40" s="463">
        <v>1</v>
      </c>
      <c r="Y40" s="464">
        <v>24</v>
      </c>
      <c r="Z40" s="465">
        <f t="shared" si="6"/>
        <v>25</v>
      </c>
      <c r="AA40" s="463">
        <v>496</v>
      </c>
      <c r="AB40" s="464">
        <v>334</v>
      </c>
      <c r="AC40" s="465">
        <f t="shared" si="7"/>
        <v>830</v>
      </c>
      <c r="AD40" s="463">
        <v>0</v>
      </c>
      <c r="AE40" s="464">
        <v>0</v>
      </c>
      <c r="AF40" s="465">
        <f t="shared" si="8"/>
        <v>0</v>
      </c>
      <c r="AG40" s="463">
        <v>46</v>
      </c>
      <c r="AH40" s="464">
        <v>66</v>
      </c>
      <c r="AI40" s="465">
        <f t="shared" si="9"/>
        <v>112</v>
      </c>
    </row>
    <row r="41" spans="1:35" x14ac:dyDescent="0.35">
      <c r="A41" s="466" t="s">
        <v>288</v>
      </c>
      <c r="B41" s="467" t="s">
        <v>89</v>
      </c>
      <c r="C41" s="468">
        <v>9259</v>
      </c>
      <c r="D41" s="469">
        <v>1922</v>
      </c>
      <c r="E41" s="470">
        <f t="shared" si="10"/>
        <v>11181</v>
      </c>
      <c r="F41" s="468">
        <v>0</v>
      </c>
      <c r="G41" s="469">
        <v>0</v>
      </c>
      <c r="H41" s="470">
        <f t="shared" si="0"/>
        <v>0</v>
      </c>
      <c r="I41" s="468">
        <v>0</v>
      </c>
      <c r="J41" s="469">
        <v>7944</v>
      </c>
      <c r="K41" s="470">
        <f t="shared" si="1"/>
        <v>7944</v>
      </c>
      <c r="L41" s="468">
        <v>8491</v>
      </c>
      <c r="M41" s="469">
        <v>7249</v>
      </c>
      <c r="N41" s="470">
        <f t="shared" si="2"/>
        <v>15740</v>
      </c>
      <c r="O41" s="468">
        <v>0</v>
      </c>
      <c r="P41" s="469">
        <v>0</v>
      </c>
      <c r="Q41" s="470">
        <f t="shared" si="3"/>
        <v>0</v>
      </c>
      <c r="R41" s="468">
        <v>50</v>
      </c>
      <c r="S41" s="469">
        <v>50</v>
      </c>
      <c r="T41" s="470">
        <f t="shared" si="4"/>
        <v>100</v>
      </c>
      <c r="U41" s="468">
        <v>6</v>
      </c>
      <c r="V41" s="469">
        <v>51</v>
      </c>
      <c r="W41" s="470">
        <f t="shared" si="5"/>
        <v>57</v>
      </c>
      <c r="X41" s="468">
        <v>0</v>
      </c>
      <c r="Y41" s="469">
        <v>10</v>
      </c>
      <c r="Z41" s="470">
        <f t="shared" si="6"/>
        <v>10</v>
      </c>
      <c r="AA41" s="468">
        <v>157</v>
      </c>
      <c r="AB41" s="469">
        <v>113</v>
      </c>
      <c r="AC41" s="470">
        <f t="shared" si="7"/>
        <v>270</v>
      </c>
      <c r="AD41" s="468">
        <v>0</v>
      </c>
      <c r="AE41" s="469">
        <v>0</v>
      </c>
      <c r="AF41" s="470">
        <f t="shared" si="8"/>
        <v>0</v>
      </c>
      <c r="AG41" s="468">
        <v>15</v>
      </c>
      <c r="AH41" s="469">
        <v>15</v>
      </c>
      <c r="AI41" s="470">
        <f t="shared" si="9"/>
        <v>30</v>
      </c>
    </row>
    <row r="42" spans="1:35" x14ac:dyDescent="0.35">
      <c r="A42" s="466" t="s">
        <v>289</v>
      </c>
      <c r="B42" s="467" t="s">
        <v>91</v>
      </c>
      <c r="C42" s="468">
        <v>8471</v>
      </c>
      <c r="D42" s="469">
        <v>1643</v>
      </c>
      <c r="E42" s="470">
        <f t="shared" si="10"/>
        <v>10114</v>
      </c>
      <c r="F42" s="468">
        <v>0</v>
      </c>
      <c r="G42" s="469">
        <v>0</v>
      </c>
      <c r="H42" s="470">
        <f t="shared" si="0"/>
        <v>0</v>
      </c>
      <c r="I42" s="468">
        <v>0</v>
      </c>
      <c r="J42" s="469">
        <v>6894</v>
      </c>
      <c r="K42" s="470">
        <f t="shared" si="1"/>
        <v>6894</v>
      </c>
      <c r="L42" s="468">
        <v>6631</v>
      </c>
      <c r="M42" s="469">
        <v>5927</v>
      </c>
      <c r="N42" s="470">
        <f t="shared" si="2"/>
        <v>12558</v>
      </c>
      <c r="O42" s="468">
        <v>0</v>
      </c>
      <c r="P42" s="469">
        <v>0</v>
      </c>
      <c r="Q42" s="470">
        <f t="shared" si="3"/>
        <v>0</v>
      </c>
      <c r="R42" s="468">
        <v>20</v>
      </c>
      <c r="S42" s="469">
        <v>16</v>
      </c>
      <c r="T42" s="470">
        <f t="shared" si="4"/>
        <v>36</v>
      </c>
      <c r="U42" s="468">
        <v>1</v>
      </c>
      <c r="V42" s="469">
        <v>8</v>
      </c>
      <c r="W42" s="470">
        <f t="shared" si="5"/>
        <v>9</v>
      </c>
      <c r="X42" s="468">
        <v>0</v>
      </c>
      <c r="Y42" s="469">
        <v>0</v>
      </c>
      <c r="Z42" s="470">
        <f t="shared" si="6"/>
        <v>0</v>
      </c>
      <c r="AA42" s="468">
        <v>136</v>
      </c>
      <c r="AB42" s="469">
        <v>76</v>
      </c>
      <c r="AC42" s="470">
        <f t="shared" si="7"/>
        <v>212</v>
      </c>
      <c r="AD42" s="468">
        <v>0</v>
      </c>
      <c r="AE42" s="469">
        <v>0</v>
      </c>
      <c r="AF42" s="470">
        <f t="shared" si="8"/>
        <v>0</v>
      </c>
      <c r="AG42" s="468">
        <v>6</v>
      </c>
      <c r="AH42" s="469">
        <v>13</v>
      </c>
      <c r="AI42" s="470">
        <f t="shared" si="9"/>
        <v>19</v>
      </c>
    </row>
    <row r="43" spans="1:35" x14ac:dyDescent="0.35">
      <c r="A43" s="466" t="s">
        <v>290</v>
      </c>
      <c r="B43" s="467" t="s">
        <v>93</v>
      </c>
      <c r="C43" s="468">
        <v>7719</v>
      </c>
      <c r="D43" s="469">
        <v>1676</v>
      </c>
      <c r="E43" s="470">
        <f t="shared" si="10"/>
        <v>9395</v>
      </c>
      <c r="F43" s="468">
        <v>0</v>
      </c>
      <c r="G43" s="469">
        <v>0</v>
      </c>
      <c r="H43" s="470">
        <f t="shared" si="0"/>
        <v>0</v>
      </c>
      <c r="I43" s="468">
        <v>0</v>
      </c>
      <c r="J43" s="469">
        <v>6235</v>
      </c>
      <c r="K43" s="470">
        <f t="shared" si="1"/>
        <v>6235</v>
      </c>
      <c r="L43" s="468">
        <v>5975</v>
      </c>
      <c r="M43" s="469">
        <v>5349</v>
      </c>
      <c r="N43" s="470">
        <f t="shared" si="2"/>
        <v>11324</v>
      </c>
      <c r="O43" s="468">
        <v>0</v>
      </c>
      <c r="P43" s="469">
        <v>0</v>
      </c>
      <c r="Q43" s="470">
        <f t="shared" si="3"/>
        <v>0</v>
      </c>
      <c r="R43" s="468">
        <v>25</v>
      </c>
      <c r="S43" s="469">
        <v>31</v>
      </c>
      <c r="T43" s="470">
        <f t="shared" si="4"/>
        <v>56</v>
      </c>
      <c r="U43" s="468">
        <v>3</v>
      </c>
      <c r="V43" s="469">
        <v>12</v>
      </c>
      <c r="W43" s="470">
        <f t="shared" si="5"/>
        <v>15</v>
      </c>
      <c r="X43" s="468">
        <v>1</v>
      </c>
      <c r="Y43" s="469">
        <v>4</v>
      </c>
      <c r="Z43" s="470">
        <f t="shared" si="6"/>
        <v>5</v>
      </c>
      <c r="AA43" s="468">
        <v>110</v>
      </c>
      <c r="AB43" s="469">
        <v>81</v>
      </c>
      <c r="AC43" s="470">
        <f t="shared" si="7"/>
        <v>191</v>
      </c>
      <c r="AD43" s="468">
        <v>0</v>
      </c>
      <c r="AE43" s="469">
        <v>0</v>
      </c>
      <c r="AF43" s="470">
        <f t="shared" si="8"/>
        <v>0</v>
      </c>
      <c r="AG43" s="468">
        <v>17</v>
      </c>
      <c r="AH43" s="469">
        <v>25</v>
      </c>
      <c r="AI43" s="470">
        <f t="shared" si="9"/>
        <v>42</v>
      </c>
    </row>
    <row r="44" spans="1:35" ht="15" thickBot="1" x14ac:dyDescent="0.4">
      <c r="A44" s="471" t="s">
        <v>291</v>
      </c>
      <c r="B44" s="472" t="s">
        <v>95</v>
      </c>
      <c r="C44" s="473">
        <v>7362</v>
      </c>
      <c r="D44" s="474">
        <v>1405</v>
      </c>
      <c r="E44" s="475">
        <f t="shared" si="10"/>
        <v>8767</v>
      </c>
      <c r="F44" s="473">
        <v>0</v>
      </c>
      <c r="G44" s="474">
        <v>0</v>
      </c>
      <c r="H44" s="475">
        <f t="shared" si="0"/>
        <v>0</v>
      </c>
      <c r="I44" s="473">
        <v>0</v>
      </c>
      <c r="J44" s="474">
        <v>6541</v>
      </c>
      <c r="K44" s="475">
        <f t="shared" si="1"/>
        <v>6541</v>
      </c>
      <c r="L44" s="473">
        <v>6829</v>
      </c>
      <c r="M44" s="474">
        <v>6059</v>
      </c>
      <c r="N44" s="475">
        <f t="shared" si="2"/>
        <v>12888</v>
      </c>
      <c r="O44" s="473">
        <v>0</v>
      </c>
      <c r="P44" s="474">
        <v>0</v>
      </c>
      <c r="Q44" s="475">
        <f t="shared" si="3"/>
        <v>0</v>
      </c>
      <c r="R44" s="473">
        <v>30</v>
      </c>
      <c r="S44" s="474">
        <v>31</v>
      </c>
      <c r="T44" s="475">
        <f t="shared" si="4"/>
        <v>61</v>
      </c>
      <c r="U44" s="473">
        <v>2</v>
      </c>
      <c r="V44" s="474">
        <v>25</v>
      </c>
      <c r="W44" s="475">
        <f t="shared" si="5"/>
        <v>27</v>
      </c>
      <c r="X44" s="473">
        <v>0</v>
      </c>
      <c r="Y44" s="474">
        <v>10</v>
      </c>
      <c r="Z44" s="475">
        <f t="shared" si="6"/>
        <v>10</v>
      </c>
      <c r="AA44" s="473">
        <v>93</v>
      </c>
      <c r="AB44" s="474">
        <v>64</v>
      </c>
      <c r="AC44" s="475">
        <f t="shared" si="7"/>
        <v>157</v>
      </c>
      <c r="AD44" s="473">
        <v>0</v>
      </c>
      <c r="AE44" s="474">
        <v>0</v>
      </c>
      <c r="AF44" s="475">
        <f t="shared" si="8"/>
        <v>0</v>
      </c>
      <c r="AG44" s="473">
        <v>8</v>
      </c>
      <c r="AH44" s="474">
        <v>13</v>
      </c>
      <c r="AI44" s="475">
        <f t="shared" si="9"/>
        <v>21</v>
      </c>
    </row>
    <row r="45" spans="1:35" x14ac:dyDescent="0.35">
      <c r="A45" s="476" t="s">
        <v>292</v>
      </c>
      <c r="B45" s="477" t="s">
        <v>102</v>
      </c>
      <c r="C45" s="478">
        <v>59755</v>
      </c>
      <c r="D45" s="479">
        <v>17041</v>
      </c>
      <c r="E45" s="480">
        <f t="shared" si="10"/>
        <v>76796</v>
      </c>
      <c r="F45" s="478">
        <v>0</v>
      </c>
      <c r="G45" s="479">
        <v>0</v>
      </c>
      <c r="H45" s="480">
        <f t="shared" si="0"/>
        <v>0</v>
      </c>
      <c r="I45" s="478">
        <v>0</v>
      </c>
      <c r="J45" s="479">
        <v>49954</v>
      </c>
      <c r="K45" s="480">
        <f t="shared" si="1"/>
        <v>49954</v>
      </c>
      <c r="L45" s="478">
        <v>54940</v>
      </c>
      <c r="M45" s="479">
        <v>48126</v>
      </c>
      <c r="N45" s="480">
        <f t="shared" si="2"/>
        <v>103066</v>
      </c>
      <c r="O45" s="478">
        <v>21</v>
      </c>
      <c r="P45" s="479">
        <v>29</v>
      </c>
      <c r="Q45" s="480">
        <f t="shared" si="3"/>
        <v>50</v>
      </c>
      <c r="R45" s="478">
        <v>652</v>
      </c>
      <c r="S45" s="479">
        <v>596</v>
      </c>
      <c r="T45" s="480">
        <f t="shared" si="4"/>
        <v>1248</v>
      </c>
      <c r="U45" s="478">
        <v>72</v>
      </c>
      <c r="V45" s="479">
        <v>651</v>
      </c>
      <c r="W45" s="480">
        <f t="shared" si="5"/>
        <v>723</v>
      </c>
      <c r="X45" s="478">
        <v>23</v>
      </c>
      <c r="Y45" s="479">
        <v>186</v>
      </c>
      <c r="Z45" s="480">
        <f t="shared" si="6"/>
        <v>209</v>
      </c>
      <c r="AA45" s="478">
        <v>1528</v>
      </c>
      <c r="AB45" s="479">
        <v>1487</v>
      </c>
      <c r="AC45" s="480">
        <f t="shared" si="7"/>
        <v>3015</v>
      </c>
      <c r="AD45" s="478">
        <v>3</v>
      </c>
      <c r="AE45" s="479">
        <v>31</v>
      </c>
      <c r="AF45" s="480">
        <f t="shared" si="8"/>
        <v>34</v>
      </c>
      <c r="AG45" s="478">
        <v>122</v>
      </c>
      <c r="AH45" s="479">
        <v>185</v>
      </c>
      <c r="AI45" s="480">
        <f t="shared" si="9"/>
        <v>307</v>
      </c>
    </row>
    <row r="46" spans="1:35" x14ac:dyDescent="0.35">
      <c r="A46" s="481" t="s">
        <v>293</v>
      </c>
      <c r="B46" s="482" t="s">
        <v>98</v>
      </c>
      <c r="C46" s="483">
        <v>12345</v>
      </c>
      <c r="D46" s="484">
        <v>3496</v>
      </c>
      <c r="E46" s="485">
        <f t="shared" si="10"/>
        <v>15841</v>
      </c>
      <c r="F46" s="483">
        <v>0</v>
      </c>
      <c r="G46" s="484">
        <v>0</v>
      </c>
      <c r="H46" s="485">
        <f t="shared" si="0"/>
        <v>0</v>
      </c>
      <c r="I46" s="483">
        <v>0</v>
      </c>
      <c r="J46" s="484">
        <v>10201</v>
      </c>
      <c r="K46" s="485">
        <f t="shared" si="1"/>
        <v>10201</v>
      </c>
      <c r="L46" s="483">
        <v>11171</v>
      </c>
      <c r="M46" s="484">
        <v>9993</v>
      </c>
      <c r="N46" s="485">
        <f t="shared" si="2"/>
        <v>21164</v>
      </c>
      <c r="O46" s="483">
        <v>3</v>
      </c>
      <c r="P46" s="484">
        <v>9</v>
      </c>
      <c r="Q46" s="485">
        <f t="shared" si="3"/>
        <v>12</v>
      </c>
      <c r="R46" s="483">
        <v>162</v>
      </c>
      <c r="S46" s="484">
        <v>124</v>
      </c>
      <c r="T46" s="485">
        <f t="shared" si="4"/>
        <v>286</v>
      </c>
      <c r="U46" s="483">
        <v>14</v>
      </c>
      <c r="V46" s="484">
        <v>107</v>
      </c>
      <c r="W46" s="485">
        <f t="shared" si="5"/>
        <v>121</v>
      </c>
      <c r="X46" s="483">
        <v>5</v>
      </c>
      <c r="Y46" s="484">
        <v>27</v>
      </c>
      <c r="Z46" s="485">
        <f t="shared" si="6"/>
        <v>32</v>
      </c>
      <c r="AA46" s="483">
        <v>286</v>
      </c>
      <c r="AB46" s="484">
        <v>284</v>
      </c>
      <c r="AC46" s="485">
        <f t="shared" si="7"/>
        <v>570</v>
      </c>
      <c r="AD46" s="483">
        <v>0</v>
      </c>
      <c r="AE46" s="484">
        <v>3</v>
      </c>
      <c r="AF46" s="485">
        <f t="shared" si="8"/>
        <v>3</v>
      </c>
      <c r="AG46" s="483">
        <v>24</v>
      </c>
      <c r="AH46" s="484">
        <v>32</v>
      </c>
      <c r="AI46" s="485">
        <f t="shared" si="9"/>
        <v>56</v>
      </c>
    </row>
    <row r="47" spans="1:35" x14ac:dyDescent="0.35">
      <c r="A47" s="481" t="s">
        <v>294</v>
      </c>
      <c r="B47" s="482" t="s">
        <v>100</v>
      </c>
      <c r="C47" s="483">
        <v>9924</v>
      </c>
      <c r="D47" s="484">
        <v>2765</v>
      </c>
      <c r="E47" s="485">
        <f t="shared" si="10"/>
        <v>12689</v>
      </c>
      <c r="F47" s="483">
        <v>0</v>
      </c>
      <c r="G47" s="484">
        <v>0</v>
      </c>
      <c r="H47" s="485">
        <f t="shared" si="0"/>
        <v>0</v>
      </c>
      <c r="I47" s="483">
        <v>0</v>
      </c>
      <c r="J47" s="484">
        <v>8328</v>
      </c>
      <c r="K47" s="485">
        <f t="shared" si="1"/>
        <v>8328</v>
      </c>
      <c r="L47" s="483">
        <v>8862</v>
      </c>
      <c r="M47" s="484">
        <v>7538</v>
      </c>
      <c r="N47" s="485">
        <f t="shared" si="2"/>
        <v>16400</v>
      </c>
      <c r="O47" s="483">
        <v>2</v>
      </c>
      <c r="P47" s="484">
        <v>5</v>
      </c>
      <c r="Q47" s="485">
        <f t="shared" si="3"/>
        <v>7</v>
      </c>
      <c r="R47" s="483">
        <v>96</v>
      </c>
      <c r="S47" s="484">
        <v>87</v>
      </c>
      <c r="T47" s="485">
        <f t="shared" si="4"/>
        <v>183</v>
      </c>
      <c r="U47" s="483">
        <v>13</v>
      </c>
      <c r="V47" s="484">
        <v>113</v>
      </c>
      <c r="W47" s="485">
        <f t="shared" si="5"/>
        <v>126</v>
      </c>
      <c r="X47" s="483">
        <v>2</v>
      </c>
      <c r="Y47" s="484">
        <v>29</v>
      </c>
      <c r="Z47" s="485">
        <f t="shared" si="6"/>
        <v>31</v>
      </c>
      <c r="AA47" s="483">
        <v>250</v>
      </c>
      <c r="AB47" s="484">
        <v>270</v>
      </c>
      <c r="AC47" s="485">
        <f t="shared" si="7"/>
        <v>520</v>
      </c>
      <c r="AD47" s="483">
        <v>2</v>
      </c>
      <c r="AE47" s="484">
        <v>9</v>
      </c>
      <c r="AF47" s="485">
        <f t="shared" si="8"/>
        <v>11</v>
      </c>
      <c r="AG47" s="483">
        <v>18</v>
      </c>
      <c r="AH47" s="484">
        <v>30</v>
      </c>
      <c r="AI47" s="485">
        <f t="shared" si="9"/>
        <v>48</v>
      </c>
    </row>
    <row r="48" spans="1:35" x14ac:dyDescent="0.35">
      <c r="A48" s="481" t="s">
        <v>295</v>
      </c>
      <c r="B48" s="482" t="s">
        <v>103</v>
      </c>
      <c r="C48" s="483">
        <v>15742</v>
      </c>
      <c r="D48" s="484">
        <v>4259</v>
      </c>
      <c r="E48" s="485">
        <f t="shared" si="10"/>
        <v>20001</v>
      </c>
      <c r="F48" s="483">
        <v>0</v>
      </c>
      <c r="G48" s="484">
        <v>0</v>
      </c>
      <c r="H48" s="485">
        <f t="shared" si="0"/>
        <v>0</v>
      </c>
      <c r="I48" s="483">
        <v>0</v>
      </c>
      <c r="J48" s="484">
        <v>13369</v>
      </c>
      <c r="K48" s="485">
        <f t="shared" si="1"/>
        <v>13369</v>
      </c>
      <c r="L48" s="483">
        <v>14952</v>
      </c>
      <c r="M48" s="484">
        <v>13038</v>
      </c>
      <c r="N48" s="485">
        <f t="shared" si="2"/>
        <v>27990</v>
      </c>
      <c r="O48" s="483">
        <v>6</v>
      </c>
      <c r="P48" s="484">
        <v>6</v>
      </c>
      <c r="Q48" s="485">
        <f t="shared" si="3"/>
        <v>12</v>
      </c>
      <c r="R48" s="483">
        <v>169</v>
      </c>
      <c r="S48" s="484">
        <v>173</v>
      </c>
      <c r="T48" s="485">
        <f t="shared" si="4"/>
        <v>342</v>
      </c>
      <c r="U48" s="483">
        <v>23</v>
      </c>
      <c r="V48" s="484">
        <v>188</v>
      </c>
      <c r="W48" s="485">
        <f t="shared" si="5"/>
        <v>211</v>
      </c>
      <c r="X48" s="483">
        <v>6</v>
      </c>
      <c r="Y48" s="484">
        <v>59</v>
      </c>
      <c r="Z48" s="485">
        <f t="shared" si="6"/>
        <v>65</v>
      </c>
      <c r="AA48" s="483">
        <v>398</v>
      </c>
      <c r="AB48" s="484">
        <v>393</v>
      </c>
      <c r="AC48" s="485">
        <f t="shared" si="7"/>
        <v>791</v>
      </c>
      <c r="AD48" s="483">
        <v>0</v>
      </c>
      <c r="AE48" s="484">
        <v>9</v>
      </c>
      <c r="AF48" s="485">
        <f t="shared" si="8"/>
        <v>9</v>
      </c>
      <c r="AG48" s="483">
        <v>39</v>
      </c>
      <c r="AH48" s="484">
        <v>54</v>
      </c>
      <c r="AI48" s="485">
        <f t="shared" si="9"/>
        <v>93</v>
      </c>
    </row>
    <row r="49" spans="1:35" x14ac:dyDescent="0.35">
      <c r="A49" s="481" t="s">
        <v>296</v>
      </c>
      <c r="B49" s="482" t="s">
        <v>105</v>
      </c>
      <c r="C49" s="483">
        <v>10051</v>
      </c>
      <c r="D49" s="484">
        <v>2960</v>
      </c>
      <c r="E49" s="485">
        <f t="shared" si="10"/>
        <v>13011</v>
      </c>
      <c r="F49" s="483">
        <v>0</v>
      </c>
      <c r="G49" s="484">
        <v>0</v>
      </c>
      <c r="H49" s="485">
        <f t="shared" si="0"/>
        <v>0</v>
      </c>
      <c r="I49" s="483">
        <v>0</v>
      </c>
      <c r="J49" s="484">
        <v>8377</v>
      </c>
      <c r="K49" s="485">
        <f t="shared" si="1"/>
        <v>8377</v>
      </c>
      <c r="L49" s="483">
        <v>9225</v>
      </c>
      <c r="M49" s="484">
        <v>8178</v>
      </c>
      <c r="N49" s="485">
        <f t="shared" si="2"/>
        <v>17403</v>
      </c>
      <c r="O49" s="483">
        <v>4</v>
      </c>
      <c r="P49" s="484">
        <v>5</v>
      </c>
      <c r="Q49" s="485">
        <f t="shared" si="3"/>
        <v>9</v>
      </c>
      <c r="R49" s="483">
        <v>99</v>
      </c>
      <c r="S49" s="484">
        <v>89</v>
      </c>
      <c r="T49" s="485">
        <f t="shared" si="4"/>
        <v>188</v>
      </c>
      <c r="U49" s="483">
        <v>10</v>
      </c>
      <c r="V49" s="484">
        <v>128</v>
      </c>
      <c r="W49" s="485">
        <f t="shared" si="5"/>
        <v>138</v>
      </c>
      <c r="X49" s="483">
        <v>3</v>
      </c>
      <c r="Y49" s="484">
        <v>25</v>
      </c>
      <c r="Z49" s="485">
        <f t="shared" si="6"/>
        <v>28</v>
      </c>
      <c r="AA49" s="483">
        <v>235</v>
      </c>
      <c r="AB49" s="484">
        <v>227</v>
      </c>
      <c r="AC49" s="485">
        <f t="shared" si="7"/>
        <v>462</v>
      </c>
      <c r="AD49" s="483">
        <v>1</v>
      </c>
      <c r="AE49" s="484">
        <v>6</v>
      </c>
      <c r="AF49" s="485">
        <f t="shared" si="8"/>
        <v>7</v>
      </c>
      <c r="AG49" s="483">
        <v>15</v>
      </c>
      <c r="AH49" s="484">
        <v>36</v>
      </c>
      <c r="AI49" s="485">
        <f t="shared" si="9"/>
        <v>51</v>
      </c>
    </row>
    <row r="50" spans="1:35" ht="15" thickBot="1" x14ac:dyDescent="0.4">
      <c r="A50" s="486" t="s">
        <v>297</v>
      </c>
      <c r="B50" s="487" t="s">
        <v>107</v>
      </c>
      <c r="C50" s="488">
        <v>11693</v>
      </c>
      <c r="D50" s="489">
        <v>3561</v>
      </c>
      <c r="E50" s="490">
        <f t="shared" si="10"/>
        <v>15254</v>
      </c>
      <c r="F50" s="488">
        <v>0</v>
      </c>
      <c r="G50" s="489">
        <v>0</v>
      </c>
      <c r="H50" s="490">
        <f t="shared" si="0"/>
        <v>0</v>
      </c>
      <c r="I50" s="488">
        <v>0</v>
      </c>
      <c r="J50" s="489">
        <v>9679</v>
      </c>
      <c r="K50" s="490">
        <f t="shared" si="1"/>
        <v>9679</v>
      </c>
      <c r="L50" s="488">
        <v>10730</v>
      </c>
      <c r="M50" s="489">
        <v>9379</v>
      </c>
      <c r="N50" s="490">
        <f t="shared" si="2"/>
        <v>20109</v>
      </c>
      <c r="O50" s="488">
        <v>6</v>
      </c>
      <c r="P50" s="489">
        <v>4</v>
      </c>
      <c r="Q50" s="490">
        <f t="shared" si="3"/>
        <v>10</v>
      </c>
      <c r="R50" s="488">
        <v>126</v>
      </c>
      <c r="S50" s="489">
        <v>123</v>
      </c>
      <c r="T50" s="490">
        <f t="shared" si="4"/>
        <v>249</v>
      </c>
      <c r="U50" s="488">
        <v>12</v>
      </c>
      <c r="V50" s="489">
        <v>115</v>
      </c>
      <c r="W50" s="490">
        <f t="shared" si="5"/>
        <v>127</v>
      </c>
      <c r="X50" s="488">
        <v>7</v>
      </c>
      <c r="Y50" s="489">
        <v>46</v>
      </c>
      <c r="Z50" s="490">
        <f t="shared" si="6"/>
        <v>53</v>
      </c>
      <c r="AA50" s="488">
        <v>359</v>
      </c>
      <c r="AB50" s="489">
        <v>313</v>
      </c>
      <c r="AC50" s="490">
        <f t="shared" si="7"/>
        <v>672</v>
      </c>
      <c r="AD50" s="488">
        <v>0</v>
      </c>
      <c r="AE50" s="489">
        <v>4</v>
      </c>
      <c r="AF50" s="490">
        <f t="shared" si="8"/>
        <v>4</v>
      </c>
      <c r="AG50" s="488">
        <v>26</v>
      </c>
      <c r="AH50" s="489">
        <v>33</v>
      </c>
      <c r="AI50" s="490">
        <f t="shared" si="9"/>
        <v>59</v>
      </c>
    </row>
    <row r="51" spans="1:35" x14ac:dyDescent="0.35">
      <c r="A51" s="461" t="s">
        <v>298</v>
      </c>
      <c r="B51" s="462" t="s">
        <v>112</v>
      </c>
      <c r="C51" s="463">
        <v>63111</v>
      </c>
      <c r="D51" s="464">
        <v>15451</v>
      </c>
      <c r="E51" s="465">
        <f t="shared" si="10"/>
        <v>78562</v>
      </c>
      <c r="F51" s="463">
        <v>0</v>
      </c>
      <c r="G51" s="464">
        <v>0</v>
      </c>
      <c r="H51" s="465">
        <f t="shared" si="0"/>
        <v>0</v>
      </c>
      <c r="I51" s="463">
        <v>0</v>
      </c>
      <c r="J51" s="464">
        <v>54474</v>
      </c>
      <c r="K51" s="465">
        <f t="shared" si="1"/>
        <v>54474</v>
      </c>
      <c r="L51" s="463">
        <v>60403</v>
      </c>
      <c r="M51" s="464">
        <v>53676</v>
      </c>
      <c r="N51" s="465">
        <f t="shared" si="2"/>
        <v>114079</v>
      </c>
      <c r="O51" s="463">
        <v>17</v>
      </c>
      <c r="P51" s="464">
        <v>25</v>
      </c>
      <c r="Q51" s="465">
        <f t="shared" si="3"/>
        <v>42</v>
      </c>
      <c r="R51" s="463">
        <v>622</v>
      </c>
      <c r="S51" s="464">
        <v>575</v>
      </c>
      <c r="T51" s="465">
        <f t="shared" si="4"/>
        <v>1197</v>
      </c>
      <c r="U51" s="463">
        <v>90</v>
      </c>
      <c r="V51" s="464">
        <v>883</v>
      </c>
      <c r="W51" s="465">
        <f t="shared" si="5"/>
        <v>973</v>
      </c>
      <c r="X51" s="463">
        <v>28</v>
      </c>
      <c r="Y51" s="464">
        <v>247</v>
      </c>
      <c r="Z51" s="465">
        <f t="shared" si="6"/>
        <v>275</v>
      </c>
      <c r="AA51" s="463">
        <v>1584</v>
      </c>
      <c r="AB51" s="464">
        <v>1487</v>
      </c>
      <c r="AC51" s="465">
        <f t="shared" si="7"/>
        <v>3071</v>
      </c>
      <c r="AD51" s="463">
        <v>3</v>
      </c>
      <c r="AE51" s="464">
        <v>18</v>
      </c>
      <c r="AF51" s="465">
        <f t="shared" si="8"/>
        <v>21</v>
      </c>
      <c r="AG51" s="463">
        <v>92</v>
      </c>
      <c r="AH51" s="464">
        <v>204</v>
      </c>
      <c r="AI51" s="465">
        <f t="shared" si="9"/>
        <v>296</v>
      </c>
    </row>
    <row r="52" spans="1:35" x14ac:dyDescent="0.35">
      <c r="A52" s="466" t="s">
        <v>299</v>
      </c>
      <c r="B52" s="467" t="s">
        <v>110</v>
      </c>
      <c r="C52" s="468">
        <v>10536</v>
      </c>
      <c r="D52" s="469">
        <v>2775</v>
      </c>
      <c r="E52" s="470">
        <f t="shared" si="10"/>
        <v>13311</v>
      </c>
      <c r="F52" s="468">
        <v>0</v>
      </c>
      <c r="G52" s="469">
        <v>0</v>
      </c>
      <c r="H52" s="470">
        <f t="shared" si="0"/>
        <v>0</v>
      </c>
      <c r="I52" s="468">
        <v>0</v>
      </c>
      <c r="J52" s="469">
        <v>8969</v>
      </c>
      <c r="K52" s="470">
        <f t="shared" si="1"/>
        <v>8969</v>
      </c>
      <c r="L52" s="468">
        <v>10083</v>
      </c>
      <c r="M52" s="469">
        <v>8826</v>
      </c>
      <c r="N52" s="470">
        <f t="shared" si="2"/>
        <v>18909</v>
      </c>
      <c r="O52" s="468">
        <v>5</v>
      </c>
      <c r="P52" s="469">
        <v>5</v>
      </c>
      <c r="Q52" s="470">
        <f t="shared" si="3"/>
        <v>10</v>
      </c>
      <c r="R52" s="468">
        <v>114</v>
      </c>
      <c r="S52" s="469">
        <v>110</v>
      </c>
      <c r="T52" s="470">
        <f t="shared" si="4"/>
        <v>224</v>
      </c>
      <c r="U52" s="468">
        <v>15</v>
      </c>
      <c r="V52" s="469">
        <v>124</v>
      </c>
      <c r="W52" s="470">
        <f t="shared" si="5"/>
        <v>139</v>
      </c>
      <c r="X52" s="468">
        <v>9</v>
      </c>
      <c r="Y52" s="469">
        <v>32</v>
      </c>
      <c r="Z52" s="470">
        <f t="shared" si="6"/>
        <v>41</v>
      </c>
      <c r="AA52" s="468">
        <v>279</v>
      </c>
      <c r="AB52" s="469">
        <v>250</v>
      </c>
      <c r="AC52" s="470">
        <f t="shared" si="7"/>
        <v>529</v>
      </c>
      <c r="AD52" s="468">
        <v>2</v>
      </c>
      <c r="AE52" s="469">
        <v>3</v>
      </c>
      <c r="AF52" s="470">
        <f t="shared" si="8"/>
        <v>5</v>
      </c>
      <c r="AG52" s="468">
        <v>10</v>
      </c>
      <c r="AH52" s="469">
        <v>29</v>
      </c>
      <c r="AI52" s="470">
        <f t="shared" si="9"/>
        <v>39</v>
      </c>
    </row>
    <row r="53" spans="1:35" x14ac:dyDescent="0.35">
      <c r="A53" s="466" t="s">
        <v>300</v>
      </c>
      <c r="B53" s="467" t="s">
        <v>112</v>
      </c>
      <c r="C53" s="468">
        <v>9779</v>
      </c>
      <c r="D53" s="469">
        <v>2504</v>
      </c>
      <c r="E53" s="470">
        <f t="shared" si="10"/>
        <v>12283</v>
      </c>
      <c r="F53" s="468">
        <v>0</v>
      </c>
      <c r="G53" s="469">
        <v>0</v>
      </c>
      <c r="H53" s="470">
        <f t="shared" si="0"/>
        <v>0</v>
      </c>
      <c r="I53" s="468">
        <v>0</v>
      </c>
      <c r="J53" s="469">
        <v>8316</v>
      </c>
      <c r="K53" s="470">
        <f t="shared" si="1"/>
        <v>8316</v>
      </c>
      <c r="L53" s="468">
        <v>9202</v>
      </c>
      <c r="M53" s="469">
        <v>8073</v>
      </c>
      <c r="N53" s="470">
        <f t="shared" si="2"/>
        <v>17275</v>
      </c>
      <c r="O53" s="468">
        <v>6</v>
      </c>
      <c r="P53" s="469">
        <v>7</v>
      </c>
      <c r="Q53" s="470">
        <f t="shared" si="3"/>
        <v>13</v>
      </c>
      <c r="R53" s="468">
        <v>102</v>
      </c>
      <c r="S53" s="469">
        <v>91</v>
      </c>
      <c r="T53" s="470">
        <f t="shared" si="4"/>
        <v>193</v>
      </c>
      <c r="U53" s="468">
        <v>14</v>
      </c>
      <c r="V53" s="469">
        <v>158</v>
      </c>
      <c r="W53" s="470">
        <f t="shared" si="5"/>
        <v>172</v>
      </c>
      <c r="X53" s="468">
        <v>3</v>
      </c>
      <c r="Y53" s="469">
        <v>36</v>
      </c>
      <c r="Z53" s="470">
        <f t="shared" si="6"/>
        <v>39</v>
      </c>
      <c r="AA53" s="468">
        <v>261</v>
      </c>
      <c r="AB53" s="469">
        <v>249</v>
      </c>
      <c r="AC53" s="470">
        <f t="shared" si="7"/>
        <v>510</v>
      </c>
      <c r="AD53" s="468">
        <v>0</v>
      </c>
      <c r="AE53" s="469">
        <v>4</v>
      </c>
      <c r="AF53" s="470">
        <f t="shared" si="8"/>
        <v>4</v>
      </c>
      <c r="AG53" s="468">
        <v>8</v>
      </c>
      <c r="AH53" s="469">
        <v>30</v>
      </c>
      <c r="AI53" s="470">
        <f t="shared" si="9"/>
        <v>38</v>
      </c>
    </row>
    <row r="54" spans="1:35" x14ac:dyDescent="0.35">
      <c r="A54" s="466" t="s">
        <v>301</v>
      </c>
      <c r="B54" s="467" t="s">
        <v>114</v>
      </c>
      <c r="C54" s="468">
        <v>11907</v>
      </c>
      <c r="D54" s="469">
        <v>3111</v>
      </c>
      <c r="E54" s="470">
        <f t="shared" si="10"/>
        <v>15018</v>
      </c>
      <c r="F54" s="468">
        <v>0</v>
      </c>
      <c r="G54" s="469">
        <v>0</v>
      </c>
      <c r="H54" s="470">
        <f t="shared" si="0"/>
        <v>0</v>
      </c>
      <c r="I54" s="468">
        <v>0</v>
      </c>
      <c r="J54" s="469">
        <v>10214</v>
      </c>
      <c r="K54" s="470">
        <f t="shared" si="1"/>
        <v>10214</v>
      </c>
      <c r="L54" s="468">
        <v>11308</v>
      </c>
      <c r="M54" s="469">
        <v>10039</v>
      </c>
      <c r="N54" s="470">
        <f t="shared" si="2"/>
        <v>21347</v>
      </c>
      <c r="O54" s="468">
        <v>2</v>
      </c>
      <c r="P54" s="469">
        <v>4</v>
      </c>
      <c r="Q54" s="470">
        <f t="shared" si="3"/>
        <v>6</v>
      </c>
      <c r="R54" s="468">
        <v>114</v>
      </c>
      <c r="S54" s="469">
        <v>106</v>
      </c>
      <c r="T54" s="470">
        <f t="shared" si="4"/>
        <v>220</v>
      </c>
      <c r="U54" s="468">
        <v>17</v>
      </c>
      <c r="V54" s="469">
        <v>156</v>
      </c>
      <c r="W54" s="470">
        <f t="shared" si="5"/>
        <v>173</v>
      </c>
      <c r="X54" s="468">
        <v>4</v>
      </c>
      <c r="Y54" s="469">
        <v>64</v>
      </c>
      <c r="Z54" s="470">
        <f t="shared" si="6"/>
        <v>68</v>
      </c>
      <c r="AA54" s="468">
        <v>306</v>
      </c>
      <c r="AB54" s="469">
        <v>267</v>
      </c>
      <c r="AC54" s="470">
        <f t="shared" si="7"/>
        <v>573</v>
      </c>
      <c r="AD54" s="468">
        <v>0</v>
      </c>
      <c r="AE54" s="469">
        <v>3</v>
      </c>
      <c r="AF54" s="470">
        <f t="shared" si="8"/>
        <v>3</v>
      </c>
      <c r="AG54" s="468">
        <v>20</v>
      </c>
      <c r="AH54" s="469">
        <v>35</v>
      </c>
      <c r="AI54" s="470">
        <f t="shared" si="9"/>
        <v>55</v>
      </c>
    </row>
    <row r="55" spans="1:35" x14ac:dyDescent="0.35">
      <c r="A55" s="466" t="s">
        <v>302</v>
      </c>
      <c r="B55" s="467" t="s">
        <v>116</v>
      </c>
      <c r="C55" s="468">
        <v>10622</v>
      </c>
      <c r="D55" s="469">
        <v>2716</v>
      </c>
      <c r="E55" s="470">
        <f t="shared" si="10"/>
        <v>13338</v>
      </c>
      <c r="F55" s="468">
        <v>0</v>
      </c>
      <c r="G55" s="469">
        <v>0</v>
      </c>
      <c r="H55" s="470">
        <f t="shared" si="0"/>
        <v>0</v>
      </c>
      <c r="I55" s="468">
        <v>0</v>
      </c>
      <c r="J55" s="469">
        <v>9019</v>
      </c>
      <c r="K55" s="470">
        <f t="shared" si="1"/>
        <v>9019</v>
      </c>
      <c r="L55" s="468">
        <v>9971</v>
      </c>
      <c r="M55" s="469">
        <v>8763</v>
      </c>
      <c r="N55" s="470">
        <f t="shared" si="2"/>
        <v>18734</v>
      </c>
      <c r="O55" s="468">
        <v>0</v>
      </c>
      <c r="P55" s="469">
        <v>3</v>
      </c>
      <c r="Q55" s="470">
        <f t="shared" si="3"/>
        <v>3</v>
      </c>
      <c r="R55" s="468">
        <v>116</v>
      </c>
      <c r="S55" s="469">
        <v>106</v>
      </c>
      <c r="T55" s="470">
        <f t="shared" si="4"/>
        <v>222</v>
      </c>
      <c r="U55" s="468">
        <v>9</v>
      </c>
      <c r="V55" s="469">
        <v>176</v>
      </c>
      <c r="W55" s="470">
        <f t="shared" si="5"/>
        <v>185</v>
      </c>
      <c r="X55" s="468">
        <v>5</v>
      </c>
      <c r="Y55" s="469">
        <v>47</v>
      </c>
      <c r="Z55" s="470">
        <f t="shared" si="6"/>
        <v>52</v>
      </c>
      <c r="AA55" s="468">
        <v>310</v>
      </c>
      <c r="AB55" s="469">
        <v>294</v>
      </c>
      <c r="AC55" s="470">
        <f t="shared" si="7"/>
        <v>604</v>
      </c>
      <c r="AD55" s="468">
        <v>1</v>
      </c>
      <c r="AE55" s="469">
        <v>2</v>
      </c>
      <c r="AF55" s="470">
        <f t="shared" si="8"/>
        <v>3</v>
      </c>
      <c r="AG55" s="468">
        <v>30</v>
      </c>
      <c r="AH55" s="469">
        <v>42</v>
      </c>
      <c r="AI55" s="470">
        <f t="shared" si="9"/>
        <v>72</v>
      </c>
    </row>
    <row r="56" spans="1:35" x14ac:dyDescent="0.35">
      <c r="A56" s="466" t="s">
        <v>303</v>
      </c>
      <c r="B56" s="467" t="s">
        <v>118</v>
      </c>
      <c r="C56" s="468">
        <v>9302</v>
      </c>
      <c r="D56" s="469">
        <v>1917</v>
      </c>
      <c r="E56" s="470">
        <f t="shared" si="10"/>
        <v>11219</v>
      </c>
      <c r="F56" s="468">
        <v>0</v>
      </c>
      <c r="G56" s="469">
        <v>0</v>
      </c>
      <c r="H56" s="470">
        <f t="shared" si="0"/>
        <v>0</v>
      </c>
      <c r="I56" s="468">
        <v>0</v>
      </c>
      <c r="J56" s="469">
        <v>8293</v>
      </c>
      <c r="K56" s="470">
        <f t="shared" si="1"/>
        <v>8293</v>
      </c>
      <c r="L56" s="468">
        <v>9112</v>
      </c>
      <c r="M56" s="469">
        <v>8393</v>
      </c>
      <c r="N56" s="470">
        <f t="shared" si="2"/>
        <v>17505</v>
      </c>
      <c r="O56" s="468">
        <v>2</v>
      </c>
      <c r="P56" s="469">
        <v>1</v>
      </c>
      <c r="Q56" s="470">
        <f t="shared" si="3"/>
        <v>3</v>
      </c>
      <c r="R56" s="468">
        <v>72</v>
      </c>
      <c r="S56" s="469">
        <v>65</v>
      </c>
      <c r="T56" s="470">
        <f t="shared" si="4"/>
        <v>137</v>
      </c>
      <c r="U56" s="468">
        <v>13</v>
      </c>
      <c r="V56" s="469">
        <v>101</v>
      </c>
      <c r="W56" s="470">
        <f t="shared" si="5"/>
        <v>114</v>
      </c>
      <c r="X56" s="468">
        <v>1</v>
      </c>
      <c r="Y56" s="469">
        <v>22</v>
      </c>
      <c r="Z56" s="470">
        <f t="shared" si="6"/>
        <v>23</v>
      </c>
      <c r="AA56" s="468">
        <v>163</v>
      </c>
      <c r="AB56" s="469">
        <v>156</v>
      </c>
      <c r="AC56" s="470">
        <f t="shared" si="7"/>
        <v>319</v>
      </c>
      <c r="AD56" s="468">
        <v>0</v>
      </c>
      <c r="AE56" s="469">
        <v>3</v>
      </c>
      <c r="AF56" s="470">
        <f t="shared" si="8"/>
        <v>3</v>
      </c>
      <c r="AG56" s="468">
        <v>8</v>
      </c>
      <c r="AH56" s="469">
        <v>31</v>
      </c>
      <c r="AI56" s="470">
        <f t="shared" si="9"/>
        <v>39</v>
      </c>
    </row>
    <row r="57" spans="1:35" ht="15" thickBot="1" x14ac:dyDescent="0.4">
      <c r="A57" s="471" t="s">
        <v>304</v>
      </c>
      <c r="B57" s="472" t="s">
        <v>120</v>
      </c>
      <c r="C57" s="473">
        <v>10965</v>
      </c>
      <c r="D57" s="474">
        <v>2428</v>
      </c>
      <c r="E57" s="475">
        <f t="shared" si="10"/>
        <v>13393</v>
      </c>
      <c r="F57" s="473">
        <v>0</v>
      </c>
      <c r="G57" s="474">
        <v>0</v>
      </c>
      <c r="H57" s="475">
        <f t="shared" si="0"/>
        <v>0</v>
      </c>
      <c r="I57" s="473">
        <v>0</v>
      </c>
      <c r="J57" s="474">
        <v>9663</v>
      </c>
      <c r="K57" s="475">
        <f t="shared" si="1"/>
        <v>9663</v>
      </c>
      <c r="L57" s="473">
        <v>10727</v>
      </c>
      <c r="M57" s="474">
        <v>9582</v>
      </c>
      <c r="N57" s="475">
        <f t="shared" si="2"/>
        <v>20309</v>
      </c>
      <c r="O57" s="473">
        <v>2</v>
      </c>
      <c r="P57" s="474">
        <v>5</v>
      </c>
      <c r="Q57" s="475">
        <f t="shared" si="3"/>
        <v>7</v>
      </c>
      <c r="R57" s="473">
        <v>104</v>
      </c>
      <c r="S57" s="474">
        <v>97</v>
      </c>
      <c r="T57" s="475">
        <f t="shared" si="4"/>
        <v>201</v>
      </c>
      <c r="U57" s="473">
        <v>22</v>
      </c>
      <c r="V57" s="474">
        <v>168</v>
      </c>
      <c r="W57" s="475">
        <f t="shared" si="5"/>
        <v>190</v>
      </c>
      <c r="X57" s="473">
        <v>6</v>
      </c>
      <c r="Y57" s="474">
        <v>46</v>
      </c>
      <c r="Z57" s="475">
        <f t="shared" si="6"/>
        <v>52</v>
      </c>
      <c r="AA57" s="473">
        <v>265</v>
      </c>
      <c r="AB57" s="474">
        <v>271</v>
      </c>
      <c r="AC57" s="475">
        <f t="shared" si="7"/>
        <v>536</v>
      </c>
      <c r="AD57" s="473">
        <v>0</v>
      </c>
      <c r="AE57" s="474">
        <v>3</v>
      </c>
      <c r="AF57" s="475">
        <f t="shared" si="8"/>
        <v>3</v>
      </c>
      <c r="AG57" s="473">
        <v>16</v>
      </c>
      <c r="AH57" s="474">
        <v>37</v>
      </c>
      <c r="AI57" s="475">
        <f t="shared" si="9"/>
        <v>53</v>
      </c>
    </row>
    <row r="58" spans="1:35" x14ac:dyDescent="0.35">
      <c r="A58" s="476" t="s">
        <v>305</v>
      </c>
      <c r="B58" s="477" t="s">
        <v>123</v>
      </c>
      <c r="C58" s="478">
        <v>31547</v>
      </c>
      <c r="D58" s="479">
        <v>7801</v>
      </c>
      <c r="E58" s="480">
        <f t="shared" si="10"/>
        <v>39348</v>
      </c>
      <c r="F58" s="478">
        <v>0</v>
      </c>
      <c r="G58" s="479">
        <v>0</v>
      </c>
      <c r="H58" s="480">
        <f t="shared" si="0"/>
        <v>0</v>
      </c>
      <c r="I58" s="478">
        <v>0</v>
      </c>
      <c r="J58" s="479">
        <v>27134</v>
      </c>
      <c r="K58" s="480">
        <f t="shared" si="1"/>
        <v>27134</v>
      </c>
      <c r="L58" s="478">
        <v>28951</v>
      </c>
      <c r="M58" s="479">
        <v>26115</v>
      </c>
      <c r="N58" s="480">
        <f t="shared" si="2"/>
        <v>55066</v>
      </c>
      <c r="O58" s="478">
        <v>8</v>
      </c>
      <c r="P58" s="479">
        <v>5</v>
      </c>
      <c r="Q58" s="480">
        <f t="shared" si="3"/>
        <v>13</v>
      </c>
      <c r="R58" s="478">
        <v>273</v>
      </c>
      <c r="S58" s="479">
        <v>251</v>
      </c>
      <c r="T58" s="480">
        <f t="shared" si="4"/>
        <v>524</v>
      </c>
      <c r="U58" s="478">
        <v>29</v>
      </c>
      <c r="V58" s="479">
        <v>275</v>
      </c>
      <c r="W58" s="480">
        <f t="shared" si="5"/>
        <v>304</v>
      </c>
      <c r="X58" s="478">
        <v>21</v>
      </c>
      <c r="Y58" s="479">
        <v>129</v>
      </c>
      <c r="Z58" s="480">
        <f t="shared" si="6"/>
        <v>150</v>
      </c>
      <c r="AA58" s="478">
        <v>724</v>
      </c>
      <c r="AB58" s="479">
        <v>660</v>
      </c>
      <c r="AC58" s="480">
        <f t="shared" si="7"/>
        <v>1384</v>
      </c>
      <c r="AD58" s="478">
        <v>0</v>
      </c>
      <c r="AE58" s="479">
        <v>4</v>
      </c>
      <c r="AF58" s="480">
        <f t="shared" si="8"/>
        <v>4</v>
      </c>
      <c r="AG58" s="478">
        <v>57</v>
      </c>
      <c r="AH58" s="479">
        <v>81</v>
      </c>
      <c r="AI58" s="480">
        <f t="shared" si="9"/>
        <v>138</v>
      </c>
    </row>
    <row r="59" spans="1:35" x14ac:dyDescent="0.35">
      <c r="A59" s="481" t="s">
        <v>306</v>
      </c>
      <c r="B59" s="482" t="s">
        <v>123</v>
      </c>
      <c r="C59" s="483">
        <v>8261</v>
      </c>
      <c r="D59" s="484">
        <v>2234</v>
      </c>
      <c r="E59" s="485">
        <f t="shared" si="10"/>
        <v>10495</v>
      </c>
      <c r="F59" s="483">
        <v>0</v>
      </c>
      <c r="G59" s="484">
        <v>0</v>
      </c>
      <c r="H59" s="485">
        <f t="shared" si="0"/>
        <v>0</v>
      </c>
      <c r="I59" s="483">
        <v>0</v>
      </c>
      <c r="J59" s="484">
        <v>7002</v>
      </c>
      <c r="K59" s="485">
        <f t="shared" si="1"/>
        <v>7002</v>
      </c>
      <c r="L59" s="483">
        <v>7422</v>
      </c>
      <c r="M59" s="484">
        <v>6728</v>
      </c>
      <c r="N59" s="485">
        <f t="shared" si="2"/>
        <v>14150</v>
      </c>
      <c r="O59" s="483">
        <v>3</v>
      </c>
      <c r="P59" s="484">
        <v>0</v>
      </c>
      <c r="Q59" s="485">
        <f t="shared" si="3"/>
        <v>3</v>
      </c>
      <c r="R59" s="483">
        <v>70</v>
      </c>
      <c r="S59" s="484">
        <v>63</v>
      </c>
      <c r="T59" s="485">
        <f t="shared" si="4"/>
        <v>133</v>
      </c>
      <c r="U59" s="483">
        <v>6</v>
      </c>
      <c r="V59" s="484">
        <v>64</v>
      </c>
      <c r="W59" s="485">
        <f t="shared" si="5"/>
        <v>70</v>
      </c>
      <c r="X59" s="483">
        <v>5</v>
      </c>
      <c r="Y59" s="484">
        <v>25</v>
      </c>
      <c r="Z59" s="485">
        <f t="shared" si="6"/>
        <v>30</v>
      </c>
      <c r="AA59" s="483">
        <v>210</v>
      </c>
      <c r="AB59" s="484">
        <v>211</v>
      </c>
      <c r="AC59" s="485">
        <f t="shared" si="7"/>
        <v>421</v>
      </c>
      <c r="AD59" s="483">
        <v>0</v>
      </c>
      <c r="AE59" s="484">
        <v>0</v>
      </c>
      <c r="AF59" s="485">
        <f t="shared" si="8"/>
        <v>0</v>
      </c>
      <c r="AG59" s="483">
        <v>13</v>
      </c>
      <c r="AH59" s="484">
        <v>22</v>
      </c>
      <c r="AI59" s="485">
        <f t="shared" si="9"/>
        <v>35</v>
      </c>
    </row>
    <row r="60" spans="1:35" x14ac:dyDescent="0.35">
      <c r="A60" s="481" t="s">
        <v>307</v>
      </c>
      <c r="B60" s="482" t="s">
        <v>125</v>
      </c>
      <c r="C60" s="483">
        <v>4353</v>
      </c>
      <c r="D60" s="484">
        <v>1187</v>
      </c>
      <c r="E60" s="485">
        <f t="shared" si="10"/>
        <v>5540</v>
      </c>
      <c r="F60" s="483">
        <v>0</v>
      </c>
      <c r="G60" s="484">
        <v>0</v>
      </c>
      <c r="H60" s="485">
        <f t="shared" si="0"/>
        <v>0</v>
      </c>
      <c r="I60" s="483">
        <v>0</v>
      </c>
      <c r="J60" s="484">
        <v>3741</v>
      </c>
      <c r="K60" s="485">
        <f t="shared" si="1"/>
        <v>3741</v>
      </c>
      <c r="L60" s="483">
        <v>3821</v>
      </c>
      <c r="M60" s="484">
        <v>3654</v>
      </c>
      <c r="N60" s="485">
        <f t="shared" si="2"/>
        <v>7475</v>
      </c>
      <c r="O60" s="483">
        <v>2</v>
      </c>
      <c r="P60" s="484">
        <v>1</v>
      </c>
      <c r="Q60" s="485">
        <f t="shared" si="3"/>
        <v>3</v>
      </c>
      <c r="R60" s="483">
        <v>35</v>
      </c>
      <c r="S60" s="484">
        <v>30</v>
      </c>
      <c r="T60" s="485">
        <f t="shared" si="4"/>
        <v>65</v>
      </c>
      <c r="U60" s="483">
        <v>5</v>
      </c>
      <c r="V60" s="484">
        <v>75</v>
      </c>
      <c r="W60" s="485">
        <f t="shared" si="5"/>
        <v>80</v>
      </c>
      <c r="X60" s="483">
        <v>4</v>
      </c>
      <c r="Y60" s="484">
        <v>28</v>
      </c>
      <c r="Z60" s="485">
        <f t="shared" si="6"/>
        <v>32</v>
      </c>
      <c r="AA60" s="483">
        <v>97</v>
      </c>
      <c r="AB60" s="484">
        <v>112</v>
      </c>
      <c r="AC60" s="485">
        <f t="shared" si="7"/>
        <v>209</v>
      </c>
      <c r="AD60" s="483">
        <v>0</v>
      </c>
      <c r="AE60" s="484">
        <v>2</v>
      </c>
      <c r="AF60" s="485">
        <f t="shared" si="8"/>
        <v>2</v>
      </c>
      <c r="AG60" s="483">
        <v>8</v>
      </c>
      <c r="AH60" s="484">
        <v>18</v>
      </c>
      <c r="AI60" s="485">
        <f t="shared" si="9"/>
        <v>26</v>
      </c>
    </row>
    <row r="61" spans="1:35" x14ac:dyDescent="0.35">
      <c r="A61" s="481" t="s">
        <v>308</v>
      </c>
      <c r="B61" s="482" t="s">
        <v>127</v>
      </c>
      <c r="C61" s="483">
        <v>7655</v>
      </c>
      <c r="D61" s="484">
        <v>1850</v>
      </c>
      <c r="E61" s="485">
        <f t="shared" si="10"/>
        <v>9505</v>
      </c>
      <c r="F61" s="483">
        <v>0</v>
      </c>
      <c r="G61" s="484">
        <v>0</v>
      </c>
      <c r="H61" s="485">
        <f t="shared" si="0"/>
        <v>0</v>
      </c>
      <c r="I61" s="483">
        <v>0</v>
      </c>
      <c r="J61" s="484">
        <v>6595</v>
      </c>
      <c r="K61" s="485">
        <f t="shared" si="1"/>
        <v>6595</v>
      </c>
      <c r="L61" s="483">
        <v>7282</v>
      </c>
      <c r="M61" s="484">
        <v>6484</v>
      </c>
      <c r="N61" s="485">
        <f t="shared" si="2"/>
        <v>13766</v>
      </c>
      <c r="O61" s="483">
        <v>1</v>
      </c>
      <c r="P61" s="484">
        <v>1</v>
      </c>
      <c r="Q61" s="485">
        <f t="shared" si="3"/>
        <v>2</v>
      </c>
      <c r="R61" s="483">
        <v>64</v>
      </c>
      <c r="S61" s="484">
        <v>67</v>
      </c>
      <c r="T61" s="485">
        <f t="shared" si="4"/>
        <v>131</v>
      </c>
      <c r="U61" s="483">
        <v>9</v>
      </c>
      <c r="V61" s="484">
        <v>52</v>
      </c>
      <c r="W61" s="485">
        <f t="shared" si="5"/>
        <v>61</v>
      </c>
      <c r="X61" s="483">
        <v>3</v>
      </c>
      <c r="Y61" s="484">
        <v>34</v>
      </c>
      <c r="Z61" s="485">
        <f t="shared" si="6"/>
        <v>37</v>
      </c>
      <c r="AA61" s="483">
        <v>175</v>
      </c>
      <c r="AB61" s="484">
        <v>152</v>
      </c>
      <c r="AC61" s="485">
        <f t="shared" si="7"/>
        <v>327</v>
      </c>
      <c r="AD61" s="483">
        <v>0</v>
      </c>
      <c r="AE61" s="484">
        <v>1</v>
      </c>
      <c r="AF61" s="485">
        <f t="shared" si="8"/>
        <v>1</v>
      </c>
      <c r="AG61" s="483">
        <v>17</v>
      </c>
      <c r="AH61" s="484">
        <v>22</v>
      </c>
      <c r="AI61" s="485">
        <f t="shared" si="9"/>
        <v>39</v>
      </c>
    </row>
    <row r="62" spans="1:35" x14ac:dyDescent="0.35">
      <c r="A62" s="481" t="s">
        <v>309</v>
      </c>
      <c r="B62" s="482" t="s">
        <v>129</v>
      </c>
      <c r="C62" s="483">
        <v>5374</v>
      </c>
      <c r="D62" s="484">
        <v>1162</v>
      </c>
      <c r="E62" s="485">
        <f t="shared" si="10"/>
        <v>6536</v>
      </c>
      <c r="F62" s="483">
        <v>0</v>
      </c>
      <c r="G62" s="484">
        <v>0</v>
      </c>
      <c r="H62" s="485">
        <f t="shared" si="0"/>
        <v>0</v>
      </c>
      <c r="I62" s="483">
        <v>0</v>
      </c>
      <c r="J62" s="484">
        <v>4710</v>
      </c>
      <c r="K62" s="485">
        <f t="shared" si="1"/>
        <v>4710</v>
      </c>
      <c r="L62" s="483">
        <v>4668</v>
      </c>
      <c r="M62" s="484">
        <v>4144</v>
      </c>
      <c r="N62" s="485">
        <f t="shared" si="2"/>
        <v>8812</v>
      </c>
      <c r="O62" s="483">
        <v>2</v>
      </c>
      <c r="P62" s="484">
        <v>2</v>
      </c>
      <c r="Q62" s="485">
        <f t="shared" si="3"/>
        <v>4</v>
      </c>
      <c r="R62" s="483">
        <v>54</v>
      </c>
      <c r="S62" s="484">
        <v>39</v>
      </c>
      <c r="T62" s="485">
        <f t="shared" si="4"/>
        <v>93</v>
      </c>
      <c r="U62" s="483">
        <v>6</v>
      </c>
      <c r="V62" s="484">
        <v>34</v>
      </c>
      <c r="W62" s="485">
        <f t="shared" si="5"/>
        <v>40</v>
      </c>
      <c r="X62" s="483">
        <v>4</v>
      </c>
      <c r="Y62" s="484">
        <v>22</v>
      </c>
      <c r="Z62" s="485">
        <f t="shared" si="6"/>
        <v>26</v>
      </c>
      <c r="AA62" s="483">
        <v>116</v>
      </c>
      <c r="AB62" s="484">
        <v>87</v>
      </c>
      <c r="AC62" s="485">
        <f t="shared" si="7"/>
        <v>203</v>
      </c>
      <c r="AD62" s="483">
        <v>0</v>
      </c>
      <c r="AE62" s="484">
        <v>1</v>
      </c>
      <c r="AF62" s="485">
        <f t="shared" si="8"/>
        <v>1</v>
      </c>
      <c r="AG62" s="483">
        <v>10</v>
      </c>
      <c r="AH62" s="484">
        <v>7</v>
      </c>
      <c r="AI62" s="485">
        <f t="shared" si="9"/>
        <v>17</v>
      </c>
    </row>
    <row r="63" spans="1:35" ht="15" thickBot="1" x14ac:dyDescent="0.4">
      <c r="A63" s="486" t="s">
        <v>310</v>
      </c>
      <c r="B63" s="487" t="s">
        <v>131</v>
      </c>
      <c r="C63" s="488">
        <v>5904</v>
      </c>
      <c r="D63" s="489">
        <v>1368</v>
      </c>
      <c r="E63" s="490">
        <f t="shared" si="10"/>
        <v>7272</v>
      </c>
      <c r="F63" s="488">
        <v>0</v>
      </c>
      <c r="G63" s="489">
        <v>0</v>
      </c>
      <c r="H63" s="490">
        <f t="shared" si="0"/>
        <v>0</v>
      </c>
      <c r="I63" s="488">
        <v>0</v>
      </c>
      <c r="J63" s="489">
        <v>5086</v>
      </c>
      <c r="K63" s="490">
        <f t="shared" si="1"/>
        <v>5086</v>
      </c>
      <c r="L63" s="488">
        <v>5758</v>
      </c>
      <c r="M63" s="489">
        <v>5105</v>
      </c>
      <c r="N63" s="490">
        <f t="shared" si="2"/>
        <v>10863</v>
      </c>
      <c r="O63" s="488">
        <v>0</v>
      </c>
      <c r="P63" s="489">
        <v>1</v>
      </c>
      <c r="Q63" s="490">
        <f t="shared" si="3"/>
        <v>1</v>
      </c>
      <c r="R63" s="488">
        <v>50</v>
      </c>
      <c r="S63" s="489">
        <v>52</v>
      </c>
      <c r="T63" s="490">
        <f t="shared" si="4"/>
        <v>102</v>
      </c>
      <c r="U63" s="488">
        <v>3</v>
      </c>
      <c r="V63" s="489">
        <v>50</v>
      </c>
      <c r="W63" s="490">
        <f t="shared" si="5"/>
        <v>53</v>
      </c>
      <c r="X63" s="488">
        <v>5</v>
      </c>
      <c r="Y63" s="489">
        <v>20</v>
      </c>
      <c r="Z63" s="490">
        <f t="shared" si="6"/>
        <v>25</v>
      </c>
      <c r="AA63" s="488">
        <v>126</v>
      </c>
      <c r="AB63" s="489">
        <v>98</v>
      </c>
      <c r="AC63" s="490">
        <f t="shared" si="7"/>
        <v>224</v>
      </c>
      <c r="AD63" s="488">
        <v>0</v>
      </c>
      <c r="AE63" s="489">
        <v>0</v>
      </c>
      <c r="AF63" s="490">
        <f t="shared" si="8"/>
        <v>0</v>
      </c>
      <c r="AG63" s="488">
        <v>9</v>
      </c>
      <c r="AH63" s="489">
        <v>12</v>
      </c>
      <c r="AI63" s="490">
        <f t="shared" si="9"/>
        <v>21</v>
      </c>
    </row>
    <row r="64" spans="1:35" x14ac:dyDescent="0.35">
      <c r="A64" s="461" t="s">
        <v>311</v>
      </c>
      <c r="B64" s="462" t="s">
        <v>138</v>
      </c>
      <c r="C64" s="463">
        <v>57814</v>
      </c>
      <c r="D64" s="464">
        <v>11843</v>
      </c>
      <c r="E64" s="465">
        <f t="shared" si="10"/>
        <v>69657</v>
      </c>
      <c r="F64" s="463">
        <v>2</v>
      </c>
      <c r="G64" s="464">
        <v>0</v>
      </c>
      <c r="H64" s="465">
        <f t="shared" si="0"/>
        <v>2</v>
      </c>
      <c r="I64" s="463">
        <v>0</v>
      </c>
      <c r="J64" s="464">
        <v>51301</v>
      </c>
      <c r="K64" s="465">
        <f t="shared" si="1"/>
        <v>51301</v>
      </c>
      <c r="L64" s="463">
        <v>56192</v>
      </c>
      <c r="M64" s="464">
        <v>49893</v>
      </c>
      <c r="N64" s="465">
        <f t="shared" si="2"/>
        <v>106085</v>
      </c>
      <c r="O64" s="463">
        <v>5</v>
      </c>
      <c r="P64" s="464">
        <v>12</v>
      </c>
      <c r="Q64" s="465">
        <f t="shared" si="3"/>
        <v>17</v>
      </c>
      <c r="R64" s="463">
        <v>463</v>
      </c>
      <c r="S64" s="464">
        <v>386</v>
      </c>
      <c r="T64" s="465">
        <f t="shared" si="4"/>
        <v>849</v>
      </c>
      <c r="U64" s="463">
        <v>76</v>
      </c>
      <c r="V64" s="464">
        <v>632</v>
      </c>
      <c r="W64" s="465">
        <f t="shared" si="5"/>
        <v>708</v>
      </c>
      <c r="X64" s="463">
        <v>44</v>
      </c>
      <c r="Y64" s="464">
        <v>308</v>
      </c>
      <c r="Z64" s="465">
        <f t="shared" si="6"/>
        <v>352</v>
      </c>
      <c r="AA64" s="463">
        <v>1264</v>
      </c>
      <c r="AB64" s="464">
        <v>1172</v>
      </c>
      <c r="AC64" s="465">
        <f t="shared" si="7"/>
        <v>2436</v>
      </c>
      <c r="AD64" s="463">
        <v>0</v>
      </c>
      <c r="AE64" s="464">
        <v>4</v>
      </c>
      <c r="AF64" s="465">
        <f t="shared" si="8"/>
        <v>4</v>
      </c>
      <c r="AG64" s="463">
        <v>84</v>
      </c>
      <c r="AH64" s="464">
        <v>105</v>
      </c>
      <c r="AI64" s="465">
        <f t="shared" si="9"/>
        <v>189</v>
      </c>
    </row>
    <row r="65" spans="1:35" x14ac:dyDescent="0.35">
      <c r="A65" s="466" t="s">
        <v>312</v>
      </c>
      <c r="B65" s="467" t="s">
        <v>134</v>
      </c>
      <c r="C65" s="468">
        <v>15283</v>
      </c>
      <c r="D65" s="469">
        <v>3014</v>
      </c>
      <c r="E65" s="470">
        <f t="shared" si="10"/>
        <v>18297</v>
      </c>
      <c r="F65" s="468">
        <v>0</v>
      </c>
      <c r="G65" s="469">
        <v>0</v>
      </c>
      <c r="H65" s="470">
        <f t="shared" si="0"/>
        <v>0</v>
      </c>
      <c r="I65" s="468">
        <v>0</v>
      </c>
      <c r="J65" s="469">
        <v>13580</v>
      </c>
      <c r="K65" s="470">
        <f t="shared" si="1"/>
        <v>13580</v>
      </c>
      <c r="L65" s="468">
        <v>14948</v>
      </c>
      <c r="M65" s="469">
        <v>12997</v>
      </c>
      <c r="N65" s="470">
        <f t="shared" si="2"/>
        <v>27945</v>
      </c>
      <c r="O65" s="468">
        <v>0</v>
      </c>
      <c r="P65" s="469">
        <v>3</v>
      </c>
      <c r="Q65" s="470">
        <f t="shared" si="3"/>
        <v>3</v>
      </c>
      <c r="R65" s="468">
        <v>119</v>
      </c>
      <c r="S65" s="469">
        <v>91</v>
      </c>
      <c r="T65" s="470">
        <f t="shared" si="4"/>
        <v>210</v>
      </c>
      <c r="U65" s="468">
        <v>18</v>
      </c>
      <c r="V65" s="469">
        <v>158</v>
      </c>
      <c r="W65" s="470">
        <f t="shared" si="5"/>
        <v>176</v>
      </c>
      <c r="X65" s="468">
        <v>13</v>
      </c>
      <c r="Y65" s="469">
        <v>64</v>
      </c>
      <c r="Z65" s="470">
        <f t="shared" si="6"/>
        <v>77</v>
      </c>
      <c r="AA65" s="468">
        <v>292</v>
      </c>
      <c r="AB65" s="469">
        <v>276</v>
      </c>
      <c r="AC65" s="470">
        <f t="shared" si="7"/>
        <v>568</v>
      </c>
      <c r="AD65" s="468">
        <v>0</v>
      </c>
      <c r="AE65" s="469">
        <v>1</v>
      </c>
      <c r="AF65" s="470">
        <f t="shared" si="8"/>
        <v>1</v>
      </c>
      <c r="AG65" s="468">
        <v>17</v>
      </c>
      <c r="AH65" s="469">
        <v>32</v>
      </c>
      <c r="AI65" s="470">
        <f t="shared" si="9"/>
        <v>49</v>
      </c>
    </row>
    <row r="66" spans="1:35" x14ac:dyDescent="0.35">
      <c r="A66" s="466" t="s">
        <v>313</v>
      </c>
      <c r="B66" s="467" t="s">
        <v>136</v>
      </c>
      <c r="C66" s="468">
        <v>11834</v>
      </c>
      <c r="D66" s="469">
        <v>2201</v>
      </c>
      <c r="E66" s="470">
        <f t="shared" si="10"/>
        <v>14035</v>
      </c>
      <c r="F66" s="468">
        <v>0</v>
      </c>
      <c r="G66" s="469">
        <v>0</v>
      </c>
      <c r="H66" s="470">
        <f t="shared" si="0"/>
        <v>0</v>
      </c>
      <c r="I66" s="468">
        <v>0</v>
      </c>
      <c r="J66" s="469">
        <v>10653</v>
      </c>
      <c r="K66" s="470">
        <f t="shared" si="1"/>
        <v>10653</v>
      </c>
      <c r="L66" s="468">
        <v>11471</v>
      </c>
      <c r="M66" s="469">
        <v>10553</v>
      </c>
      <c r="N66" s="470">
        <f t="shared" si="2"/>
        <v>22024</v>
      </c>
      <c r="O66" s="468">
        <v>1</v>
      </c>
      <c r="P66" s="469">
        <v>3</v>
      </c>
      <c r="Q66" s="470">
        <f t="shared" si="3"/>
        <v>4</v>
      </c>
      <c r="R66" s="468">
        <v>83</v>
      </c>
      <c r="S66" s="469">
        <v>57</v>
      </c>
      <c r="T66" s="470">
        <f t="shared" si="4"/>
        <v>140</v>
      </c>
      <c r="U66" s="468">
        <v>14</v>
      </c>
      <c r="V66" s="469">
        <v>120</v>
      </c>
      <c r="W66" s="470">
        <f t="shared" si="5"/>
        <v>134</v>
      </c>
      <c r="X66" s="468">
        <v>13</v>
      </c>
      <c r="Y66" s="469">
        <v>68</v>
      </c>
      <c r="Z66" s="470">
        <f t="shared" si="6"/>
        <v>81</v>
      </c>
      <c r="AA66" s="468">
        <v>210</v>
      </c>
      <c r="AB66" s="469">
        <v>189</v>
      </c>
      <c r="AC66" s="470">
        <f t="shared" si="7"/>
        <v>399</v>
      </c>
      <c r="AD66" s="468">
        <v>0</v>
      </c>
      <c r="AE66" s="469">
        <v>1</v>
      </c>
      <c r="AF66" s="470">
        <f t="shared" si="8"/>
        <v>1</v>
      </c>
      <c r="AG66" s="468">
        <v>26</v>
      </c>
      <c r="AH66" s="469">
        <v>18</v>
      </c>
      <c r="AI66" s="470">
        <f t="shared" si="9"/>
        <v>44</v>
      </c>
    </row>
    <row r="67" spans="1:35" x14ac:dyDescent="0.35">
      <c r="A67" s="466" t="s">
        <v>314</v>
      </c>
      <c r="B67" s="467" t="s">
        <v>138</v>
      </c>
      <c r="C67" s="468">
        <v>20211</v>
      </c>
      <c r="D67" s="469">
        <v>4425</v>
      </c>
      <c r="E67" s="470">
        <f t="shared" si="10"/>
        <v>24636</v>
      </c>
      <c r="F67" s="468">
        <v>0</v>
      </c>
      <c r="G67" s="469">
        <v>0</v>
      </c>
      <c r="H67" s="470">
        <f t="shared" si="0"/>
        <v>0</v>
      </c>
      <c r="I67" s="468">
        <v>0</v>
      </c>
      <c r="J67" s="469">
        <v>17889</v>
      </c>
      <c r="K67" s="470">
        <f t="shared" si="1"/>
        <v>17889</v>
      </c>
      <c r="L67" s="468">
        <v>19881</v>
      </c>
      <c r="M67" s="469">
        <v>17717</v>
      </c>
      <c r="N67" s="470">
        <f t="shared" si="2"/>
        <v>37598</v>
      </c>
      <c r="O67" s="468">
        <v>3</v>
      </c>
      <c r="P67" s="469">
        <v>3</v>
      </c>
      <c r="Q67" s="470">
        <f t="shared" si="3"/>
        <v>6</v>
      </c>
      <c r="R67" s="468">
        <v>164</v>
      </c>
      <c r="S67" s="469">
        <v>152</v>
      </c>
      <c r="T67" s="470">
        <f t="shared" si="4"/>
        <v>316</v>
      </c>
      <c r="U67" s="468">
        <v>25</v>
      </c>
      <c r="V67" s="469">
        <v>253</v>
      </c>
      <c r="W67" s="470">
        <f t="shared" si="5"/>
        <v>278</v>
      </c>
      <c r="X67" s="468">
        <v>9</v>
      </c>
      <c r="Y67" s="469">
        <v>114</v>
      </c>
      <c r="Z67" s="470">
        <f t="shared" si="6"/>
        <v>123</v>
      </c>
      <c r="AA67" s="468">
        <v>522</v>
      </c>
      <c r="AB67" s="469">
        <v>541</v>
      </c>
      <c r="AC67" s="470">
        <f t="shared" si="7"/>
        <v>1063</v>
      </c>
      <c r="AD67" s="468">
        <v>0</v>
      </c>
      <c r="AE67" s="469">
        <v>1</v>
      </c>
      <c r="AF67" s="470">
        <f t="shared" si="8"/>
        <v>1</v>
      </c>
      <c r="AG67" s="468">
        <v>28</v>
      </c>
      <c r="AH67" s="469">
        <v>36</v>
      </c>
      <c r="AI67" s="470">
        <f t="shared" si="9"/>
        <v>64</v>
      </c>
    </row>
    <row r="68" spans="1:35" ht="15" thickBot="1" x14ac:dyDescent="0.4">
      <c r="A68" s="471" t="s">
        <v>315</v>
      </c>
      <c r="B68" s="472" t="s">
        <v>140</v>
      </c>
      <c r="C68" s="473">
        <v>10486</v>
      </c>
      <c r="D68" s="474">
        <v>2203</v>
      </c>
      <c r="E68" s="475">
        <f t="shared" si="10"/>
        <v>12689</v>
      </c>
      <c r="F68" s="473">
        <v>2</v>
      </c>
      <c r="G68" s="474">
        <v>0</v>
      </c>
      <c r="H68" s="475">
        <f t="shared" si="0"/>
        <v>2</v>
      </c>
      <c r="I68" s="473">
        <v>0</v>
      </c>
      <c r="J68" s="474">
        <v>9179</v>
      </c>
      <c r="K68" s="475">
        <f t="shared" si="1"/>
        <v>9179</v>
      </c>
      <c r="L68" s="473">
        <v>9892</v>
      </c>
      <c r="M68" s="474">
        <v>8626</v>
      </c>
      <c r="N68" s="475">
        <f t="shared" si="2"/>
        <v>18518</v>
      </c>
      <c r="O68" s="473">
        <v>1</v>
      </c>
      <c r="P68" s="474">
        <v>3</v>
      </c>
      <c r="Q68" s="475">
        <f t="shared" si="3"/>
        <v>4</v>
      </c>
      <c r="R68" s="473">
        <v>97</v>
      </c>
      <c r="S68" s="474">
        <v>86</v>
      </c>
      <c r="T68" s="475">
        <f t="shared" si="4"/>
        <v>183</v>
      </c>
      <c r="U68" s="473">
        <v>19</v>
      </c>
      <c r="V68" s="474">
        <v>101</v>
      </c>
      <c r="W68" s="475">
        <f t="shared" si="5"/>
        <v>120</v>
      </c>
      <c r="X68" s="473">
        <v>9</v>
      </c>
      <c r="Y68" s="474">
        <v>62</v>
      </c>
      <c r="Z68" s="475">
        <f t="shared" si="6"/>
        <v>71</v>
      </c>
      <c r="AA68" s="473">
        <v>240</v>
      </c>
      <c r="AB68" s="474">
        <v>166</v>
      </c>
      <c r="AC68" s="475">
        <f t="shared" si="7"/>
        <v>406</v>
      </c>
      <c r="AD68" s="473">
        <v>0</v>
      </c>
      <c r="AE68" s="474">
        <v>1</v>
      </c>
      <c r="AF68" s="475">
        <f t="shared" si="8"/>
        <v>1</v>
      </c>
      <c r="AG68" s="473">
        <v>13</v>
      </c>
      <c r="AH68" s="474">
        <v>19</v>
      </c>
      <c r="AI68" s="475">
        <f t="shared" si="9"/>
        <v>32</v>
      </c>
    </row>
    <row r="69" spans="1:35" x14ac:dyDescent="0.35">
      <c r="A69" s="491" t="s">
        <v>316</v>
      </c>
      <c r="B69" s="492" t="s">
        <v>148</v>
      </c>
      <c r="C69" s="493">
        <v>33974</v>
      </c>
      <c r="D69" s="494">
        <v>9755</v>
      </c>
      <c r="E69" s="495">
        <f t="shared" si="10"/>
        <v>43729</v>
      </c>
      <c r="F69" s="493">
        <v>0</v>
      </c>
      <c r="G69" s="494">
        <v>0</v>
      </c>
      <c r="H69" s="495">
        <f t="shared" ref="H69:H73" si="11">F69+G69</f>
        <v>0</v>
      </c>
      <c r="I69" s="493">
        <v>0</v>
      </c>
      <c r="J69" s="494">
        <v>28429</v>
      </c>
      <c r="K69" s="495">
        <f t="shared" ref="K69:K73" si="12">I69+J69</f>
        <v>28429</v>
      </c>
      <c r="L69" s="493">
        <v>31371</v>
      </c>
      <c r="M69" s="494">
        <v>27287</v>
      </c>
      <c r="N69" s="495">
        <f t="shared" ref="N69:N73" si="13">L69+M69</f>
        <v>58658</v>
      </c>
      <c r="O69" s="493">
        <v>8</v>
      </c>
      <c r="P69" s="494">
        <v>20</v>
      </c>
      <c r="Q69" s="495">
        <f t="shared" ref="Q69:Q73" si="14">O69+P69</f>
        <v>28</v>
      </c>
      <c r="R69" s="493">
        <v>427</v>
      </c>
      <c r="S69" s="494">
        <v>336</v>
      </c>
      <c r="T69" s="495">
        <f t="shared" ref="T69:T73" si="15">R69+S69</f>
        <v>763</v>
      </c>
      <c r="U69" s="493">
        <v>42</v>
      </c>
      <c r="V69" s="494">
        <v>336</v>
      </c>
      <c r="W69" s="495">
        <f t="shared" ref="W69:W73" si="16">U69+V69</f>
        <v>378</v>
      </c>
      <c r="X69" s="493">
        <v>18</v>
      </c>
      <c r="Y69" s="494">
        <v>118</v>
      </c>
      <c r="Z69" s="495">
        <f t="shared" ref="Z69:Z73" si="17">X69+Y69</f>
        <v>136</v>
      </c>
      <c r="AA69" s="493">
        <v>792</v>
      </c>
      <c r="AB69" s="494">
        <v>765</v>
      </c>
      <c r="AC69" s="495">
        <f t="shared" ref="AC69:AC73" si="18">AA69+AB69</f>
        <v>1557</v>
      </c>
      <c r="AD69" s="493">
        <v>0</v>
      </c>
      <c r="AE69" s="494">
        <v>10</v>
      </c>
      <c r="AF69" s="495">
        <f t="shared" ref="AF69:AF73" si="19">AD69+AE69</f>
        <v>10</v>
      </c>
      <c r="AG69" s="493">
        <v>127</v>
      </c>
      <c r="AH69" s="494">
        <v>149</v>
      </c>
      <c r="AI69" s="495">
        <f t="shared" ref="AI69:AI73" si="20">AG69+AH69</f>
        <v>276</v>
      </c>
    </row>
    <row r="70" spans="1:35" x14ac:dyDescent="0.35">
      <c r="A70" s="481" t="s">
        <v>317</v>
      </c>
      <c r="B70" s="482" t="s">
        <v>144</v>
      </c>
      <c r="C70" s="483">
        <v>14949</v>
      </c>
      <c r="D70" s="484">
        <v>4658</v>
      </c>
      <c r="E70" s="485">
        <f t="shared" ref="E70:E73" si="21">C70+D70</f>
        <v>19607</v>
      </c>
      <c r="F70" s="483">
        <v>0</v>
      </c>
      <c r="G70" s="484">
        <v>0</v>
      </c>
      <c r="H70" s="485">
        <f t="shared" si="11"/>
        <v>0</v>
      </c>
      <c r="I70" s="483">
        <v>0</v>
      </c>
      <c r="J70" s="484">
        <v>12351</v>
      </c>
      <c r="K70" s="485">
        <f t="shared" si="12"/>
        <v>12351</v>
      </c>
      <c r="L70" s="483">
        <v>13651</v>
      </c>
      <c r="M70" s="484">
        <v>11778</v>
      </c>
      <c r="N70" s="485">
        <f t="shared" si="13"/>
        <v>25429</v>
      </c>
      <c r="O70" s="483">
        <v>5</v>
      </c>
      <c r="P70" s="484">
        <v>9</v>
      </c>
      <c r="Q70" s="485">
        <f t="shared" si="14"/>
        <v>14</v>
      </c>
      <c r="R70" s="483">
        <v>239</v>
      </c>
      <c r="S70" s="484">
        <v>190</v>
      </c>
      <c r="T70" s="485">
        <f t="shared" si="15"/>
        <v>429</v>
      </c>
      <c r="U70" s="483">
        <v>21</v>
      </c>
      <c r="V70" s="484">
        <v>168</v>
      </c>
      <c r="W70" s="485">
        <f t="shared" si="16"/>
        <v>189</v>
      </c>
      <c r="X70" s="483">
        <v>6</v>
      </c>
      <c r="Y70" s="484">
        <v>45</v>
      </c>
      <c r="Z70" s="485">
        <f t="shared" si="17"/>
        <v>51</v>
      </c>
      <c r="AA70" s="483">
        <v>368</v>
      </c>
      <c r="AB70" s="484">
        <v>358</v>
      </c>
      <c r="AC70" s="485">
        <f t="shared" si="18"/>
        <v>726</v>
      </c>
      <c r="AD70" s="483">
        <v>0</v>
      </c>
      <c r="AE70" s="484">
        <v>4</v>
      </c>
      <c r="AF70" s="485">
        <f t="shared" si="19"/>
        <v>4</v>
      </c>
      <c r="AG70" s="483">
        <v>40</v>
      </c>
      <c r="AH70" s="484">
        <v>59</v>
      </c>
      <c r="AI70" s="485">
        <f t="shared" si="20"/>
        <v>99</v>
      </c>
    </row>
    <row r="71" spans="1:35" x14ac:dyDescent="0.35">
      <c r="A71" s="481" t="s">
        <v>318</v>
      </c>
      <c r="B71" s="482" t="s">
        <v>146</v>
      </c>
      <c r="C71" s="483">
        <v>5974</v>
      </c>
      <c r="D71" s="484">
        <v>1790</v>
      </c>
      <c r="E71" s="485">
        <f t="shared" si="21"/>
        <v>7764</v>
      </c>
      <c r="F71" s="483">
        <v>0</v>
      </c>
      <c r="G71" s="484">
        <v>0</v>
      </c>
      <c r="H71" s="485">
        <f t="shared" si="11"/>
        <v>0</v>
      </c>
      <c r="I71" s="483">
        <v>0</v>
      </c>
      <c r="J71" s="484">
        <v>4990</v>
      </c>
      <c r="K71" s="485">
        <f t="shared" si="12"/>
        <v>4990</v>
      </c>
      <c r="L71" s="483">
        <v>5564</v>
      </c>
      <c r="M71" s="484">
        <v>4909</v>
      </c>
      <c r="N71" s="485">
        <f t="shared" si="13"/>
        <v>10473</v>
      </c>
      <c r="O71" s="483">
        <v>2</v>
      </c>
      <c r="P71" s="484">
        <v>6</v>
      </c>
      <c r="Q71" s="485">
        <f t="shared" si="14"/>
        <v>8</v>
      </c>
      <c r="R71" s="483">
        <v>82</v>
      </c>
      <c r="S71" s="484">
        <v>71</v>
      </c>
      <c r="T71" s="485">
        <f t="shared" si="15"/>
        <v>153</v>
      </c>
      <c r="U71" s="483">
        <v>10</v>
      </c>
      <c r="V71" s="484">
        <v>55</v>
      </c>
      <c r="W71" s="485">
        <f t="shared" si="16"/>
        <v>65</v>
      </c>
      <c r="X71" s="483">
        <v>2</v>
      </c>
      <c r="Y71" s="484">
        <v>13</v>
      </c>
      <c r="Z71" s="485">
        <f t="shared" si="17"/>
        <v>15</v>
      </c>
      <c r="AA71" s="483">
        <v>142</v>
      </c>
      <c r="AB71" s="484">
        <v>127</v>
      </c>
      <c r="AC71" s="485">
        <f t="shared" si="18"/>
        <v>269</v>
      </c>
      <c r="AD71" s="483">
        <v>0</v>
      </c>
      <c r="AE71" s="484">
        <v>1</v>
      </c>
      <c r="AF71" s="485">
        <f t="shared" si="19"/>
        <v>1</v>
      </c>
      <c r="AG71" s="483">
        <v>31</v>
      </c>
      <c r="AH71" s="484">
        <v>35</v>
      </c>
      <c r="AI71" s="485">
        <f t="shared" si="20"/>
        <v>66</v>
      </c>
    </row>
    <row r="72" spans="1:35" x14ac:dyDescent="0.35">
      <c r="A72" s="481" t="s">
        <v>319</v>
      </c>
      <c r="B72" s="482" t="s">
        <v>149</v>
      </c>
      <c r="C72" s="483">
        <v>5711</v>
      </c>
      <c r="D72" s="484">
        <v>1398</v>
      </c>
      <c r="E72" s="485">
        <f t="shared" si="21"/>
        <v>7109</v>
      </c>
      <c r="F72" s="483">
        <v>0</v>
      </c>
      <c r="G72" s="484">
        <v>0</v>
      </c>
      <c r="H72" s="485">
        <f t="shared" si="11"/>
        <v>0</v>
      </c>
      <c r="I72" s="483">
        <v>0</v>
      </c>
      <c r="J72" s="484">
        <v>4903</v>
      </c>
      <c r="K72" s="485">
        <f t="shared" si="12"/>
        <v>4903</v>
      </c>
      <c r="L72" s="483">
        <v>5429</v>
      </c>
      <c r="M72" s="484">
        <v>4676</v>
      </c>
      <c r="N72" s="485">
        <f t="shared" si="13"/>
        <v>10105</v>
      </c>
      <c r="O72" s="483">
        <v>0</v>
      </c>
      <c r="P72" s="484">
        <v>2</v>
      </c>
      <c r="Q72" s="485">
        <f t="shared" si="14"/>
        <v>2</v>
      </c>
      <c r="R72" s="483">
        <v>45</v>
      </c>
      <c r="S72" s="484">
        <v>33</v>
      </c>
      <c r="T72" s="485">
        <f t="shared" si="15"/>
        <v>78</v>
      </c>
      <c r="U72" s="483">
        <v>5</v>
      </c>
      <c r="V72" s="484">
        <v>51</v>
      </c>
      <c r="W72" s="485">
        <f t="shared" si="16"/>
        <v>56</v>
      </c>
      <c r="X72" s="483">
        <v>5</v>
      </c>
      <c r="Y72" s="484">
        <v>32</v>
      </c>
      <c r="Z72" s="485">
        <f t="shared" si="17"/>
        <v>37</v>
      </c>
      <c r="AA72" s="483">
        <v>106</v>
      </c>
      <c r="AB72" s="484">
        <v>137</v>
      </c>
      <c r="AC72" s="485">
        <f t="shared" si="18"/>
        <v>243</v>
      </c>
      <c r="AD72" s="483">
        <v>0</v>
      </c>
      <c r="AE72" s="484">
        <v>3</v>
      </c>
      <c r="AF72" s="485">
        <f t="shared" si="19"/>
        <v>3</v>
      </c>
      <c r="AG72" s="483">
        <v>16</v>
      </c>
      <c r="AH72" s="484">
        <v>24</v>
      </c>
      <c r="AI72" s="485">
        <f t="shared" si="20"/>
        <v>40</v>
      </c>
    </row>
    <row r="73" spans="1:35" ht="15" thickBot="1" x14ac:dyDescent="0.4">
      <c r="A73" s="496" t="s">
        <v>320</v>
      </c>
      <c r="B73" s="497" t="s">
        <v>151</v>
      </c>
      <c r="C73" s="498">
        <v>7340</v>
      </c>
      <c r="D73" s="499">
        <v>1909</v>
      </c>
      <c r="E73" s="500">
        <f t="shared" si="21"/>
        <v>9249</v>
      </c>
      <c r="F73" s="498">
        <v>0</v>
      </c>
      <c r="G73" s="499">
        <v>0</v>
      </c>
      <c r="H73" s="500">
        <f t="shared" si="11"/>
        <v>0</v>
      </c>
      <c r="I73" s="498">
        <v>0</v>
      </c>
      <c r="J73" s="499">
        <v>6185</v>
      </c>
      <c r="K73" s="500">
        <f t="shared" si="12"/>
        <v>6185</v>
      </c>
      <c r="L73" s="498">
        <v>6727</v>
      </c>
      <c r="M73" s="499">
        <v>5924</v>
      </c>
      <c r="N73" s="500">
        <f t="shared" si="13"/>
        <v>12651</v>
      </c>
      <c r="O73" s="498">
        <v>1</v>
      </c>
      <c r="P73" s="499">
        <v>3</v>
      </c>
      <c r="Q73" s="500">
        <f t="shared" si="14"/>
        <v>4</v>
      </c>
      <c r="R73" s="498">
        <v>61</v>
      </c>
      <c r="S73" s="499">
        <v>42</v>
      </c>
      <c r="T73" s="500">
        <f t="shared" si="15"/>
        <v>103</v>
      </c>
      <c r="U73" s="498">
        <v>6</v>
      </c>
      <c r="V73" s="499">
        <v>62</v>
      </c>
      <c r="W73" s="500">
        <f t="shared" si="16"/>
        <v>68</v>
      </c>
      <c r="X73" s="498">
        <v>5</v>
      </c>
      <c r="Y73" s="499">
        <v>28</v>
      </c>
      <c r="Z73" s="500">
        <f t="shared" si="17"/>
        <v>33</v>
      </c>
      <c r="AA73" s="498">
        <v>176</v>
      </c>
      <c r="AB73" s="499">
        <v>143</v>
      </c>
      <c r="AC73" s="500">
        <f t="shared" si="18"/>
        <v>319</v>
      </c>
      <c r="AD73" s="498">
        <v>0</v>
      </c>
      <c r="AE73" s="499">
        <v>2</v>
      </c>
      <c r="AF73" s="500">
        <f t="shared" si="19"/>
        <v>2</v>
      </c>
      <c r="AG73" s="498">
        <v>40</v>
      </c>
      <c r="AH73" s="499">
        <v>31</v>
      </c>
      <c r="AI73" s="500">
        <f t="shared" si="20"/>
        <v>71</v>
      </c>
    </row>
  </sheetData>
  <pageMargins left="0.98425196850393704" right="0.78740157480314965" top="0.39370078740157483" bottom="0.39370078740157483" header="0.31496062992125984" footer="0.31496062992125984"/>
  <pageSetup paperSize="5" scale="44" orientation="landscape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D2F17-A7CA-4069-A109-2AEA5D1638EC}">
  <sheetPr>
    <tabColor rgb="FF00B050"/>
  </sheetPr>
  <dimension ref="A1:Z72"/>
  <sheetViews>
    <sheetView view="pageBreakPreview" topLeftCell="F1" zoomScale="62" zoomScaleNormal="70" zoomScaleSheetLayoutView="62" workbookViewId="0">
      <selection activeCell="H74" sqref="H74"/>
    </sheetView>
  </sheetViews>
  <sheetFormatPr defaultColWidth="8.7265625" defaultRowHeight="14.5" x14ac:dyDescent="0.35"/>
  <cols>
    <col min="1" max="1" width="11.54296875" style="294" customWidth="1"/>
    <col min="2" max="2" width="26.81640625" style="294" bestFit="1" customWidth="1"/>
    <col min="3" max="20" width="14.453125" style="294" customWidth="1"/>
    <col min="21" max="16384" width="8.7265625" style="294"/>
  </cols>
  <sheetData>
    <row r="1" spans="1:26" s="289" customFormat="1" ht="18" x14ac:dyDescent="0.4">
      <c r="A1" s="501" t="s">
        <v>431</v>
      </c>
      <c r="B1" s="501"/>
      <c r="C1" s="501"/>
      <c r="D1" s="501"/>
      <c r="E1" s="501"/>
      <c r="F1" s="501"/>
      <c r="G1" s="501"/>
      <c r="H1" s="501"/>
      <c r="I1" s="501"/>
      <c r="J1" s="501"/>
      <c r="K1" s="501"/>
      <c r="L1" s="501"/>
      <c r="M1" s="501"/>
      <c r="N1" s="501"/>
      <c r="O1" s="501"/>
      <c r="P1" s="501"/>
      <c r="Q1" s="501"/>
      <c r="R1" s="501"/>
      <c r="S1" s="501"/>
      <c r="T1" s="501"/>
      <c r="U1" s="501"/>
      <c r="V1" s="501"/>
      <c r="W1" s="501"/>
      <c r="X1" s="501"/>
      <c r="Y1" s="501"/>
      <c r="Z1" s="501"/>
    </row>
    <row r="2" spans="1:26" s="289" customFormat="1" thickBot="1" x14ac:dyDescent="0.35"/>
    <row r="3" spans="1:26" ht="42.5" thickBot="1" x14ac:dyDescent="0.4">
      <c r="A3" s="502" t="s">
        <v>14</v>
      </c>
      <c r="B3" s="503" t="s">
        <v>15</v>
      </c>
      <c r="C3" s="502" t="s">
        <v>432</v>
      </c>
      <c r="D3" s="292" t="s">
        <v>433</v>
      </c>
      <c r="E3" s="293" t="s">
        <v>434</v>
      </c>
      <c r="F3" s="502" t="s">
        <v>435</v>
      </c>
      <c r="G3" s="292" t="s">
        <v>436</v>
      </c>
      <c r="H3" s="293" t="s">
        <v>437</v>
      </c>
      <c r="I3" s="502" t="s">
        <v>438</v>
      </c>
      <c r="J3" s="292" t="s">
        <v>439</v>
      </c>
      <c r="K3" s="293" t="s">
        <v>440</v>
      </c>
      <c r="L3" s="502" t="s">
        <v>441</v>
      </c>
      <c r="M3" s="292" t="s">
        <v>442</v>
      </c>
      <c r="N3" s="293" t="s">
        <v>443</v>
      </c>
      <c r="O3" s="502" t="s">
        <v>444</v>
      </c>
      <c r="P3" s="292" t="s">
        <v>445</v>
      </c>
      <c r="Q3" s="293" t="s">
        <v>446</v>
      </c>
      <c r="R3" s="502" t="s">
        <v>447</v>
      </c>
      <c r="S3" s="292" t="s">
        <v>448</v>
      </c>
      <c r="T3" s="293" t="s">
        <v>449</v>
      </c>
    </row>
    <row r="4" spans="1:26" ht="18.5" thickBot="1" x14ac:dyDescent="0.45">
      <c r="A4" s="504" t="s">
        <v>251</v>
      </c>
      <c r="B4" s="505" t="s">
        <v>22</v>
      </c>
      <c r="C4" s="506">
        <v>211</v>
      </c>
      <c r="D4" s="507">
        <v>167</v>
      </c>
      <c r="E4" s="508">
        <v>378</v>
      </c>
      <c r="F4" s="506">
        <v>143</v>
      </c>
      <c r="G4" s="507">
        <v>102</v>
      </c>
      <c r="H4" s="508">
        <v>245</v>
      </c>
      <c r="I4" s="506">
        <v>301</v>
      </c>
      <c r="J4" s="507">
        <v>239</v>
      </c>
      <c r="K4" s="508">
        <v>540</v>
      </c>
      <c r="L4" s="506">
        <v>681</v>
      </c>
      <c r="M4" s="507">
        <v>454</v>
      </c>
      <c r="N4" s="508">
        <v>1135</v>
      </c>
      <c r="O4" s="506">
        <v>82</v>
      </c>
      <c r="P4" s="507">
        <v>61</v>
      </c>
      <c r="Q4" s="508">
        <v>143</v>
      </c>
      <c r="R4" s="506">
        <v>3287</v>
      </c>
      <c r="S4" s="507">
        <v>2436</v>
      </c>
      <c r="T4" s="508">
        <v>5723</v>
      </c>
      <c r="V4" s="309"/>
    </row>
    <row r="5" spans="1:26" x14ac:dyDescent="0.35">
      <c r="A5" s="303" t="s">
        <v>253</v>
      </c>
      <c r="B5" s="304" t="s">
        <v>20</v>
      </c>
      <c r="C5" s="509">
        <v>34</v>
      </c>
      <c r="D5" s="305">
        <v>26</v>
      </c>
      <c r="E5" s="409">
        <v>60</v>
      </c>
      <c r="F5" s="509">
        <v>22</v>
      </c>
      <c r="G5" s="305">
        <v>10</v>
      </c>
      <c r="H5" s="409">
        <v>32</v>
      </c>
      <c r="I5" s="509">
        <v>42</v>
      </c>
      <c r="J5" s="305">
        <v>32</v>
      </c>
      <c r="K5" s="409">
        <v>74</v>
      </c>
      <c r="L5" s="509">
        <v>68</v>
      </c>
      <c r="M5" s="305">
        <v>52</v>
      </c>
      <c r="N5" s="409">
        <v>120</v>
      </c>
      <c r="O5" s="509">
        <v>14</v>
      </c>
      <c r="P5" s="305">
        <v>3</v>
      </c>
      <c r="Q5" s="409">
        <v>17</v>
      </c>
      <c r="R5" s="509">
        <v>393</v>
      </c>
      <c r="S5" s="305">
        <v>301</v>
      </c>
      <c r="T5" s="409">
        <v>694</v>
      </c>
    </row>
    <row r="6" spans="1:26" x14ac:dyDescent="0.35">
      <c r="A6" s="310" t="s">
        <v>254</v>
      </c>
      <c r="B6" s="311" t="s">
        <v>19</v>
      </c>
      <c r="C6" s="510">
        <v>3</v>
      </c>
      <c r="D6" s="312">
        <v>5</v>
      </c>
      <c r="E6" s="410">
        <v>8</v>
      </c>
      <c r="F6" s="510">
        <v>1</v>
      </c>
      <c r="G6" s="312">
        <v>0</v>
      </c>
      <c r="H6" s="410">
        <v>1</v>
      </c>
      <c r="I6" s="510">
        <v>17</v>
      </c>
      <c r="J6" s="312">
        <v>9</v>
      </c>
      <c r="K6" s="410">
        <v>26</v>
      </c>
      <c r="L6" s="510">
        <v>13</v>
      </c>
      <c r="M6" s="312">
        <v>14</v>
      </c>
      <c r="N6" s="410">
        <v>27</v>
      </c>
      <c r="O6" s="510">
        <v>5</v>
      </c>
      <c r="P6" s="312">
        <v>1</v>
      </c>
      <c r="Q6" s="410">
        <v>6</v>
      </c>
      <c r="R6" s="510">
        <v>15</v>
      </c>
      <c r="S6" s="312">
        <v>10</v>
      </c>
      <c r="T6" s="410">
        <v>25</v>
      </c>
    </row>
    <row r="7" spans="1:26" x14ac:dyDescent="0.35">
      <c r="A7" s="310" t="s">
        <v>255</v>
      </c>
      <c r="B7" s="311" t="s">
        <v>23</v>
      </c>
      <c r="C7" s="510">
        <v>10</v>
      </c>
      <c r="D7" s="312">
        <v>3</v>
      </c>
      <c r="E7" s="410">
        <v>13</v>
      </c>
      <c r="F7" s="510">
        <v>14</v>
      </c>
      <c r="G7" s="312">
        <v>6</v>
      </c>
      <c r="H7" s="410">
        <v>20</v>
      </c>
      <c r="I7" s="510">
        <v>6</v>
      </c>
      <c r="J7" s="312">
        <v>6</v>
      </c>
      <c r="K7" s="410">
        <v>12</v>
      </c>
      <c r="L7" s="510">
        <v>15</v>
      </c>
      <c r="M7" s="312">
        <v>14</v>
      </c>
      <c r="N7" s="410">
        <v>29</v>
      </c>
      <c r="O7" s="510">
        <v>3</v>
      </c>
      <c r="P7" s="312">
        <v>2</v>
      </c>
      <c r="Q7" s="410">
        <v>5</v>
      </c>
      <c r="R7" s="510">
        <v>112</v>
      </c>
      <c r="S7" s="312">
        <v>95</v>
      </c>
      <c r="T7" s="410">
        <v>207</v>
      </c>
    </row>
    <row r="8" spans="1:26" x14ac:dyDescent="0.35">
      <c r="A8" s="310" t="s">
        <v>256</v>
      </c>
      <c r="B8" s="311" t="s">
        <v>25</v>
      </c>
      <c r="C8" s="510">
        <v>16</v>
      </c>
      <c r="D8" s="312">
        <v>10</v>
      </c>
      <c r="E8" s="410">
        <v>26</v>
      </c>
      <c r="F8" s="510">
        <v>3</v>
      </c>
      <c r="G8" s="312">
        <v>3</v>
      </c>
      <c r="H8" s="410">
        <v>6</v>
      </c>
      <c r="I8" s="510">
        <v>10</v>
      </c>
      <c r="J8" s="312">
        <v>9</v>
      </c>
      <c r="K8" s="410">
        <v>19</v>
      </c>
      <c r="L8" s="510">
        <v>18</v>
      </c>
      <c r="M8" s="312">
        <v>13</v>
      </c>
      <c r="N8" s="410">
        <v>31</v>
      </c>
      <c r="O8" s="510">
        <v>2</v>
      </c>
      <c r="P8" s="312">
        <v>0</v>
      </c>
      <c r="Q8" s="410">
        <v>2</v>
      </c>
      <c r="R8" s="510">
        <v>96</v>
      </c>
      <c r="S8" s="312">
        <v>57</v>
      </c>
      <c r="T8" s="410">
        <v>153</v>
      </c>
    </row>
    <row r="9" spans="1:26" ht="15" thickBot="1" x14ac:dyDescent="0.4">
      <c r="A9" s="316" t="s">
        <v>257</v>
      </c>
      <c r="B9" s="317" t="s">
        <v>27</v>
      </c>
      <c r="C9" s="511">
        <v>5</v>
      </c>
      <c r="D9" s="318">
        <v>8</v>
      </c>
      <c r="E9" s="411">
        <v>13</v>
      </c>
      <c r="F9" s="511">
        <v>4</v>
      </c>
      <c r="G9" s="318">
        <v>1</v>
      </c>
      <c r="H9" s="411">
        <v>5</v>
      </c>
      <c r="I9" s="511">
        <v>9</v>
      </c>
      <c r="J9" s="318">
        <v>8</v>
      </c>
      <c r="K9" s="411">
        <v>17</v>
      </c>
      <c r="L9" s="511">
        <v>22</v>
      </c>
      <c r="M9" s="318">
        <v>11</v>
      </c>
      <c r="N9" s="411">
        <v>33</v>
      </c>
      <c r="O9" s="511">
        <v>4</v>
      </c>
      <c r="P9" s="318">
        <v>0</v>
      </c>
      <c r="Q9" s="411">
        <v>4</v>
      </c>
      <c r="R9" s="511">
        <v>170</v>
      </c>
      <c r="S9" s="318">
        <v>139</v>
      </c>
      <c r="T9" s="411">
        <v>309</v>
      </c>
    </row>
    <row r="10" spans="1:26" x14ac:dyDescent="0.35">
      <c r="A10" s="322" t="s">
        <v>258</v>
      </c>
      <c r="B10" s="323" t="s">
        <v>34</v>
      </c>
      <c r="C10" s="512">
        <v>28</v>
      </c>
      <c r="D10" s="324">
        <v>8</v>
      </c>
      <c r="E10" s="412">
        <v>36</v>
      </c>
      <c r="F10" s="512">
        <v>21</v>
      </c>
      <c r="G10" s="324">
        <v>17</v>
      </c>
      <c r="H10" s="412">
        <v>38</v>
      </c>
      <c r="I10" s="512">
        <v>34</v>
      </c>
      <c r="J10" s="324">
        <v>24</v>
      </c>
      <c r="K10" s="412">
        <v>58</v>
      </c>
      <c r="L10" s="512">
        <v>76</v>
      </c>
      <c r="M10" s="324">
        <v>39</v>
      </c>
      <c r="N10" s="412">
        <v>115</v>
      </c>
      <c r="O10" s="512">
        <v>8</v>
      </c>
      <c r="P10" s="324">
        <v>6</v>
      </c>
      <c r="Q10" s="412">
        <v>14</v>
      </c>
      <c r="R10" s="512">
        <v>310</v>
      </c>
      <c r="S10" s="324">
        <v>181</v>
      </c>
      <c r="T10" s="412">
        <v>491</v>
      </c>
    </row>
    <row r="11" spans="1:26" x14ac:dyDescent="0.35">
      <c r="A11" s="328" t="s">
        <v>259</v>
      </c>
      <c r="B11" s="329" t="s">
        <v>30</v>
      </c>
      <c r="C11" s="513">
        <v>3</v>
      </c>
      <c r="D11" s="330">
        <v>2</v>
      </c>
      <c r="E11" s="413">
        <v>5</v>
      </c>
      <c r="F11" s="513">
        <v>3</v>
      </c>
      <c r="G11" s="330">
        <v>4</v>
      </c>
      <c r="H11" s="413">
        <v>7</v>
      </c>
      <c r="I11" s="513">
        <v>7</v>
      </c>
      <c r="J11" s="330">
        <v>8</v>
      </c>
      <c r="K11" s="413">
        <v>15</v>
      </c>
      <c r="L11" s="513">
        <v>13</v>
      </c>
      <c r="M11" s="330">
        <v>6</v>
      </c>
      <c r="N11" s="413">
        <v>19</v>
      </c>
      <c r="O11" s="513">
        <v>0</v>
      </c>
      <c r="P11" s="330">
        <v>0</v>
      </c>
      <c r="Q11" s="413">
        <v>0</v>
      </c>
      <c r="R11" s="513">
        <v>5</v>
      </c>
      <c r="S11" s="330">
        <v>5</v>
      </c>
      <c r="T11" s="413">
        <v>10</v>
      </c>
    </row>
    <row r="12" spans="1:26" x14ac:dyDescent="0.35">
      <c r="A12" s="328" t="s">
        <v>260</v>
      </c>
      <c r="B12" s="329" t="s">
        <v>33</v>
      </c>
      <c r="C12" s="513">
        <v>4</v>
      </c>
      <c r="D12" s="330">
        <v>2</v>
      </c>
      <c r="E12" s="413">
        <v>6</v>
      </c>
      <c r="F12" s="513">
        <v>8</v>
      </c>
      <c r="G12" s="330">
        <v>6</v>
      </c>
      <c r="H12" s="413">
        <v>14</v>
      </c>
      <c r="I12" s="513">
        <v>6</v>
      </c>
      <c r="J12" s="330">
        <v>2</v>
      </c>
      <c r="K12" s="413">
        <v>8</v>
      </c>
      <c r="L12" s="513">
        <v>22</v>
      </c>
      <c r="M12" s="330">
        <v>11</v>
      </c>
      <c r="N12" s="413">
        <v>33</v>
      </c>
      <c r="O12" s="513">
        <v>0</v>
      </c>
      <c r="P12" s="330">
        <v>0</v>
      </c>
      <c r="Q12" s="413">
        <v>0</v>
      </c>
      <c r="R12" s="513">
        <v>135</v>
      </c>
      <c r="S12" s="330">
        <v>73</v>
      </c>
      <c r="T12" s="413">
        <v>208</v>
      </c>
    </row>
    <row r="13" spans="1:26" x14ac:dyDescent="0.35">
      <c r="A13" s="328" t="s">
        <v>261</v>
      </c>
      <c r="B13" s="329" t="s">
        <v>36</v>
      </c>
      <c r="C13" s="513">
        <v>8</v>
      </c>
      <c r="D13" s="330">
        <v>3</v>
      </c>
      <c r="E13" s="413">
        <v>11</v>
      </c>
      <c r="F13" s="513">
        <v>3</v>
      </c>
      <c r="G13" s="330">
        <v>0</v>
      </c>
      <c r="H13" s="413">
        <v>3</v>
      </c>
      <c r="I13" s="513">
        <v>4</v>
      </c>
      <c r="J13" s="330">
        <v>5</v>
      </c>
      <c r="K13" s="413">
        <v>9</v>
      </c>
      <c r="L13" s="513">
        <v>15</v>
      </c>
      <c r="M13" s="330">
        <v>2</v>
      </c>
      <c r="N13" s="413">
        <v>17</v>
      </c>
      <c r="O13" s="513">
        <v>2</v>
      </c>
      <c r="P13" s="330">
        <v>1</v>
      </c>
      <c r="Q13" s="413">
        <v>3</v>
      </c>
      <c r="R13" s="513">
        <v>69</v>
      </c>
      <c r="S13" s="330">
        <v>39</v>
      </c>
      <c r="T13" s="413">
        <v>108</v>
      </c>
    </row>
    <row r="14" spans="1:26" x14ac:dyDescent="0.35">
      <c r="A14" s="328" t="s">
        <v>262</v>
      </c>
      <c r="B14" s="329" t="s">
        <v>38</v>
      </c>
      <c r="C14" s="513">
        <v>3</v>
      </c>
      <c r="D14" s="330">
        <v>0</v>
      </c>
      <c r="E14" s="413">
        <v>3</v>
      </c>
      <c r="F14" s="513">
        <v>4</v>
      </c>
      <c r="G14" s="330">
        <v>2</v>
      </c>
      <c r="H14" s="413">
        <v>6</v>
      </c>
      <c r="I14" s="513">
        <v>7</v>
      </c>
      <c r="J14" s="330">
        <v>5</v>
      </c>
      <c r="K14" s="413">
        <v>12</v>
      </c>
      <c r="L14" s="513">
        <v>5</v>
      </c>
      <c r="M14" s="330">
        <v>9</v>
      </c>
      <c r="N14" s="413">
        <v>14</v>
      </c>
      <c r="O14" s="513">
        <v>1</v>
      </c>
      <c r="P14" s="330">
        <v>1</v>
      </c>
      <c r="Q14" s="413">
        <v>2</v>
      </c>
      <c r="R14" s="513">
        <v>14</v>
      </c>
      <c r="S14" s="330">
        <v>9</v>
      </c>
      <c r="T14" s="413">
        <v>23</v>
      </c>
    </row>
    <row r="15" spans="1:26" ht="15" thickBot="1" x14ac:dyDescent="0.4">
      <c r="A15" s="335" t="s">
        <v>263</v>
      </c>
      <c r="B15" s="336" t="s">
        <v>40</v>
      </c>
      <c r="C15" s="514">
        <v>10</v>
      </c>
      <c r="D15" s="337">
        <v>1</v>
      </c>
      <c r="E15" s="414">
        <v>11</v>
      </c>
      <c r="F15" s="514">
        <v>3</v>
      </c>
      <c r="G15" s="337">
        <v>5</v>
      </c>
      <c r="H15" s="414">
        <v>8</v>
      </c>
      <c r="I15" s="514">
        <v>10</v>
      </c>
      <c r="J15" s="337">
        <v>4</v>
      </c>
      <c r="K15" s="414">
        <v>14</v>
      </c>
      <c r="L15" s="514">
        <v>21</v>
      </c>
      <c r="M15" s="337">
        <v>11</v>
      </c>
      <c r="N15" s="414">
        <v>32</v>
      </c>
      <c r="O15" s="514">
        <v>5</v>
      </c>
      <c r="P15" s="337">
        <v>4</v>
      </c>
      <c r="Q15" s="414">
        <v>9</v>
      </c>
      <c r="R15" s="514">
        <v>87</v>
      </c>
      <c r="S15" s="337">
        <v>55</v>
      </c>
      <c r="T15" s="414">
        <v>142</v>
      </c>
    </row>
    <row r="16" spans="1:26" x14ac:dyDescent="0.35">
      <c r="A16" s="303" t="s">
        <v>264</v>
      </c>
      <c r="B16" s="304" t="s">
        <v>47</v>
      </c>
      <c r="C16" s="509">
        <v>24</v>
      </c>
      <c r="D16" s="305">
        <v>19</v>
      </c>
      <c r="E16" s="409">
        <v>43</v>
      </c>
      <c r="F16" s="509">
        <v>16</v>
      </c>
      <c r="G16" s="305">
        <v>18</v>
      </c>
      <c r="H16" s="409">
        <v>34</v>
      </c>
      <c r="I16" s="509">
        <v>41</v>
      </c>
      <c r="J16" s="305">
        <v>39</v>
      </c>
      <c r="K16" s="409">
        <v>80</v>
      </c>
      <c r="L16" s="509">
        <v>79</v>
      </c>
      <c r="M16" s="305">
        <v>61</v>
      </c>
      <c r="N16" s="409">
        <v>140</v>
      </c>
      <c r="O16" s="509">
        <v>12</v>
      </c>
      <c r="P16" s="305">
        <v>13</v>
      </c>
      <c r="Q16" s="409">
        <v>25</v>
      </c>
      <c r="R16" s="509">
        <v>111</v>
      </c>
      <c r="S16" s="305">
        <v>62</v>
      </c>
      <c r="T16" s="409">
        <v>173</v>
      </c>
    </row>
    <row r="17" spans="1:20" x14ac:dyDescent="0.35">
      <c r="A17" s="310" t="s">
        <v>265</v>
      </c>
      <c r="B17" s="311" t="s">
        <v>43</v>
      </c>
      <c r="C17" s="510">
        <v>6</v>
      </c>
      <c r="D17" s="312">
        <v>6</v>
      </c>
      <c r="E17" s="410">
        <v>12</v>
      </c>
      <c r="F17" s="510">
        <v>5</v>
      </c>
      <c r="G17" s="312">
        <v>5</v>
      </c>
      <c r="H17" s="410">
        <v>10</v>
      </c>
      <c r="I17" s="510">
        <v>12</v>
      </c>
      <c r="J17" s="312">
        <v>8</v>
      </c>
      <c r="K17" s="410">
        <v>20</v>
      </c>
      <c r="L17" s="510">
        <v>27</v>
      </c>
      <c r="M17" s="312">
        <v>8</v>
      </c>
      <c r="N17" s="410">
        <v>35</v>
      </c>
      <c r="O17" s="510">
        <v>1</v>
      </c>
      <c r="P17" s="312">
        <v>3</v>
      </c>
      <c r="Q17" s="410">
        <v>4</v>
      </c>
      <c r="R17" s="510">
        <v>6</v>
      </c>
      <c r="S17" s="312">
        <v>9</v>
      </c>
      <c r="T17" s="410">
        <v>15</v>
      </c>
    </row>
    <row r="18" spans="1:20" x14ac:dyDescent="0.35">
      <c r="A18" s="310" t="s">
        <v>266</v>
      </c>
      <c r="B18" s="311" t="s">
        <v>45</v>
      </c>
      <c r="C18" s="510">
        <v>3</v>
      </c>
      <c r="D18" s="312">
        <v>1</v>
      </c>
      <c r="E18" s="410">
        <v>4</v>
      </c>
      <c r="F18" s="510">
        <v>4</v>
      </c>
      <c r="G18" s="312">
        <v>7</v>
      </c>
      <c r="H18" s="410">
        <v>11</v>
      </c>
      <c r="I18" s="510">
        <v>12</v>
      </c>
      <c r="J18" s="312">
        <v>7</v>
      </c>
      <c r="K18" s="410">
        <v>19</v>
      </c>
      <c r="L18" s="510">
        <v>13</v>
      </c>
      <c r="M18" s="312">
        <v>8</v>
      </c>
      <c r="N18" s="410">
        <v>21</v>
      </c>
      <c r="O18" s="510">
        <v>1</v>
      </c>
      <c r="P18" s="312">
        <v>2</v>
      </c>
      <c r="Q18" s="410">
        <v>3</v>
      </c>
      <c r="R18" s="510">
        <v>3</v>
      </c>
      <c r="S18" s="312">
        <v>2</v>
      </c>
      <c r="T18" s="410">
        <v>5</v>
      </c>
    </row>
    <row r="19" spans="1:20" x14ac:dyDescent="0.35">
      <c r="A19" s="310" t="s">
        <v>267</v>
      </c>
      <c r="B19" s="311" t="s">
        <v>48</v>
      </c>
      <c r="C19" s="510">
        <v>4</v>
      </c>
      <c r="D19" s="312">
        <v>2</v>
      </c>
      <c r="E19" s="410">
        <v>6</v>
      </c>
      <c r="F19" s="510">
        <v>2</v>
      </c>
      <c r="G19" s="312">
        <v>0</v>
      </c>
      <c r="H19" s="410">
        <v>2</v>
      </c>
      <c r="I19" s="510">
        <v>2</v>
      </c>
      <c r="J19" s="312">
        <v>3</v>
      </c>
      <c r="K19" s="410">
        <v>5</v>
      </c>
      <c r="L19" s="510">
        <v>7</v>
      </c>
      <c r="M19" s="312">
        <v>6</v>
      </c>
      <c r="N19" s="410">
        <v>13</v>
      </c>
      <c r="O19" s="510">
        <v>1</v>
      </c>
      <c r="P19" s="312">
        <v>2</v>
      </c>
      <c r="Q19" s="410">
        <v>3</v>
      </c>
      <c r="R19" s="510">
        <v>4</v>
      </c>
      <c r="S19" s="312">
        <v>3</v>
      </c>
      <c r="T19" s="410">
        <v>7</v>
      </c>
    </row>
    <row r="20" spans="1:20" x14ac:dyDescent="0.35">
      <c r="A20" s="310" t="s">
        <v>268</v>
      </c>
      <c r="B20" s="311" t="s">
        <v>50</v>
      </c>
      <c r="C20" s="510">
        <v>4</v>
      </c>
      <c r="D20" s="312">
        <v>4</v>
      </c>
      <c r="E20" s="410">
        <v>8</v>
      </c>
      <c r="F20" s="510">
        <v>2</v>
      </c>
      <c r="G20" s="312">
        <v>2</v>
      </c>
      <c r="H20" s="410">
        <v>4</v>
      </c>
      <c r="I20" s="510">
        <v>3</v>
      </c>
      <c r="J20" s="312">
        <v>10</v>
      </c>
      <c r="K20" s="410">
        <v>13</v>
      </c>
      <c r="L20" s="510">
        <v>10</v>
      </c>
      <c r="M20" s="312">
        <v>13</v>
      </c>
      <c r="N20" s="410">
        <v>23</v>
      </c>
      <c r="O20" s="510">
        <v>4</v>
      </c>
      <c r="P20" s="312">
        <v>3</v>
      </c>
      <c r="Q20" s="410">
        <v>7</v>
      </c>
      <c r="R20" s="510">
        <v>9</v>
      </c>
      <c r="S20" s="312">
        <v>4</v>
      </c>
      <c r="T20" s="410">
        <v>13</v>
      </c>
    </row>
    <row r="21" spans="1:20" x14ac:dyDescent="0.35">
      <c r="A21" s="310" t="s">
        <v>269</v>
      </c>
      <c r="B21" s="311" t="s">
        <v>52</v>
      </c>
      <c r="C21" s="510">
        <v>1</v>
      </c>
      <c r="D21" s="312">
        <v>1</v>
      </c>
      <c r="E21" s="410">
        <v>2</v>
      </c>
      <c r="F21" s="510">
        <v>0</v>
      </c>
      <c r="G21" s="312">
        <v>1</v>
      </c>
      <c r="H21" s="410">
        <v>1</v>
      </c>
      <c r="I21" s="510">
        <v>1</v>
      </c>
      <c r="J21" s="312">
        <v>2</v>
      </c>
      <c r="K21" s="410">
        <v>3</v>
      </c>
      <c r="L21" s="510">
        <v>1</v>
      </c>
      <c r="M21" s="312">
        <v>4</v>
      </c>
      <c r="N21" s="410">
        <v>5</v>
      </c>
      <c r="O21" s="510">
        <v>1</v>
      </c>
      <c r="P21" s="312">
        <v>1</v>
      </c>
      <c r="Q21" s="410">
        <v>2</v>
      </c>
      <c r="R21" s="510">
        <v>75</v>
      </c>
      <c r="S21" s="312">
        <v>37</v>
      </c>
      <c r="T21" s="410">
        <v>112</v>
      </c>
    </row>
    <row r="22" spans="1:20" ht="15" thickBot="1" x14ac:dyDescent="0.4">
      <c r="A22" s="316" t="s">
        <v>270</v>
      </c>
      <c r="B22" s="317" t="s">
        <v>54</v>
      </c>
      <c r="C22" s="511">
        <v>6</v>
      </c>
      <c r="D22" s="318">
        <v>5</v>
      </c>
      <c r="E22" s="411">
        <v>11</v>
      </c>
      <c r="F22" s="511">
        <v>3</v>
      </c>
      <c r="G22" s="318">
        <v>3</v>
      </c>
      <c r="H22" s="411">
        <v>6</v>
      </c>
      <c r="I22" s="511">
        <v>11</v>
      </c>
      <c r="J22" s="318">
        <v>9</v>
      </c>
      <c r="K22" s="411">
        <v>20</v>
      </c>
      <c r="L22" s="511">
        <v>21</v>
      </c>
      <c r="M22" s="318">
        <v>22</v>
      </c>
      <c r="N22" s="411">
        <v>43</v>
      </c>
      <c r="O22" s="511">
        <v>4</v>
      </c>
      <c r="P22" s="318">
        <v>2</v>
      </c>
      <c r="Q22" s="411">
        <v>6</v>
      </c>
      <c r="R22" s="511">
        <v>14</v>
      </c>
      <c r="S22" s="318">
        <v>7</v>
      </c>
      <c r="T22" s="411">
        <v>21</v>
      </c>
    </row>
    <row r="23" spans="1:20" x14ac:dyDescent="0.35">
      <c r="A23" s="322" t="s">
        <v>271</v>
      </c>
      <c r="B23" s="323" t="s">
        <v>61</v>
      </c>
      <c r="C23" s="512">
        <v>20</v>
      </c>
      <c r="D23" s="324">
        <v>16</v>
      </c>
      <c r="E23" s="412">
        <v>36</v>
      </c>
      <c r="F23" s="512">
        <v>7</v>
      </c>
      <c r="G23" s="324">
        <v>7</v>
      </c>
      <c r="H23" s="412">
        <v>14</v>
      </c>
      <c r="I23" s="512">
        <v>17</v>
      </c>
      <c r="J23" s="324">
        <v>24</v>
      </c>
      <c r="K23" s="412">
        <v>41</v>
      </c>
      <c r="L23" s="512">
        <v>51</v>
      </c>
      <c r="M23" s="324">
        <v>38</v>
      </c>
      <c r="N23" s="412">
        <v>89</v>
      </c>
      <c r="O23" s="512">
        <v>5</v>
      </c>
      <c r="P23" s="324">
        <v>4</v>
      </c>
      <c r="Q23" s="412">
        <v>9</v>
      </c>
      <c r="R23" s="512">
        <v>235</v>
      </c>
      <c r="S23" s="324">
        <v>203</v>
      </c>
      <c r="T23" s="412">
        <v>438</v>
      </c>
    </row>
    <row r="24" spans="1:20" x14ac:dyDescent="0.35">
      <c r="A24" s="328" t="s">
        <v>272</v>
      </c>
      <c r="B24" s="329" t="s">
        <v>57</v>
      </c>
      <c r="C24" s="513">
        <v>8</v>
      </c>
      <c r="D24" s="330">
        <v>1</v>
      </c>
      <c r="E24" s="413">
        <v>9</v>
      </c>
      <c r="F24" s="513">
        <v>0</v>
      </c>
      <c r="G24" s="330">
        <v>0</v>
      </c>
      <c r="H24" s="413">
        <v>0</v>
      </c>
      <c r="I24" s="513">
        <v>3</v>
      </c>
      <c r="J24" s="330">
        <v>4</v>
      </c>
      <c r="K24" s="413">
        <v>7</v>
      </c>
      <c r="L24" s="513">
        <v>12</v>
      </c>
      <c r="M24" s="330">
        <v>9</v>
      </c>
      <c r="N24" s="413">
        <v>21</v>
      </c>
      <c r="O24" s="513">
        <v>1</v>
      </c>
      <c r="P24" s="330">
        <v>1</v>
      </c>
      <c r="Q24" s="413">
        <v>2</v>
      </c>
      <c r="R24" s="513">
        <v>83</v>
      </c>
      <c r="S24" s="330">
        <v>96</v>
      </c>
      <c r="T24" s="413">
        <v>179</v>
      </c>
    </row>
    <row r="25" spans="1:20" x14ac:dyDescent="0.35">
      <c r="A25" s="328" t="s">
        <v>273</v>
      </c>
      <c r="B25" s="329" t="s">
        <v>59</v>
      </c>
      <c r="C25" s="513">
        <v>1</v>
      </c>
      <c r="D25" s="330">
        <v>3</v>
      </c>
      <c r="E25" s="413">
        <v>4</v>
      </c>
      <c r="F25" s="513">
        <v>0</v>
      </c>
      <c r="G25" s="330">
        <v>1</v>
      </c>
      <c r="H25" s="413">
        <v>1</v>
      </c>
      <c r="I25" s="513">
        <v>0</v>
      </c>
      <c r="J25" s="330">
        <v>4</v>
      </c>
      <c r="K25" s="413">
        <v>4</v>
      </c>
      <c r="L25" s="513">
        <v>3</v>
      </c>
      <c r="M25" s="330">
        <v>1</v>
      </c>
      <c r="N25" s="413">
        <v>4</v>
      </c>
      <c r="O25" s="513">
        <v>1</v>
      </c>
      <c r="P25" s="330">
        <v>0</v>
      </c>
      <c r="Q25" s="413">
        <v>1</v>
      </c>
      <c r="R25" s="513">
        <v>36</v>
      </c>
      <c r="S25" s="330">
        <v>28</v>
      </c>
      <c r="T25" s="413">
        <v>64</v>
      </c>
    </row>
    <row r="26" spans="1:20" x14ac:dyDescent="0.35">
      <c r="A26" s="328" t="s">
        <v>274</v>
      </c>
      <c r="B26" s="329" t="s">
        <v>62</v>
      </c>
      <c r="C26" s="513">
        <v>1</v>
      </c>
      <c r="D26" s="330">
        <v>7</v>
      </c>
      <c r="E26" s="413">
        <v>8</v>
      </c>
      <c r="F26" s="513">
        <v>4</v>
      </c>
      <c r="G26" s="330">
        <v>3</v>
      </c>
      <c r="H26" s="413">
        <v>7</v>
      </c>
      <c r="I26" s="513">
        <v>6</v>
      </c>
      <c r="J26" s="330">
        <v>6</v>
      </c>
      <c r="K26" s="413">
        <v>12</v>
      </c>
      <c r="L26" s="513">
        <v>5</v>
      </c>
      <c r="M26" s="330">
        <v>5</v>
      </c>
      <c r="N26" s="413">
        <v>10</v>
      </c>
      <c r="O26" s="513">
        <v>1</v>
      </c>
      <c r="P26" s="330">
        <v>1</v>
      </c>
      <c r="Q26" s="413">
        <v>2</v>
      </c>
      <c r="R26" s="513">
        <v>87</v>
      </c>
      <c r="S26" s="330">
        <v>62</v>
      </c>
      <c r="T26" s="413">
        <v>149</v>
      </c>
    </row>
    <row r="27" spans="1:20" x14ac:dyDescent="0.35">
      <c r="A27" s="328" t="s">
        <v>275</v>
      </c>
      <c r="B27" s="329" t="s">
        <v>64</v>
      </c>
      <c r="C27" s="513">
        <v>5</v>
      </c>
      <c r="D27" s="330">
        <v>1</v>
      </c>
      <c r="E27" s="413">
        <v>6</v>
      </c>
      <c r="F27" s="513">
        <v>2</v>
      </c>
      <c r="G27" s="330">
        <v>3</v>
      </c>
      <c r="H27" s="413">
        <v>5</v>
      </c>
      <c r="I27" s="513">
        <v>4</v>
      </c>
      <c r="J27" s="330">
        <v>5</v>
      </c>
      <c r="K27" s="413">
        <v>9</v>
      </c>
      <c r="L27" s="513">
        <v>11</v>
      </c>
      <c r="M27" s="330">
        <v>11</v>
      </c>
      <c r="N27" s="413">
        <v>22</v>
      </c>
      <c r="O27" s="513">
        <v>1</v>
      </c>
      <c r="P27" s="330">
        <v>0</v>
      </c>
      <c r="Q27" s="413">
        <v>1</v>
      </c>
      <c r="R27" s="513">
        <v>18</v>
      </c>
      <c r="S27" s="330">
        <v>11</v>
      </c>
      <c r="T27" s="413">
        <v>29</v>
      </c>
    </row>
    <row r="28" spans="1:20" ht="15" thickBot="1" x14ac:dyDescent="0.4">
      <c r="A28" s="335" t="s">
        <v>276</v>
      </c>
      <c r="B28" s="336" t="s">
        <v>66</v>
      </c>
      <c r="C28" s="514">
        <v>5</v>
      </c>
      <c r="D28" s="337">
        <v>4</v>
      </c>
      <c r="E28" s="414">
        <v>9</v>
      </c>
      <c r="F28" s="514">
        <v>1</v>
      </c>
      <c r="G28" s="337">
        <v>0</v>
      </c>
      <c r="H28" s="414">
        <v>1</v>
      </c>
      <c r="I28" s="514">
        <v>4</v>
      </c>
      <c r="J28" s="337">
        <v>5</v>
      </c>
      <c r="K28" s="414">
        <v>9</v>
      </c>
      <c r="L28" s="514">
        <v>20</v>
      </c>
      <c r="M28" s="337">
        <v>12</v>
      </c>
      <c r="N28" s="414">
        <v>32</v>
      </c>
      <c r="O28" s="514">
        <v>1</v>
      </c>
      <c r="P28" s="337">
        <v>2</v>
      </c>
      <c r="Q28" s="414">
        <v>3</v>
      </c>
      <c r="R28" s="514">
        <v>11</v>
      </c>
      <c r="S28" s="337">
        <v>6</v>
      </c>
      <c r="T28" s="414">
        <v>17</v>
      </c>
    </row>
    <row r="29" spans="1:20" x14ac:dyDescent="0.35">
      <c r="A29" s="303" t="s">
        <v>277</v>
      </c>
      <c r="B29" s="304" t="s">
        <v>73</v>
      </c>
      <c r="C29" s="509">
        <v>16</v>
      </c>
      <c r="D29" s="305">
        <v>16</v>
      </c>
      <c r="E29" s="409">
        <v>32</v>
      </c>
      <c r="F29" s="509">
        <v>11</v>
      </c>
      <c r="G29" s="305">
        <v>11</v>
      </c>
      <c r="H29" s="409">
        <v>22</v>
      </c>
      <c r="I29" s="509">
        <v>28</v>
      </c>
      <c r="J29" s="305">
        <v>13</v>
      </c>
      <c r="K29" s="409">
        <v>41</v>
      </c>
      <c r="L29" s="509">
        <v>48</v>
      </c>
      <c r="M29" s="305">
        <v>85</v>
      </c>
      <c r="N29" s="409">
        <v>133</v>
      </c>
      <c r="O29" s="509">
        <v>11</v>
      </c>
      <c r="P29" s="305">
        <v>4</v>
      </c>
      <c r="Q29" s="409">
        <v>15</v>
      </c>
      <c r="R29" s="509">
        <v>233</v>
      </c>
      <c r="S29" s="305">
        <v>192</v>
      </c>
      <c r="T29" s="409">
        <v>425</v>
      </c>
    </row>
    <row r="30" spans="1:20" x14ac:dyDescent="0.35">
      <c r="A30" s="310" t="s">
        <v>278</v>
      </c>
      <c r="B30" s="311" t="s">
        <v>69</v>
      </c>
      <c r="C30" s="510">
        <v>6</v>
      </c>
      <c r="D30" s="312">
        <v>10</v>
      </c>
      <c r="E30" s="410">
        <v>16</v>
      </c>
      <c r="F30" s="510">
        <v>2</v>
      </c>
      <c r="G30" s="312">
        <v>1</v>
      </c>
      <c r="H30" s="410">
        <v>3</v>
      </c>
      <c r="I30" s="510">
        <v>8</v>
      </c>
      <c r="J30" s="312">
        <v>5</v>
      </c>
      <c r="K30" s="410">
        <v>13</v>
      </c>
      <c r="L30" s="510">
        <v>17</v>
      </c>
      <c r="M30" s="312">
        <v>5</v>
      </c>
      <c r="N30" s="410">
        <v>22</v>
      </c>
      <c r="O30" s="510">
        <v>6</v>
      </c>
      <c r="P30" s="312">
        <v>2</v>
      </c>
      <c r="Q30" s="410">
        <v>8</v>
      </c>
      <c r="R30" s="510">
        <v>130</v>
      </c>
      <c r="S30" s="312">
        <v>105</v>
      </c>
      <c r="T30" s="410">
        <v>235</v>
      </c>
    </row>
    <row r="31" spans="1:20" x14ac:dyDescent="0.35">
      <c r="A31" s="310" t="s">
        <v>279</v>
      </c>
      <c r="B31" s="311" t="s">
        <v>71</v>
      </c>
      <c r="C31" s="510">
        <v>5</v>
      </c>
      <c r="D31" s="312">
        <v>0</v>
      </c>
      <c r="E31" s="410">
        <v>5</v>
      </c>
      <c r="F31" s="510">
        <v>6</v>
      </c>
      <c r="G31" s="312">
        <v>6</v>
      </c>
      <c r="H31" s="410">
        <v>12</v>
      </c>
      <c r="I31" s="510">
        <v>6</v>
      </c>
      <c r="J31" s="312">
        <v>4</v>
      </c>
      <c r="K31" s="410">
        <v>10</v>
      </c>
      <c r="L31" s="510">
        <v>13</v>
      </c>
      <c r="M31" s="312">
        <v>9</v>
      </c>
      <c r="N31" s="410">
        <v>22</v>
      </c>
      <c r="O31" s="510">
        <v>1</v>
      </c>
      <c r="P31" s="312">
        <v>2</v>
      </c>
      <c r="Q31" s="410">
        <v>3</v>
      </c>
      <c r="R31" s="510">
        <v>10</v>
      </c>
      <c r="S31" s="312">
        <v>8</v>
      </c>
      <c r="T31" s="410">
        <v>18</v>
      </c>
    </row>
    <row r="32" spans="1:20" x14ac:dyDescent="0.35">
      <c r="A32" s="310" t="s">
        <v>280</v>
      </c>
      <c r="B32" s="311" t="s">
        <v>74</v>
      </c>
      <c r="C32" s="510">
        <v>2</v>
      </c>
      <c r="D32" s="312">
        <v>3</v>
      </c>
      <c r="E32" s="410">
        <v>5</v>
      </c>
      <c r="F32" s="510">
        <v>1</v>
      </c>
      <c r="G32" s="312">
        <v>2</v>
      </c>
      <c r="H32" s="410">
        <v>3</v>
      </c>
      <c r="I32" s="510">
        <v>7</v>
      </c>
      <c r="J32" s="312">
        <v>0</v>
      </c>
      <c r="K32" s="410">
        <v>7</v>
      </c>
      <c r="L32" s="510">
        <v>13</v>
      </c>
      <c r="M32" s="312">
        <v>8</v>
      </c>
      <c r="N32" s="410">
        <v>21</v>
      </c>
      <c r="O32" s="510">
        <v>3</v>
      </c>
      <c r="P32" s="312">
        <v>0</v>
      </c>
      <c r="Q32" s="410">
        <v>3</v>
      </c>
      <c r="R32" s="510">
        <v>27</v>
      </c>
      <c r="S32" s="312">
        <v>20</v>
      </c>
      <c r="T32" s="410">
        <v>47</v>
      </c>
    </row>
    <row r="33" spans="1:20" ht="15" thickBot="1" x14ac:dyDescent="0.4">
      <c r="A33" s="316" t="s">
        <v>281</v>
      </c>
      <c r="B33" s="317" t="s">
        <v>76</v>
      </c>
      <c r="C33" s="511">
        <v>3</v>
      </c>
      <c r="D33" s="318">
        <v>3</v>
      </c>
      <c r="E33" s="411">
        <v>6</v>
      </c>
      <c r="F33" s="511">
        <v>2</v>
      </c>
      <c r="G33" s="318">
        <v>2</v>
      </c>
      <c r="H33" s="411">
        <v>4</v>
      </c>
      <c r="I33" s="511">
        <v>7</v>
      </c>
      <c r="J33" s="318">
        <v>4</v>
      </c>
      <c r="K33" s="411">
        <v>11</v>
      </c>
      <c r="L33" s="511">
        <v>5</v>
      </c>
      <c r="M33" s="318">
        <v>63</v>
      </c>
      <c r="N33" s="411">
        <v>68</v>
      </c>
      <c r="O33" s="511">
        <v>1</v>
      </c>
      <c r="P33" s="318">
        <v>0</v>
      </c>
      <c r="Q33" s="411">
        <v>1</v>
      </c>
      <c r="R33" s="511">
        <v>66</v>
      </c>
      <c r="S33" s="318">
        <v>59</v>
      </c>
      <c r="T33" s="411">
        <v>125</v>
      </c>
    </row>
    <row r="34" spans="1:20" x14ac:dyDescent="0.35">
      <c r="A34" s="322" t="s">
        <v>282</v>
      </c>
      <c r="B34" s="323" t="s">
        <v>79</v>
      </c>
      <c r="C34" s="512">
        <v>15</v>
      </c>
      <c r="D34" s="324">
        <v>7</v>
      </c>
      <c r="E34" s="412">
        <v>22</v>
      </c>
      <c r="F34" s="512">
        <v>8</v>
      </c>
      <c r="G34" s="324">
        <v>5</v>
      </c>
      <c r="H34" s="412">
        <v>13</v>
      </c>
      <c r="I34" s="512">
        <v>23</v>
      </c>
      <c r="J34" s="324">
        <v>12</v>
      </c>
      <c r="K34" s="412">
        <v>35</v>
      </c>
      <c r="L34" s="512">
        <v>70</v>
      </c>
      <c r="M34" s="324">
        <v>33</v>
      </c>
      <c r="N34" s="412">
        <v>103</v>
      </c>
      <c r="O34" s="512">
        <v>8</v>
      </c>
      <c r="P34" s="324">
        <v>5</v>
      </c>
      <c r="Q34" s="412">
        <v>13</v>
      </c>
      <c r="R34" s="512">
        <v>212</v>
      </c>
      <c r="S34" s="324">
        <v>156</v>
      </c>
      <c r="T34" s="412">
        <v>368</v>
      </c>
    </row>
    <row r="35" spans="1:20" x14ac:dyDescent="0.35">
      <c r="A35" s="328" t="s">
        <v>283</v>
      </c>
      <c r="B35" s="329" t="s">
        <v>79</v>
      </c>
      <c r="C35" s="513">
        <v>1</v>
      </c>
      <c r="D35" s="330">
        <v>2</v>
      </c>
      <c r="E35" s="413">
        <v>3</v>
      </c>
      <c r="F35" s="513">
        <v>3</v>
      </c>
      <c r="G35" s="330">
        <v>2</v>
      </c>
      <c r="H35" s="413">
        <v>5</v>
      </c>
      <c r="I35" s="513">
        <v>4</v>
      </c>
      <c r="J35" s="330">
        <v>3</v>
      </c>
      <c r="K35" s="413">
        <v>7</v>
      </c>
      <c r="L35" s="513">
        <v>18</v>
      </c>
      <c r="M35" s="330">
        <v>11</v>
      </c>
      <c r="N35" s="413">
        <v>29</v>
      </c>
      <c r="O35" s="513">
        <v>4</v>
      </c>
      <c r="P35" s="330">
        <v>3</v>
      </c>
      <c r="Q35" s="413">
        <v>7</v>
      </c>
      <c r="R35" s="513">
        <v>21</v>
      </c>
      <c r="S35" s="330">
        <v>27</v>
      </c>
      <c r="T35" s="413">
        <v>48</v>
      </c>
    </row>
    <row r="36" spans="1:20" x14ac:dyDescent="0.35">
      <c r="A36" s="328" t="s">
        <v>284</v>
      </c>
      <c r="B36" s="329" t="s">
        <v>81</v>
      </c>
      <c r="C36" s="513">
        <v>3</v>
      </c>
      <c r="D36" s="330">
        <v>1</v>
      </c>
      <c r="E36" s="413">
        <v>4</v>
      </c>
      <c r="F36" s="513">
        <v>1</v>
      </c>
      <c r="G36" s="330">
        <v>1</v>
      </c>
      <c r="H36" s="413">
        <v>2</v>
      </c>
      <c r="I36" s="513">
        <v>3</v>
      </c>
      <c r="J36" s="330">
        <v>3</v>
      </c>
      <c r="K36" s="413">
        <v>6</v>
      </c>
      <c r="L36" s="513">
        <v>8</v>
      </c>
      <c r="M36" s="330">
        <v>6</v>
      </c>
      <c r="N36" s="413">
        <v>14</v>
      </c>
      <c r="O36" s="513">
        <v>0</v>
      </c>
      <c r="P36" s="330">
        <v>1</v>
      </c>
      <c r="Q36" s="413">
        <v>1</v>
      </c>
      <c r="R36" s="513">
        <v>16</v>
      </c>
      <c r="S36" s="330">
        <v>13</v>
      </c>
      <c r="T36" s="413">
        <v>29</v>
      </c>
    </row>
    <row r="37" spans="1:20" x14ac:dyDescent="0.35">
      <c r="A37" s="328" t="s">
        <v>285</v>
      </c>
      <c r="B37" s="329" t="s">
        <v>83</v>
      </c>
      <c r="C37" s="513">
        <v>6</v>
      </c>
      <c r="D37" s="330">
        <v>2</v>
      </c>
      <c r="E37" s="413">
        <v>8</v>
      </c>
      <c r="F37" s="513">
        <v>4</v>
      </c>
      <c r="G37" s="330">
        <v>2</v>
      </c>
      <c r="H37" s="413">
        <v>6</v>
      </c>
      <c r="I37" s="513">
        <v>10</v>
      </c>
      <c r="J37" s="330">
        <v>5</v>
      </c>
      <c r="K37" s="413">
        <v>15</v>
      </c>
      <c r="L37" s="513">
        <v>25</v>
      </c>
      <c r="M37" s="330">
        <v>13</v>
      </c>
      <c r="N37" s="413">
        <v>38</v>
      </c>
      <c r="O37" s="513">
        <v>4</v>
      </c>
      <c r="P37" s="330">
        <v>1</v>
      </c>
      <c r="Q37" s="413">
        <v>5</v>
      </c>
      <c r="R37" s="513">
        <v>144</v>
      </c>
      <c r="S37" s="330">
        <v>94</v>
      </c>
      <c r="T37" s="413">
        <v>238</v>
      </c>
    </row>
    <row r="38" spans="1:20" ht="15" thickBot="1" x14ac:dyDescent="0.4">
      <c r="A38" s="335" t="s">
        <v>286</v>
      </c>
      <c r="B38" s="336" t="s">
        <v>85</v>
      </c>
      <c r="C38" s="514">
        <v>5</v>
      </c>
      <c r="D38" s="337">
        <v>2</v>
      </c>
      <c r="E38" s="414">
        <v>7</v>
      </c>
      <c r="F38" s="514">
        <v>0</v>
      </c>
      <c r="G38" s="337">
        <v>0</v>
      </c>
      <c r="H38" s="414">
        <v>0</v>
      </c>
      <c r="I38" s="514">
        <v>6</v>
      </c>
      <c r="J38" s="337">
        <v>1</v>
      </c>
      <c r="K38" s="414">
        <v>7</v>
      </c>
      <c r="L38" s="514">
        <v>19</v>
      </c>
      <c r="M38" s="337">
        <v>3</v>
      </c>
      <c r="N38" s="414">
        <v>22</v>
      </c>
      <c r="O38" s="514">
        <v>0</v>
      </c>
      <c r="P38" s="337">
        <v>0</v>
      </c>
      <c r="Q38" s="414">
        <v>0</v>
      </c>
      <c r="R38" s="514">
        <v>31</v>
      </c>
      <c r="S38" s="337">
        <v>22</v>
      </c>
      <c r="T38" s="414">
        <v>53</v>
      </c>
    </row>
    <row r="39" spans="1:20" x14ac:dyDescent="0.35">
      <c r="A39" s="303" t="s">
        <v>287</v>
      </c>
      <c r="B39" s="304" t="s">
        <v>89</v>
      </c>
      <c r="C39" s="509">
        <v>16</v>
      </c>
      <c r="D39" s="305">
        <v>16</v>
      </c>
      <c r="E39" s="409">
        <v>32</v>
      </c>
      <c r="F39" s="509">
        <v>6</v>
      </c>
      <c r="G39" s="305">
        <v>3</v>
      </c>
      <c r="H39" s="409">
        <v>9</v>
      </c>
      <c r="I39" s="509">
        <v>20</v>
      </c>
      <c r="J39" s="305">
        <v>10</v>
      </c>
      <c r="K39" s="409">
        <v>30</v>
      </c>
      <c r="L39" s="509">
        <v>34</v>
      </c>
      <c r="M39" s="305">
        <v>12</v>
      </c>
      <c r="N39" s="409">
        <v>46</v>
      </c>
      <c r="O39" s="509">
        <v>3</v>
      </c>
      <c r="P39" s="305">
        <v>7</v>
      </c>
      <c r="Q39" s="409">
        <v>10</v>
      </c>
      <c r="R39" s="509">
        <v>194</v>
      </c>
      <c r="S39" s="305">
        <v>140</v>
      </c>
      <c r="T39" s="409">
        <v>334</v>
      </c>
    </row>
    <row r="40" spans="1:20" x14ac:dyDescent="0.35">
      <c r="A40" s="310" t="s">
        <v>288</v>
      </c>
      <c r="B40" s="311" t="s">
        <v>89</v>
      </c>
      <c r="C40" s="510">
        <v>4</v>
      </c>
      <c r="D40" s="312">
        <v>5</v>
      </c>
      <c r="E40" s="410">
        <v>9</v>
      </c>
      <c r="F40" s="510">
        <v>2</v>
      </c>
      <c r="G40" s="312">
        <v>1</v>
      </c>
      <c r="H40" s="410">
        <v>3</v>
      </c>
      <c r="I40" s="510">
        <v>10</v>
      </c>
      <c r="J40" s="312">
        <v>1</v>
      </c>
      <c r="K40" s="410">
        <v>11</v>
      </c>
      <c r="L40" s="510">
        <v>12</v>
      </c>
      <c r="M40" s="312">
        <v>5</v>
      </c>
      <c r="N40" s="410">
        <v>17</v>
      </c>
      <c r="O40" s="510">
        <v>0</v>
      </c>
      <c r="P40" s="312">
        <v>1</v>
      </c>
      <c r="Q40" s="410">
        <v>1</v>
      </c>
      <c r="R40" s="510">
        <v>33</v>
      </c>
      <c r="S40" s="312">
        <v>23</v>
      </c>
      <c r="T40" s="410">
        <v>56</v>
      </c>
    </row>
    <row r="41" spans="1:20" x14ac:dyDescent="0.35">
      <c r="A41" s="310" t="s">
        <v>289</v>
      </c>
      <c r="B41" s="311" t="s">
        <v>91</v>
      </c>
      <c r="C41" s="510">
        <v>1</v>
      </c>
      <c r="D41" s="312">
        <v>2</v>
      </c>
      <c r="E41" s="410">
        <v>3</v>
      </c>
      <c r="F41" s="510">
        <v>2</v>
      </c>
      <c r="G41" s="312">
        <v>1</v>
      </c>
      <c r="H41" s="410">
        <v>3</v>
      </c>
      <c r="I41" s="510">
        <v>1</v>
      </c>
      <c r="J41" s="312">
        <v>6</v>
      </c>
      <c r="K41" s="410">
        <v>7</v>
      </c>
      <c r="L41" s="510">
        <v>6</v>
      </c>
      <c r="M41" s="312">
        <v>3</v>
      </c>
      <c r="N41" s="410">
        <v>9</v>
      </c>
      <c r="O41" s="510">
        <v>0</v>
      </c>
      <c r="P41" s="312">
        <v>0</v>
      </c>
      <c r="Q41" s="410">
        <v>0</v>
      </c>
      <c r="R41" s="510">
        <v>99</v>
      </c>
      <c r="S41" s="312">
        <v>86</v>
      </c>
      <c r="T41" s="410">
        <v>185</v>
      </c>
    </row>
    <row r="42" spans="1:20" x14ac:dyDescent="0.35">
      <c r="A42" s="310" t="s">
        <v>290</v>
      </c>
      <c r="B42" s="311" t="s">
        <v>93</v>
      </c>
      <c r="C42" s="510">
        <v>7</v>
      </c>
      <c r="D42" s="312">
        <v>6</v>
      </c>
      <c r="E42" s="410">
        <v>13</v>
      </c>
      <c r="F42" s="510">
        <v>1</v>
      </c>
      <c r="G42" s="312">
        <v>1</v>
      </c>
      <c r="H42" s="410">
        <v>2</v>
      </c>
      <c r="I42" s="510">
        <v>6</v>
      </c>
      <c r="J42" s="312">
        <v>1</v>
      </c>
      <c r="K42" s="410">
        <v>7</v>
      </c>
      <c r="L42" s="510">
        <v>7</v>
      </c>
      <c r="M42" s="312">
        <v>3</v>
      </c>
      <c r="N42" s="410">
        <v>10</v>
      </c>
      <c r="O42" s="510">
        <v>3</v>
      </c>
      <c r="P42" s="312">
        <v>4</v>
      </c>
      <c r="Q42" s="410">
        <v>7</v>
      </c>
      <c r="R42" s="510">
        <v>37</v>
      </c>
      <c r="S42" s="312">
        <v>25</v>
      </c>
      <c r="T42" s="410">
        <v>62</v>
      </c>
    </row>
    <row r="43" spans="1:20" ht="15" thickBot="1" x14ac:dyDescent="0.4">
      <c r="A43" s="316" t="s">
        <v>291</v>
      </c>
      <c r="B43" s="317" t="s">
        <v>95</v>
      </c>
      <c r="C43" s="511">
        <v>4</v>
      </c>
      <c r="D43" s="318">
        <v>3</v>
      </c>
      <c r="E43" s="411">
        <v>7</v>
      </c>
      <c r="F43" s="511">
        <v>1</v>
      </c>
      <c r="G43" s="318">
        <v>0</v>
      </c>
      <c r="H43" s="411">
        <v>1</v>
      </c>
      <c r="I43" s="511">
        <v>3</v>
      </c>
      <c r="J43" s="318">
        <v>2</v>
      </c>
      <c r="K43" s="411">
        <v>5</v>
      </c>
      <c r="L43" s="511">
        <v>9</v>
      </c>
      <c r="M43" s="318">
        <v>1</v>
      </c>
      <c r="N43" s="411">
        <v>10</v>
      </c>
      <c r="O43" s="511">
        <v>0</v>
      </c>
      <c r="P43" s="318">
        <v>2</v>
      </c>
      <c r="Q43" s="411">
        <v>2</v>
      </c>
      <c r="R43" s="511">
        <v>25</v>
      </c>
      <c r="S43" s="318">
        <v>6</v>
      </c>
      <c r="T43" s="411">
        <v>31</v>
      </c>
    </row>
    <row r="44" spans="1:20" x14ac:dyDescent="0.35">
      <c r="A44" s="322" t="s">
        <v>292</v>
      </c>
      <c r="B44" s="323" t="s">
        <v>102</v>
      </c>
      <c r="C44" s="512">
        <v>13</v>
      </c>
      <c r="D44" s="324">
        <v>14</v>
      </c>
      <c r="E44" s="412">
        <v>27</v>
      </c>
      <c r="F44" s="512">
        <v>16</v>
      </c>
      <c r="G44" s="324">
        <v>9</v>
      </c>
      <c r="H44" s="412">
        <v>25</v>
      </c>
      <c r="I44" s="512">
        <v>19</v>
      </c>
      <c r="J44" s="324">
        <v>16</v>
      </c>
      <c r="K44" s="412">
        <v>35</v>
      </c>
      <c r="L44" s="512">
        <v>63</v>
      </c>
      <c r="M44" s="324">
        <v>36</v>
      </c>
      <c r="N44" s="412">
        <v>99</v>
      </c>
      <c r="O44" s="512">
        <v>7</v>
      </c>
      <c r="P44" s="324">
        <v>7</v>
      </c>
      <c r="Q44" s="412">
        <v>14</v>
      </c>
      <c r="R44" s="512">
        <v>287</v>
      </c>
      <c r="S44" s="324">
        <v>182</v>
      </c>
      <c r="T44" s="412">
        <v>469</v>
      </c>
    </row>
    <row r="45" spans="1:20" x14ac:dyDescent="0.35">
      <c r="A45" s="328" t="s">
        <v>293</v>
      </c>
      <c r="B45" s="329" t="s">
        <v>98</v>
      </c>
      <c r="C45" s="513">
        <v>1</v>
      </c>
      <c r="D45" s="330">
        <v>1</v>
      </c>
      <c r="E45" s="413">
        <v>2</v>
      </c>
      <c r="F45" s="513">
        <v>4</v>
      </c>
      <c r="G45" s="330">
        <v>4</v>
      </c>
      <c r="H45" s="413">
        <v>8</v>
      </c>
      <c r="I45" s="513">
        <v>3</v>
      </c>
      <c r="J45" s="330">
        <v>1</v>
      </c>
      <c r="K45" s="413">
        <v>4</v>
      </c>
      <c r="L45" s="513">
        <v>11</v>
      </c>
      <c r="M45" s="330">
        <v>6</v>
      </c>
      <c r="N45" s="413">
        <v>17</v>
      </c>
      <c r="O45" s="513">
        <v>2</v>
      </c>
      <c r="P45" s="330">
        <v>0</v>
      </c>
      <c r="Q45" s="413">
        <v>2</v>
      </c>
      <c r="R45" s="513">
        <v>34</v>
      </c>
      <c r="S45" s="330">
        <v>22</v>
      </c>
      <c r="T45" s="413">
        <v>56</v>
      </c>
    </row>
    <row r="46" spans="1:20" x14ac:dyDescent="0.35">
      <c r="A46" s="328" t="s">
        <v>294</v>
      </c>
      <c r="B46" s="329" t="s">
        <v>100</v>
      </c>
      <c r="C46" s="513">
        <v>2</v>
      </c>
      <c r="D46" s="330">
        <v>6</v>
      </c>
      <c r="E46" s="413">
        <v>8</v>
      </c>
      <c r="F46" s="513">
        <v>2</v>
      </c>
      <c r="G46" s="330">
        <v>1</v>
      </c>
      <c r="H46" s="413">
        <v>3</v>
      </c>
      <c r="I46" s="513">
        <v>2</v>
      </c>
      <c r="J46" s="330">
        <v>3</v>
      </c>
      <c r="K46" s="413">
        <v>5</v>
      </c>
      <c r="L46" s="513">
        <v>9</v>
      </c>
      <c r="M46" s="330">
        <v>8</v>
      </c>
      <c r="N46" s="413">
        <v>17</v>
      </c>
      <c r="O46" s="513">
        <v>1</v>
      </c>
      <c r="P46" s="330">
        <v>1</v>
      </c>
      <c r="Q46" s="413">
        <v>2</v>
      </c>
      <c r="R46" s="513">
        <v>30</v>
      </c>
      <c r="S46" s="330">
        <v>30</v>
      </c>
      <c r="T46" s="413">
        <v>60</v>
      </c>
    </row>
    <row r="47" spans="1:20" x14ac:dyDescent="0.35">
      <c r="A47" s="328" t="s">
        <v>295</v>
      </c>
      <c r="B47" s="329" t="s">
        <v>103</v>
      </c>
      <c r="C47" s="513">
        <v>3</v>
      </c>
      <c r="D47" s="330">
        <v>4</v>
      </c>
      <c r="E47" s="413">
        <v>7</v>
      </c>
      <c r="F47" s="513">
        <v>3</v>
      </c>
      <c r="G47" s="330">
        <v>2</v>
      </c>
      <c r="H47" s="413">
        <v>5</v>
      </c>
      <c r="I47" s="513">
        <v>5</v>
      </c>
      <c r="J47" s="330">
        <v>5</v>
      </c>
      <c r="K47" s="413">
        <v>10</v>
      </c>
      <c r="L47" s="513">
        <v>18</v>
      </c>
      <c r="M47" s="330">
        <v>10</v>
      </c>
      <c r="N47" s="413">
        <v>28</v>
      </c>
      <c r="O47" s="513">
        <v>1</v>
      </c>
      <c r="P47" s="330">
        <v>4</v>
      </c>
      <c r="Q47" s="413">
        <v>5</v>
      </c>
      <c r="R47" s="513">
        <v>81</v>
      </c>
      <c r="S47" s="330">
        <v>53</v>
      </c>
      <c r="T47" s="413">
        <v>134</v>
      </c>
    </row>
    <row r="48" spans="1:20" x14ac:dyDescent="0.35">
      <c r="A48" s="328" t="s">
        <v>296</v>
      </c>
      <c r="B48" s="329" t="s">
        <v>105</v>
      </c>
      <c r="C48" s="513">
        <v>3</v>
      </c>
      <c r="D48" s="330">
        <v>2</v>
      </c>
      <c r="E48" s="413">
        <v>5</v>
      </c>
      <c r="F48" s="513">
        <v>2</v>
      </c>
      <c r="G48" s="330">
        <v>2</v>
      </c>
      <c r="H48" s="413">
        <v>4</v>
      </c>
      <c r="I48" s="513">
        <v>6</v>
      </c>
      <c r="J48" s="330">
        <v>3</v>
      </c>
      <c r="K48" s="413">
        <v>9</v>
      </c>
      <c r="L48" s="513">
        <v>4</v>
      </c>
      <c r="M48" s="330">
        <v>4</v>
      </c>
      <c r="N48" s="413">
        <v>8</v>
      </c>
      <c r="O48" s="513">
        <v>2</v>
      </c>
      <c r="P48" s="330">
        <v>0</v>
      </c>
      <c r="Q48" s="413">
        <v>2</v>
      </c>
      <c r="R48" s="513">
        <v>70</v>
      </c>
      <c r="S48" s="330">
        <v>51</v>
      </c>
      <c r="T48" s="413">
        <v>121</v>
      </c>
    </row>
    <row r="49" spans="1:20" ht="15" thickBot="1" x14ac:dyDescent="0.4">
      <c r="A49" s="335" t="s">
        <v>297</v>
      </c>
      <c r="B49" s="336" t="s">
        <v>107</v>
      </c>
      <c r="C49" s="514">
        <v>4</v>
      </c>
      <c r="D49" s="337">
        <v>1</v>
      </c>
      <c r="E49" s="414">
        <v>5</v>
      </c>
      <c r="F49" s="514">
        <v>5</v>
      </c>
      <c r="G49" s="337">
        <v>0</v>
      </c>
      <c r="H49" s="414">
        <v>5</v>
      </c>
      <c r="I49" s="514">
        <v>3</v>
      </c>
      <c r="J49" s="337">
        <v>4</v>
      </c>
      <c r="K49" s="414">
        <v>7</v>
      </c>
      <c r="L49" s="514">
        <v>21</v>
      </c>
      <c r="M49" s="337">
        <v>8</v>
      </c>
      <c r="N49" s="414">
        <v>29</v>
      </c>
      <c r="O49" s="514">
        <v>1</v>
      </c>
      <c r="P49" s="337">
        <v>2</v>
      </c>
      <c r="Q49" s="414">
        <v>3</v>
      </c>
      <c r="R49" s="514">
        <v>72</v>
      </c>
      <c r="S49" s="337">
        <v>26</v>
      </c>
      <c r="T49" s="414">
        <v>98</v>
      </c>
    </row>
    <row r="50" spans="1:20" x14ac:dyDescent="0.35">
      <c r="A50" s="303" t="s">
        <v>298</v>
      </c>
      <c r="B50" s="304" t="s">
        <v>112</v>
      </c>
      <c r="C50" s="509">
        <v>16</v>
      </c>
      <c r="D50" s="305">
        <v>18</v>
      </c>
      <c r="E50" s="409">
        <v>34</v>
      </c>
      <c r="F50" s="509">
        <v>12</v>
      </c>
      <c r="G50" s="305">
        <v>7</v>
      </c>
      <c r="H50" s="409">
        <v>19</v>
      </c>
      <c r="I50" s="509">
        <v>28</v>
      </c>
      <c r="J50" s="305">
        <v>31</v>
      </c>
      <c r="K50" s="409">
        <v>59</v>
      </c>
      <c r="L50" s="509">
        <v>76</v>
      </c>
      <c r="M50" s="305">
        <v>36</v>
      </c>
      <c r="N50" s="409">
        <v>112</v>
      </c>
      <c r="O50" s="509">
        <v>9</v>
      </c>
      <c r="P50" s="305">
        <v>5</v>
      </c>
      <c r="Q50" s="409">
        <v>14</v>
      </c>
      <c r="R50" s="509">
        <v>524</v>
      </c>
      <c r="S50" s="305">
        <v>501</v>
      </c>
      <c r="T50" s="409">
        <v>1025</v>
      </c>
    </row>
    <row r="51" spans="1:20" x14ac:dyDescent="0.35">
      <c r="A51" s="310" t="s">
        <v>299</v>
      </c>
      <c r="B51" s="311" t="s">
        <v>110</v>
      </c>
      <c r="C51" s="510">
        <v>3</v>
      </c>
      <c r="D51" s="312">
        <v>4</v>
      </c>
      <c r="E51" s="410">
        <v>7</v>
      </c>
      <c r="F51" s="510">
        <v>2</v>
      </c>
      <c r="G51" s="312">
        <v>2</v>
      </c>
      <c r="H51" s="410">
        <v>4</v>
      </c>
      <c r="I51" s="510">
        <v>2</v>
      </c>
      <c r="J51" s="312">
        <v>6</v>
      </c>
      <c r="K51" s="410">
        <v>8</v>
      </c>
      <c r="L51" s="510">
        <v>14</v>
      </c>
      <c r="M51" s="312">
        <v>5</v>
      </c>
      <c r="N51" s="410">
        <v>19</v>
      </c>
      <c r="O51" s="510">
        <v>2</v>
      </c>
      <c r="P51" s="312">
        <v>0</v>
      </c>
      <c r="Q51" s="410">
        <v>2</v>
      </c>
      <c r="R51" s="510">
        <v>31</v>
      </c>
      <c r="S51" s="312">
        <v>21</v>
      </c>
      <c r="T51" s="410">
        <v>52</v>
      </c>
    </row>
    <row r="52" spans="1:20" x14ac:dyDescent="0.35">
      <c r="A52" s="310" t="s">
        <v>300</v>
      </c>
      <c r="B52" s="311" t="s">
        <v>112</v>
      </c>
      <c r="C52" s="510">
        <v>2</v>
      </c>
      <c r="D52" s="312">
        <v>0</v>
      </c>
      <c r="E52" s="410">
        <v>2</v>
      </c>
      <c r="F52" s="510">
        <v>2</v>
      </c>
      <c r="G52" s="312">
        <v>0</v>
      </c>
      <c r="H52" s="410">
        <v>2</v>
      </c>
      <c r="I52" s="510">
        <v>9</v>
      </c>
      <c r="J52" s="312">
        <v>3</v>
      </c>
      <c r="K52" s="410">
        <v>12</v>
      </c>
      <c r="L52" s="510">
        <v>14</v>
      </c>
      <c r="M52" s="312">
        <v>9</v>
      </c>
      <c r="N52" s="410">
        <v>23</v>
      </c>
      <c r="O52" s="510">
        <v>1</v>
      </c>
      <c r="P52" s="312">
        <v>2</v>
      </c>
      <c r="Q52" s="410">
        <v>3</v>
      </c>
      <c r="R52" s="510">
        <v>35</v>
      </c>
      <c r="S52" s="312">
        <v>43</v>
      </c>
      <c r="T52" s="410">
        <v>78</v>
      </c>
    </row>
    <row r="53" spans="1:20" x14ac:dyDescent="0.35">
      <c r="A53" s="310" t="s">
        <v>301</v>
      </c>
      <c r="B53" s="311" t="s">
        <v>114</v>
      </c>
      <c r="C53" s="510">
        <v>3</v>
      </c>
      <c r="D53" s="312">
        <v>1</v>
      </c>
      <c r="E53" s="410">
        <v>4</v>
      </c>
      <c r="F53" s="510">
        <v>2</v>
      </c>
      <c r="G53" s="312">
        <v>1</v>
      </c>
      <c r="H53" s="410">
        <v>3</v>
      </c>
      <c r="I53" s="510">
        <v>3</v>
      </c>
      <c r="J53" s="312">
        <v>5</v>
      </c>
      <c r="K53" s="410">
        <v>8</v>
      </c>
      <c r="L53" s="510">
        <v>11</v>
      </c>
      <c r="M53" s="312">
        <v>8</v>
      </c>
      <c r="N53" s="410">
        <v>19</v>
      </c>
      <c r="O53" s="510">
        <v>0</v>
      </c>
      <c r="P53" s="312">
        <v>2</v>
      </c>
      <c r="Q53" s="410">
        <v>2</v>
      </c>
      <c r="R53" s="510">
        <v>99</v>
      </c>
      <c r="S53" s="312">
        <v>85</v>
      </c>
      <c r="T53" s="410">
        <v>184</v>
      </c>
    </row>
    <row r="54" spans="1:20" x14ac:dyDescent="0.35">
      <c r="A54" s="310" t="s">
        <v>302</v>
      </c>
      <c r="B54" s="311" t="s">
        <v>116</v>
      </c>
      <c r="C54" s="510">
        <v>5</v>
      </c>
      <c r="D54" s="312">
        <v>5</v>
      </c>
      <c r="E54" s="410">
        <v>10</v>
      </c>
      <c r="F54" s="510">
        <v>0</v>
      </c>
      <c r="G54" s="312">
        <v>1</v>
      </c>
      <c r="H54" s="410">
        <v>1</v>
      </c>
      <c r="I54" s="510">
        <v>5</v>
      </c>
      <c r="J54" s="312">
        <v>8</v>
      </c>
      <c r="K54" s="410">
        <v>13</v>
      </c>
      <c r="L54" s="510">
        <v>14</v>
      </c>
      <c r="M54" s="312">
        <v>7</v>
      </c>
      <c r="N54" s="410">
        <v>21</v>
      </c>
      <c r="O54" s="510">
        <v>1</v>
      </c>
      <c r="P54" s="312">
        <v>1</v>
      </c>
      <c r="Q54" s="410">
        <v>2</v>
      </c>
      <c r="R54" s="510">
        <v>191</v>
      </c>
      <c r="S54" s="312">
        <v>188</v>
      </c>
      <c r="T54" s="410">
        <v>379</v>
      </c>
    </row>
    <row r="55" spans="1:20" x14ac:dyDescent="0.35">
      <c r="A55" s="310" t="s">
        <v>303</v>
      </c>
      <c r="B55" s="311" t="s">
        <v>118</v>
      </c>
      <c r="C55" s="510">
        <v>2</v>
      </c>
      <c r="D55" s="312">
        <v>1</v>
      </c>
      <c r="E55" s="410">
        <v>3</v>
      </c>
      <c r="F55" s="510">
        <v>2</v>
      </c>
      <c r="G55" s="312">
        <v>2</v>
      </c>
      <c r="H55" s="410">
        <v>4</v>
      </c>
      <c r="I55" s="510">
        <v>3</v>
      </c>
      <c r="J55" s="312">
        <v>3</v>
      </c>
      <c r="K55" s="410">
        <v>6</v>
      </c>
      <c r="L55" s="510">
        <v>5</v>
      </c>
      <c r="M55" s="312">
        <v>5</v>
      </c>
      <c r="N55" s="410">
        <v>10</v>
      </c>
      <c r="O55" s="510">
        <v>3</v>
      </c>
      <c r="P55" s="312">
        <v>0</v>
      </c>
      <c r="Q55" s="410">
        <v>3</v>
      </c>
      <c r="R55" s="510">
        <v>35</v>
      </c>
      <c r="S55" s="312">
        <v>46</v>
      </c>
      <c r="T55" s="410">
        <v>81</v>
      </c>
    </row>
    <row r="56" spans="1:20" ht="15" thickBot="1" x14ac:dyDescent="0.4">
      <c r="A56" s="316" t="s">
        <v>304</v>
      </c>
      <c r="B56" s="317" t="s">
        <v>120</v>
      </c>
      <c r="C56" s="511">
        <v>1</v>
      </c>
      <c r="D56" s="318">
        <v>7</v>
      </c>
      <c r="E56" s="411">
        <v>8</v>
      </c>
      <c r="F56" s="511">
        <v>4</v>
      </c>
      <c r="G56" s="318">
        <v>1</v>
      </c>
      <c r="H56" s="411">
        <v>5</v>
      </c>
      <c r="I56" s="511">
        <v>6</v>
      </c>
      <c r="J56" s="318">
        <v>6</v>
      </c>
      <c r="K56" s="411">
        <v>12</v>
      </c>
      <c r="L56" s="511">
        <v>18</v>
      </c>
      <c r="M56" s="318">
        <v>2</v>
      </c>
      <c r="N56" s="411">
        <v>20</v>
      </c>
      <c r="O56" s="511">
        <v>2</v>
      </c>
      <c r="P56" s="318">
        <v>0</v>
      </c>
      <c r="Q56" s="411">
        <v>2</v>
      </c>
      <c r="R56" s="511">
        <v>133</v>
      </c>
      <c r="S56" s="318">
        <v>118</v>
      </c>
      <c r="T56" s="411">
        <v>251</v>
      </c>
    </row>
    <row r="57" spans="1:20" x14ac:dyDescent="0.35">
      <c r="A57" s="322" t="s">
        <v>305</v>
      </c>
      <c r="B57" s="323" t="s">
        <v>123</v>
      </c>
      <c r="C57" s="512">
        <v>3</v>
      </c>
      <c r="D57" s="324">
        <v>9</v>
      </c>
      <c r="E57" s="412">
        <v>12</v>
      </c>
      <c r="F57" s="512">
        <v>6</v>
      </c>
      <c r="G57" s="324">
        <v>5</v>
      </c>
      <c r="H57" s="412">
        <v>11</v>
      </c>
      <c r="I57" s="512">
        <v>17</v>
      </c>
      <c r="J57" s="324">
        <v>9</v>
      </c>
      <c r="K57" s="412">
        <v>26</v>
      </c>
      <c r="L57" s="512">
        <v>26</v>
      </c>
      <c r="M57" s="324">
        <v>16</v>
      </c>
      <c r="N57" s="412">
        <v>42</v>
      </c>
      <c r="O57" s="512">
        <v>0</v>
      </c>
      <c r="P57" s="324">
        <v>1</v>
      </c>
      <c r="Q57" s="412">
        <v>1</v>
      </c>
      <c r="R57" s="512">
        <v>147</v>
      </c>
      <c r="S57" s="324">
        <v>93</v>
      </c>
      <c r="T57" s="412">
        <v>240</v>
      </c>
    </row>
    <row r="58" spans="1:20" x14ac:dyDescent="0.35">
      <c r="A58" s="328" t="s">
        <v>306</v>
      </c>
      <c r="B58" s="329" t="s">
        <v>123</v>
      </c>
      <c r="C58" s="513">
        <v>2</v>
      </c>
      <c r="D58" s="330">
        <v>3</v>
      </c>
      <c r="E58" s="413">
        <v>5</v>
      </c>
      <c r="F58" s="513">
        <v>1</v>
      </c>
      <c r="G58" s="330">
        <v>0</v>
      </c>
      <c r="H58" s="413">
        <v>1</v>
      </c>
      <c r="I58" s="513">
        <v>3</v>
      </c>
      <c r="J58" s="330">
        <v>2</v>
      </c>
      <c r="K58" s="413">
        <v>5</v>
      </c>
      <c r="L58" s="513">
        <v>5</v>
      </c>
      <c r="M58" s="330">
        <v>4</v>
      </c>
      <c r="N58" s="413">
        <v>9</v>
      </c>
      <c r="O58" s="513">
        <v>0</v>
      </c>
      <c r="P58" s="330">
        <v>0</v>
      </c>
      <c r="Q58" s="413">
        <v>0</v>
      </c>
      <c r="R58" s="513">
        <v>31</v>
      </c>
      <c r="S58" s="330">
        <v>22</v>
      </c>
      <c r="T58" s="413">
        <v>53</v>
      </c>
    </row>
    <row r="59" spans="1:20" x14ac:dyDescent="0.35">
      <c r="A59" s="328" t="s">
        <v>307</v>
      </c>
      <c r="B59" s="329" t="s">
        <v>125</v>
      </c>
      <c r="C59" s="513">
        <v>0</v>
      </c>
      <c r="D59" s="330">
        <v>4</v>
      </c>
      <c r="E59" s="413">
        <v>4</v>
      </c>
      <c r="F59" s="513">
        <v>1</v>
      </c>
      <c r="G59" s="330">
        <v>2</v>
      </c>
      <c r="H59" s="413">
        <v>3</v>
      </c>
      <c r="I59" s="513">
        <v>3</v>
      </c>
      <c r="J59" s="330">
        <v>0</v>
      </c>
      <c r="K59" s="413">
        <v>3</v>
      </c>
      <c r="L59" s="513">
        <v>8</v>
      </c>
      <c r="M59" s="330">
        <v>4</v>
      </c>
      <c r="N59" s="413">
        <v>12</v>
      </c>
      <c r="O59" s="513">
        <v>0</v>
      </c>
      <c r="P59" s="330">
        <v>0</v>
      </c>
      <c r="Q59" s="413">
        <v>0</v>
      </c>
      <c r="R59" s="513">
        <v>29</v>
      </c>
      <c r="S59" s="330">
        <v>10</v>
      </c>
      <c r="T59" s="413">
        <v>39</v>
      </c>
    </row>
    <row r="60" spans="1:20" x14ac:dyDescent="0.35">
      <c r="A60" s="328" t="s">
        <v>308</v>
      </c>
      <c r="B60" s="329" t="s">
        <v>127</v>
      </c>
      <c r="C60" s="513">
        <v>0</v>
      </c>
      <c r="D60" s="330">
        <v>1</v>
      </c>
      <c r="E60" s="413">
        <v>1</v>
      </c>
      <c r="F60" s="513">
        <v>1</v>
      </c>
      <c r="G60" s="330">
        <v>2</v>
      </c>
      <c r="H60" s="413">
        <v>3</v>
      </c>
      <c r="I60" s="513">
        <v>8</v>
      </c>
      <c r="J60" s="330">
        <v>4</v>
      </c>
      <c r="K60" s="413">
        <v>12</v>
      </c>
      <c r="L60" s="513">
        <v>6</v>
      </c>
      <c r="M60" s="330">
        <v>4</v>
      </c>
      <c r="N60" s="413">
        <v>10</v>
      </c>
      <c r="O60" s="513">
        <v>0</v>
      </c>
      <c r="P60" s="330">
        <v>0</v>
      </c>
      <c r="Q60" s="413">
        <v>0</v>
      </c>
      <c r="R60" s="513">
        <v>34</v>
      </c>
      <c r="S60" s="330">
        <v>29</v>
      </c>
      <c r="T60" s="413">
        <v>63</v>
      </c>
    </row>
    <row r="61" spans="1:20" x14ac:dyDescent="0.35">
      <c r="A61" s="328" t="s">
        <v>309</v>
      </c>
      <c r="B61" s="329" t="s">
        <v>129</v>
      </c>
      <c r="C61" s="513">
        <v>1</v>
      </c>
      <c r="D61" s="330">
        <v>0</v>
      </c>
      <c r="E61" s="413">
        <v>1</v>
      </c>
      <c r="F61" s="513">
        <v>0</v>
      </c>
      <c r="G61" s="330">
        <v>0</v>
      </c>
      <c r="H61" s="413">
        <v>0</v>
      </c>
      <c r="I61" s="513">
        <v>0</v>
      </c>
      <c r="J61" s="330">
        <v>2</v>
      </c>
      <c r="K61" s="413">
        <v>2</v>
      </c>
      <c r="L61" s="513">
        <v>3</v>
      </c>
      <c r="M61" s="330">
        <v>1</v>
      </c>
      <c r="N61" s="413">
        <v>4</v>
      </c>
      <c r="O61" s="513">
        <v>0</v>
      </c>
      <c r="P61" s="330">
        <v>0</v>
      </c>
      <c r="Q61" s="413">
        <v>0</v>
      </c>
      <c r="R61" s="513">
        <v>27</v>
      </c>
      <c r="S61" s="330">
        <v>15</v>
      </c>
      <c r="T61" s="413">
        <v>42</v>
      </c>
    </row>
    <row r="62" spans="1:20" ht="15" thickBot="1" x14ac:dyDescent="0.4">
      <c r="A62" s="335" t="s">
        <v>310</v>
      </c>
      <c r="B62" s="336" t="s">
        <v>131</v>
      </c>
      <c r="C62" s="514">
        <v>0</v>
      </c>
      <c r="D62" s="337">
        <v>1</v>
      </c>
      <c r="E62" s="414">
        <v>1</v>
      </c>
      <c r="F62" s="514">
        <v>3</v>
      </c>
      <c r="G62" s="337">
        <v>1</v>
      </c>
      <c r="H62" s="414">
        <v>4</v>
      </c>
      <c r="I62" s="514">
        <v>3</v>
      </c>
      <c r="J62" s="337">
        <v>1</v>
      </c>
      <c r="K62" s="414">
        <v>4</v>
      </c>
      <c r="L62" s="514">
        <v>4</v>
      </c>
      <c r="M62" s="337">
        <v>3</v>
      </c>
      <c r="N62" s="414">
        <v>7</v>
      </c>
      <c r="O62" s="514">
        <v>0</v>
      </c>
      <c r="P62" s="337">
        <v>1</v>
      </c>
      <c r="Q62" s="414">
        <v>1</v>
      </c>
      <c r="R62" s="514">
        <v>26</v>
      </c>
      <c r="S62" s="337">
        <v>17</v>
      </c>
      <c r="T62" s="414">
        <v>43</v>
      </c>
    </row>
    <row r="63" spans="1:20" x14ac:dyDescent="0.35">
      <c r="A63" s="303" t="s">
        <v>311</v>
      </c>
      <c r="B63" s="304" t="s">
        <v>138</v>
      </c>
      <c r="C63" s="509">
        <v>14</v>
      </c>
      <c r="D63" s="305">
        <v>11</v>
      </c>
      <c r="E63" s="409">
        <v>25</v>
      </c>
      <c r="F63" s="509">
        <v>17</v>
      </c>
      <c r="G63" s="305">
        <v>8</v>
      </c>
      <c r="H63" s="409">
        <v>25</v>
      </c>
      <c r="I63" s="509">
        <v>21</v>
      </c>
      <c r="J63" s="305">
        <v>18</v>
      </c>
      <c r="K63" s="409">
        <v>39</v>
      </c>
      <c r="L63" s="509">
        <v>49</v>
      </c>
      <c r="M63" s="305">
        <v>26</v>
      </c>
      <c r="N63" s="409">
        <v>75</v>
      </c>
      <c r="O63" s="509">
        <v>2</v>
      </c>
      <c r="P63" s="305">
        <v>2</v>
      </c>
      <c r="Q63" s="409">
        <v>4</v>
      </c>
      <c r="R63" s="509">
        <v>474</v>
      </c>
      <c r="S63" s="305">
        <v>332</v>
      </c>
      <c r="T63" s="409">
        <v>806</v>
      </c>
    </row>
    <row r="64" spans="1:20" x14ac:dyDescent="0.35">
      <c r="A64" s="515" t="s">
        <v>312</v>
      </c>
      <c r="B64" s="516" t="s">
        <v>134</v>
      </c>
      <c r="C64" s="510">
        <v>4</v>
      </c>
      <c r="D64" s="312">
        <v>4</v>
      </c>
      <c r="E64" s="410">
        <v>8</v>
      </c>
      <c r="F64" s="510">
        <v>2</v>
      </c>
      <c r="G64" s="312">
        <v>1</v>
      </c>
      <c r="H64" s="410">
        <v>3</v>
      </c>
      <c r="I64" s="510">
        <v>2</v>
      </c>
      <c r="J64" s="312">
        <v>2</v>
      </c>
      <c r="K64" s="410">
        <v>4</v>
      </c>
      <c r="L64" s="510">
        <v>9</v>
      </c>
      <c r="M64" s="312">
        <v>10</v>
      </c>
      <c r="N64" s="410">
        <v>19</v>
      </c>
      <c r="O64" s="510">
        <v>1</v>
      </c>
      <c r="P64" s="312">
        <v>0</v>
      </c>
      <c r="Q64" s="410">
        <v>1</v>
      </c>
      <c r="R64" s="510">
        <v>26</v>
      </c>
      <c r="S64" s="312">
        <v>28</v>
      </c>
      <c r="T64" s="410">
        <v>54</v>
      </c>
    </row>
    <row r="65" spans="1:20" x14ac:dyDescent="0.35">
      <c r="A65" s="310" t="s">
        <v>313</v>
      </c>
      <c r="B65" s="311" t="s">
        <v>136</v>
      </c>
      <c r="C65" s="510">
        <v>0</v>
      </c>
      <c r="D65" s="312">
        <v>4</v>
      </c>
      <c r="E65" s="410">
        <v>4</v>
      </c>
      <c r="F65" s="510">
        <v>0</v>
      </c>
      <c r="G65" s="312">
        <v>0</v>
      </c>
      <c r="H65" s="410">
        <v>0</v>
      </c>
      <c r="I65" s="510">
        <v>5</v>
      </c>
      <c r="J65" s="312">
        <v>6</v>
      </c>
      <c r="K65" s="410">
        <v>11</v>
      </c>
      <c r="L65" s="510">
        <v>14</v>
      </c>
      <c r="M65" s="312">
        <v>5</v>
      </c>
      <c r="N65" s="410">
        <v>19</v>
      </c>
      <c r="O65" s="510">
        <v>0</v>
      </c>
      <c r="P65" s="312">
        <v>1</v>
      </c>
      <c r="Q65" s="410">
        <v>1</v>
      </c>
      <c r="R65" s="510">
        <v>110</v>
      </c>
      <c r="S65" s="312">
        <v>83</v>
      </c>
      <c r="T65" s="410">
        <v>193</v>
      </c>
    </row>
    <row r="66" spans="1:20" x14ac:dyDescent="0.35">
      <c r="A66" s="310" t="s">
        <v>314</v>
      </c>
      <c r="B66" s="311" t="s">
        <v>138</v>
      </c>
      <c r="C66" s="510">
        <v>7</v>
      </c>
      <c r="D66" s="312">
        <v>2</v>
      </c>
      <c r="E66" s="410">
        <v>9</v>
      </c>
      <c r="F66" s="510">
        <v>14</v>
      </c>
      <c r="G66" s="312">
        <v>6</v>
      </c>
      <c r="H66" s="410">
        <v>20</v>
      </c>
      <c r="I66" s="510">
        <v>13</v>
      </c>
      <c r="J66" s="312">
        <v>5</v>
      </c>
      <c r="K66" s="410">
        <v>18</v>
      </c>
      <c r="L66" s="510">
        <v>15</v>
      </c>
      <c r="M66" s="312">
        <v>10</v>
      </c>
      <c r="N66" s="410">
        <v>25</v>
      </c>
      <c r="O66" s="510">
        <v>1</v>
      </c>
      <c r="P66" s="312">
        <v>0</v>
      </c>
      <c r="Q66" s="410">
        <v>1</v>
      </c>
      <c r="R66" s="510">
        <v>203</v>
      </c>
      <c r="S66" s="312">
        <v>132</v>
      </c>
      <c r="T66" s="410">
        <v>335</v>
      </c>
    </row>
    <row r="67" spans="1:20" ht="15" thickBot="1" x14ac:dyDescent="0.4">
      <c r="A67" s="316" t="s">
        <v>315</v>
      </c>
      <c r="B67" s="317" t="s">
        <v>140</v>
      </c>
      <c r="C67" s="511">
        <v>3</v>
      </c>
      <c r="D67" s="318">
        <v>1</v>
      </c>
      <c r="E67" s="411">
        <v>4</v>
      </c>
      <c r="F67" s="511">
        <v>1</v>
      </c>
      <c r="G67" s="318">
        <v>1</v>
      </c>
      <c r="H67" s="411">
        <v>2</v>
      </c>
      <c r="I67" s="511">
        <v>1</v>
      </c>
      <c r="J67" s="318">
        <v>5</v>
      </c>
      <c r="K67" s="411">
        <v>6</v>
      </c>
      <c r="L67" s="511">
        <v>11</v>
      </c>
      <c r="M67" s="318">
        <v>1</v>
      </c>
      <c r="N67" s="411">
        <v>12</v>
      </c>
      <c r="O67" s="511">
        <v>0</v>
      </c>
      <c r="P67" s="318">
        <v>1</v>
      </c>
      <c r="Q67" s="411">
        <v>1</v>
      </c>
      <c r="R67" s="511">
        <v>135</v>
      </c>
      <c r="S67" s="318">
        <v>89</v>
      </c>
      <c r="T67" s="411">
        <v>224</v>
      </c>
    </row>
    <row r="68" spans="1:20" x14ac:dyDescent="0.35">
      <c r="A68" s="322" t="s">
        <v>316</v>
      </c>
      <c r="B68" s="323" t="s">
        <v>148</v>
      </c>
      <c r="C68" s="512">
        <v>12</v>
      </c>
      <c r="D68" s="324">
        <v>7</v>
      </c>
      <c r="E68" s="412">
        <v>19</v>
      </c>
      <c r="F68" s="512">
        <v>1</v>
      </c>
      <c r="G68" s="324">
        <v>2</v>
      </c>
      <c r="H68" s="412">
        <v>3</v>
      </c>
      <c r="I68" s="512">
        <v>11</v>
      </c>
      <c r="J68" s="324">
        <v>11</v>
      </c>
      <c r="K68" s="412">
        <v>22</v>
      </c>
      <c r="L68" s="512">
        <v>41</v>
      </c>
      <c r="M68" s="324">
        <v>20</v>
      </c>
      <c r="N68" s="412">
        <v>61</v>
      </c>
      <c r="O68" s="512">
        <v>3</v>
      </c>
      <c r="P68" s="324">
        <v>4</v>
      </c>
      <c r="Q68" s="412">
        <v>7</v>
      </c>
      <c r="R68" s="512">
        <v>167</v>
      </c>
      <c r="S68" s="324">
        <v>93</v>
      </c>
      <c r="T68" s="412">
        <v>260</v>
      </c>
    </row>
    <row r="69" spans="1:20" x14ac:dyDescent="0.35">
      <c r="A69" s="328" t="s">
        <v>317</v>
      </c>
      <c r="B69" s="329" t="s">
        <v>144</v>
      </c>
      <c r="C69" s="513">
        <v>4</v>
      </c>
      <c r="D69" s="330">
        <v>2</v>
      </c>
      <c r="E69" s="413">
        <v>6</v>
      </c>
      <c r="F69" s="513">
        <v>1</v>
      </c>
      <c r="G69" s="330">
        <v>1</v>
      </c>
      <c r="H69" s="413">
        <v>2</v>
      </c>
      <c r="I69" s="513">
        <v>3</v>
      </c>
      <c r="J69" s="330">
        <v>6</v>
      </c>
      <c r="K69" s="413">
        <v>9</v>
      </c>
      <c r="L69" s="513">
        <v>14</v>
      </c>
      <c r="M69" s="330">
        <v>11</v>
      </c>
      <c r="N69" s="413">
        <v>25</v>
      </c>
      <c r="O69" s="513">
        <v>1</v>
      </c>
      <c r="P69" s="330">
        <v>0</v>
      </c>
      <c r="Q69" s="413">
        <v>1</v>
      </c>
      <c r="R69" s="513">
        <v>57</v>
      </c>
      <c r="S69" s="330">
        <v>32</v>
      </c>
      <c r="T69" s="413">
        <v>89</v>
      </c>
    </row>
    <row r="70" spans="1:20" x14ac:dyDescent="0.35">
      <c r="A70" s="328" t="s">
        <v>318</v>
      </c>
      <c r="B70" s="329" t="s">
        <v>146</v>
      </c>
      <c r="C70" s="513">
        <v>3</v>
      </c>
      <c r="D70" s="330">
        <v>5</v>
      </c>
      <c r="E70" s="413">
        <v>8</v>
      </c>
      <c r="F70" s="513">
        <v>0</v>
      </c>
      <c r="G70" s="330">
        <v>1</v>
      </c>
      <c r="H70" s="413">
        <v>1</v>
      </c>
      <c r="I70" s="513">
        <v>2</v>
      </c>
      <c r="J70" s="330">
        <v>2</v>
      </c>
      <c r="K70" s="413">
        <v>4</v>
      </c>
      <c r="L70" s="513">
        <v>10</v>
      </c>
      <c r="M70" s="330">
        <v>3</v>
      </c>
      <c r="N70" s="413">
        <v>13</v>
      </c>
      <c r="O70" s="513">
        <v>1</v>
      </c>
      <c r="P70" s="330">
        <v>3</v>
      </c>
      <c r="Q70" s="413">
        <v>4</v>
      </c>
      <c r="R70" s="513">
        <v>19</v>
      </c>
      <c r="S70" s="330">
        <v>17</v>
      </c>
      <c r="T70" s="413">
        <v>36</v>
      </c>
    </row>
    <row r="71" spans="1:20" x14ac:dyDescent="0.35">
      <c r="A71" s="328" t="s">
        <v>319</v>
      </c>
      <c r="B71" s="329" t="s">
        <v>149</v>
      </c>
      <c r="C71" s="513">
        <v>3</v>
      </c>
      <c r="D71" s="330">
        <v>0</v>
      </c>
      <c r="E71" s="413">
        <v>3</v>
      </c>
      <c r="F71" s="513">
        <v>0</v>
      </c>
      <c r="G71" s="330">
        <v>0</v>
      </c>
      <c r="H71" s="413">
        <v>0</v>
      </c>
      <c r="I71" s="513">
        <v>4</v>
      </c>
      <c r="J71" s="330">
        <v>2</v>
      </c>
      <c r="K71" s="413">
        <v>6</v>
      </c>
      <c r="L71" s="513">
        <v>10</v>
      </c>
      <c r="M71" s="330">
        <v>5</v>
      </c>
      <c r="N71" s="413">
        <v>15</v>
      </c>
      <c r="O71" s="513">
        <v>1</v>
      </c>
      <c r="P71" s="330">
        <v>1</v>
      </c>
      <c r="Q71" s="413">
        <v>2</v>
      </c>
      <c r="R71" s="513">
        <v>39</v>
      </c>
      <c r="S71" s="330">
        <v>19</v>
      </c>
      <c r="T71" s="413">
        <v>58</v>
      </c>
    </row>
    <row r="72" spans="1:20" ht="15" thickBot="1" x14ac:dyDescent="0.4">
      <c r="A72" s="342" t="s">
        <v>320</v>
      </c>
      <c r="B72" s="343" t="s">
        <v>151</v>
      </c>
      <c r="C72" s="517">
        <v>2</v>
      </c>
      <c r="D72" s="344">
        <v>0</v>
      </c>
      <c r="E72" s="415">
        <v>2</v>
      </c>
      <c r="F72" s="517">
        <v>0</v>
      </c>
      <c r="G72" s="344">
        <v>0</v>
      </c>
      <c r="H72" s="415">
        <v>0</v>
      </c>
      <c r="I72" s="517">
        <v>2</v>
      </c>
      <c r="J72" s="344">
        <v>1</v>
      </c>
      <c r="K72" s="415">
        <v>3</v>
      </c>
      <c r="L72" s="517">
        <v>7</v>
      </c>
      <c r="M72" s="344">
        <v>1</v>
      </c>
      <c r="N72" s="415">
        <v>8</v>
      </c>
      <c r="O72" s="517">
        <v>0</v>
      </c>
      <c r="P72" s="344">
        <v>0</v>
      </c>
      <c r="Q72" s="415">
        <v>0</v>
      </c>
      <c r="R72" s="517">
        <v>52</v>
      </c>
      <c r="S72" s="344">
        <v>25</v>
      </c>
      <c r="T72" s="415">
        <v>77</v>
      </c>
    </row>
  </sheetData>
  <pageMargins left="1.1811023622047245" right="0.78740157480314965" top="0.39370078740157483" bottom="0.39370078740157483" header="0.31496062992125984" footer="0.31496062992125984"/>
  <pageSetup paperSize="5" scale="44" orientation="landscape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46ADA-8181-4294-B3B4-EE4167CA856A}">
  <sheetPr>
    <tabColor rgb="FF00B050"/>
  </sheetPr>
  <dimension ref="A1:BC75"/>
  <sheetViews>
    <sheetView view="pageBreakPreview" topLeftCell="AG1" zoomScale="82" zoomScaleNormal="80" zoomScaleSheetLayoutView="82" workbookViewId="0">
      <selection activeCell="H74" sqref="H74"/>
    </sheetView>
  </sheetViews>
  <sheetFormatPr defaultColWidth="8.7265625" defaultRowHeight="14" x14ac:dyDescent="0.3"/>
  <cols>
    <col min="1" max="1" width="11.54296875" style="289" customWidth="1"/>
    <col min="2" max="2" width="24.26953125" style="289" bestFit="1" customWidth="1"/>
    <col min="3" max="3" width="9.1796875" style="289" bestFit="1" customWidth="1"/>
    <col min="4" max="52" width="8.7265625" style="289"/>
    <col min="53" max="53" width="9.1796875" style="289" bestFit="1" customWidth="1"/>
    <col min="54" max="16384" width="8.7265625" style="289"/>
  </cols>
  <sheetData>
    <row r="1" spans="1:55" x14ac:dyDescent="0.3">
      <c r="A1" s="449" t="s">
        <v>450</v>
      </c>
    </row>
    <row r="2" spans="1:55" x14ac:dyDescent="0.3">
      <c r="A2" s="449" t="s">
        <v>344</v>
      </c>
    </row>
    <row r="3" spans="1:55" x14ac:dyDescent="0.3">
      <c r="F3" s="416"/>
    </row>
    <row r="4" spans="1:55" s="518" customFormat="1" x14ac:dyDescent="0.3">
      <c r="C4" s="519" t="s">
        <v>451</v>
      </c>
      <c r="D4" s="519" t="s">
        <v>451</v>
      </c>
      <c r="E4" s="519">
        <f>E7</f>
        <v>153838</v>
      </c>
      <c r="F4" s="519" t="s">
        <v>452</v>
      </c>
      <c r="G4" s="518" t="s">
        <v>452</v>
      </c>
      <c r="H4" s="519">
        <f t="shared" ref="H4" si="0">H7</f>
        <v>217278</v>
      </c>
      <c r="I4" s="519" t="s">
        <v>453</v>
      </c>
      <c r="J4" s="519" t="s">
        <v>453</v>
      </c>
      <c r="K4" s="519">
        <f t="shared" ref="K4" si="1">K7</f>
        <v>216748</v>
      </c>
      <c r="L4" s="519"/>
      <c r="N4" s="519">
        <f t="shared" ref="N4" si="2">N7</f>
        <v>203821</v>
      </c>
      <c r="O4" s="519"/>
      <c r="Q4" s="519">
        <f t="shared" ref="Q4" si="3">Q7</f>
        <v>202936</v>
      </c>
      <c r="R4" s="519"/>
      <c r="T4" s="519">
        <f t="shared" ref="T4" si="4">T7</f>
        <v>208815</v>
      </c>
      <c r="U4" s="519"/>
      <c r="W4" s="519">
        <f t="shared" ref="W4" si="5">W7</f>
        <v>213640</v>
      </c>
      <c r="X4" s="519"/>
      <c r="Z4" s="519">
        <f t="shared" ref="Z4" si="6">Z7</f>
        <v>199691</v>
      </c>
      <c r="AA4" s="519"/>
      <c r="AC4" s="519">
        <f t="shared" ref="AC4" si="7">AC7</f>
        <v>208140</v>
      </c>
      <c r="AD4" s="519"/>
      <c r="AF4" s="519">
        <f t="shared" ref="AF4" si="8">AF7</f>
        <v>191629</v>
      </c>
      <c r="AG4" s="519"/>
      <c r="AI4" s="519">
        <f t="shared" ref="AI4" si="9">AI7</f>
        <v>168026</v>
      </c>
      <c r="AJ4" s="519"/>
      <c r="AL4" s="519">
        <f t="shared" ref="AL4" si="10">AL7</f>
        <v>141245</v>
      </c>
      <c r="AM4" s="519"/>
      <c r="AO4" s="519">
        <f t="shared" ref="AO4" si="11">AO7</f>
        <v>112784</v>
      </c>
      <c r="AP4" s="519"/>
      <c r="AR4" s="519">
        <f t="shared" ref="AR4" si="12">AR7</f>
        <v>82214</v>
      </c>
      <c r="AS4" s="519"/>
      <c r="AU4" s="519">
        <f t="shared" ref="AU4" si="13">AU7</f>
        <v>48071</v>
      </c>
      <c r="AV4" s="519"/>
      <c r="AX4" s="519">
        <f t="shared" ref="AX4" si="14">AX7</f>
        <v>38372</v>
      </c>
    </row>
    <row r="5" spans="1:55" x14ac:dyDescent="0.3">
      <c r="A5" s="661" t="s">
        <v>14</v>
      </c>
      <c r="B5" s="662" t="s">
        <v>15</v>
      </c>
      <c r="C5" s="663" t="s">
        <v>454</v>
      </c>
      <c r="D5" s="660"/>
      <c r="E5" s="664"/>
      <c r="F5" s="660" t="s">
        <v>455</v>
      </c>
      <c r="G5" s="660"/>
      <c r="H5" s="660"/>
      <c r="I5" s="663" t="s">
        <v>456</v>
      </c>
      <c r="J5" s="660"/>
      <c r="K5" s="664"/>
      <c r="L5" s="660" t="s">
        <v>457</v>
      </c>
      <c r="M5" s="660"/>
      <c r="N5" s="660"/>
      <c r="O5" s="663" t="s">
        <v>458</v>
      </c>
      <c r="P5" s="660"/>
      <c r="Q5" s="664"/>
      <c r="R5" s="660" t="s">
        <v>459</v>
      </c>
      <c r="S5" s="660"/>
      <c r="T5" s="660"/>
      <c r="U5" s="663" t="s">
        <v>460</v>
      </c>
      <c r="V5" s="660"/>
      <c r="W5" s="664"/>
      <c r="X5" s="660" t="s">
        <v>461</v>
      </c>
      <c r="Y5" s="660"/>
      <c r="Z5" s="660"/>
      <c r="AA5" s="663" t="s">
        <v>462</v>
      </c>
      <c r="AB5" s="660"/>
      <c r="AC5" s="664"/>
      <c r="AD5" s="660" t="s">
        <v>463</v>
      </c>
      <c r="AE5" s="660"/>
      <c r="AF5" s="660"/>
      <c r="AG5" s="663" t="s">
        <v>464</v>
      </c>
      <c r="AH5" s="660"/>
      <c r="AI5" s="664"/>
      <c r="AJ5" s="660" t="s">
        <v>465</v>
      </c>
      <c r="AK5" s="660"/>
      <c r="AL5" s="660"/>
      <c r="AM5" s="663" t="s">
        <v>466</v>
      </c>
      <c r="AN5" s="660"/>
      <c r="AO5" s="664"/>
      <c r="AP5" s="660" t="s">
        <v>467</v>
      </c>
      <c r="AQ5" s="660"/>
      <c r="AR5" s="660"/>
      <c r="AS5" s="663" t="s">
        <v>468</v>
      </c>
      <c r="AT5" s="660"/>
      <c r="AU5" s="660"/>
      <c r="AV5" s="663" t="s">
        <v>469</v>
      </c>
      <c r="AW5" s="660"/>
      <c r="AX5" s="664"/>
    </row>
    <row r="6" spans="1:55" ht="14.5" thickBot="1" x14ac:dyDescent="0.35">
      <c r="A6" s="661"/>
      <c r="B6" s="662"/>
      <c r="C6" s="520" t="s">
        <v>454</v>
      </c>
      <c r="D6" s="521" t="s">
        <v>470</v>
      </c>
      <c r="E6" s="522" t="s">
        <v>7</v>
      </c>
      <c r="F6" s="523" t="s">
        <v>455</v>
      </c>
      <c r="G6" s="521" t="s">
        <v>471</v>
      </c>
      <c r="H6" s="524" t="s">
        <v>7</v>
      </c>
      <c r="I6" s="520" t="s">
        <v>456</v>
      </c>
      <c r="J6" s="521" t="s">
        <v>472</v>
      </c>
      <c r="K6" s="522" t="s">
        <v>7</v>
      </c>
      <c r="L6" s="523" t="s">
        <v>457</v>
      </c>
      <c r="M6" s="521" t="s">
        <v>473</v>
      </c>
      <c r="N6" s="524" t="s">
        <v>7</v>
      </c>
      <c r="O6" s="520" t="s">
        <v>458</v>
      </c>
      <c r="P6" s="521" t="s">
        <v>474</v>
      </c>
      <c r="Q6" s="522" t="s">
        <v>7</v>
      </c>
      <c r="R6" s="523" t="s">
        <v>459</v>
      </c>
      <c r="S6" s="521" t="s">
        <v>475</v>
      </c>
      <c r="T6" s="524" t="s">
        <v>7</v>
      </c>
      <c r="U6" s="520" t="s">
        <v>460</v>
      </c>
      <c r="V6" s="521" t="s">
        <v>476</v>
      </c>
      <c r="W6" s="522" t="s">
        <v>7</v>
      </c>
      <c r="X6" s="523" t="s">
        <v>461</v>
      </c>
      <c r="Y6" s="521" t="s">
        <v>477</v>
      </c>
      <c r="Z6" s="524" t="s">
        <v>7</v>
      </c>
      <c r="AA6" s="525" t="s">
        <v>462</v>
      </c>
      <c r="AB6" s="526" t="s">
        <v>478</v>
      </c>
      <c r="AC6" s="527" t="s">
        <v>7</v>
      </c>
      <c r="AD6" s="525" t="s">
        <v>463</v>
      </c>
      <c r="AE6" s="526" t="s">
        <v>479</v>
      </c>
      <c r="AF6" s="527" t="s">
        <v>7</v>
      </c>
      <c r="AG6" s="523" t="s">
        <v>464</v>
      </c>
      <c r="AH6" s="521" t="s">
        <v>480</v>
      </c>
      <c r="AI6" s="524" t="s">
        <v>7</v>
      </c>
      <c r="AJ6" s="525" t="s">
        <v>465</v>
      </c>
      <c r="AK6" s="526" t="s">
        <v>481</v>
      </c>
      <c r="AL6" s="527" t="s">
        <v>7</v>
      </c>
      <c r="AM6" s="523" t="s">
        <v>466</v>
      </c>
      <c r="AN6" s="521" t="s">
        <v>482</v>
      </c>
      <c r="AO6" s="522" t="s">
        <v>7</v>
      </c>
      <c r="AP6" s="523" t="s">
        <v>467</v>
      </c>
      <c r="AQ6" s="521" t="s">
        <v>483</v>
      </c>
      <c r="AR6" s="524" t="s">
        <v>7</v>
      </c>
      <c r="AS6" s="520" t="s">
        <v>468</v>
      </c>
      <c r="AT6" s="521" t="s">
        <v>484</v>
      </c>
      <c r="AU6" s="524" t="s">
        <v>7</v>
      </c>
      <c r="AV6" s="520" t="s">
        <v>469</v>
      </c>
      <c r="AW6" s="521" t="s">
        <v>485</v>
      </c>
      <c r="AX6" s="522" t="s">
        <v>7</v>
      </c>
    </row>
    <row r="7" spans="1:55" ht="14.5" thickBot="1" x14ac:dyDescent="0.35">
      <c r="A7" s="528" t="s">
        <v>21</v>
      </c>
      <c r="B7" s="424" t="s">
        <v>22</v>
      </c>
      <c r="C7" s="529">
        <v>79430</v>
      </c>
      <c r="D7" s="425">
        <v>74408</v>
      </c>
      <c r="E7" s="530">
        <v>153838</v>
      </c>
      <c r="F7" s="531">
        <v>112085</v>
      </c>
      <c r="G7" s="425">
        <v>105193</v>
      </c>
      <c r="H7" s="532">
        <v>217278</v>
      </c>
      <c r="I7" s="529">
        <v>112081</v>
      </c>
      <c r="J7" s="425">
        <v>104667</v>
      </c>
      <c r="K7" s="530">
        <v>216748</v>
      </c>
      <c r="L7" s="531">
        <v>104857</v>
      </c>
      <c r="M7" s="425">
        <v>98964</v>
      </c>
      <c r="N7" s="532">
        <v>203821</v>
      </c>
      <c r="O7" s="529">
        <v>104315</v>
      </c>
      <c r="P7" s="425">
        <v>98621</v>
      </c>
      <c r="Q7" s="530">
        <v>202936</v>
      </c>
      <c r="R7" s="531">
        <v>104820</v>
      </c>
      <c r="S7" s="425">
        <v>103995</v>
      </c>
      <c r="T7" s="532">
        <v>208815</v>
      </c>
      <c r="U7" s="529">
        <v>105158</v>
      </c>
      <c r="V7" s="425">
        <v>108482</v>
      </c>
      <c r="W7" s="530">
        <v>213640</v>
      </c>
      <c r="X7" s="531">
        <v>99322</v>
      </c>
      <c r="Y7" s="425">
        <v>100369</v>
      </c>
      <c r="Z7" s="532">
        <v>199691</v>
      </c>
      <c r="AA7" s="529">
        <v>102754</v>
      </c>
      <c r="AB7" s="425">
        <v>105386</v>
      </c>
      <c r="AC7" s="530">
        <v>208140</v>
      </c>
      <c r="AD7" s="529">
        <v>93140</v>
      </c>
      <c r="AE7" s="425">
        <v>98489</v>
      </c>
      <c r="AF7" s="530">
        <v>191629</v>
      </c>
      <c r="AG7" s="531">
        <v>81081</v>
      </c>
      <c r="AH7" s="425">
        <v>86945</v>
      </c>
      <c r="AI7" s="532">
        <v>168026</v>
      </c>
      <c r="AJ7" s="529">
        <v>68138</v>
      </c>
      <c r="AK7" s="425">
        <v>73107</v>
      </c>
      <c r="AL7" s="530">
        <v>141245</v>
      </c>
      <c r="AM7" s="531">
        <v>52315</v>
      </c>
      <c r="AN7" s="425">
        <v>60469</v>
      </c>
      <c r="AO7" s="532">
        <v>112784</v>
      </c>
      <c r="AP7" s="529">
        <v>39356</v>
      </c>
      <c r="AQ7" s="425">
        <v>42858</v>
      </c>
      <c r="AR7" s="530">
        <v>82214</v>
      </c>
      <c r="AS7" s="531">
        <v>24456</v>
      </c>
      <c r="AT7" s="425">
        <v>23615</v>
      </c>
      <c r="AU7" s="532">
        <v>48071</v>
      </c>
      <c r="AV7" s="529">
        <v>17514</v>
      </c>
      <c r="AW7" s="425">
        <v>20858</v>
      </c>
      <c r="AX7" s="530">
        <v>38372</v>
      </c>
      <c r="AY7" s="533">
        <f t="shared" ref="AY7:AZ7" si="15">SUM(C7,F7,I7,L7,O7,R7,U7,X7,AA7,AD7,AG7,AJ7,AM7,AP7,AS7,AV7)</f>
        <v>1300822</v>
      </c>
      <c r="AZ7" s="533">
        <f t="shared" si="15"/>
        <v>1306426</v>
      </c>
      <c r="BA7" s="533">
        <f>SUM(E7,H7,K7,N7,Q7,T7,W7,Z7,AC7,AF7,AI7,AL7,AO7,AR7,AU7,AX7)</f>
        <v>2607248</v>
      </c>
      <c r="BC7" s="416"/>
    </row>
    <row r="8" spans="1:55" x14ac:dyDescent="0.3">
      <c r="A8" s="534" t="s">
        <v>24</v>
      </c>
      <c r="B8" s="535" t="s">
        <v>20</v>
      </c>
      <c r="C8" s="536">
        <v>8587</v>
      </c>
      <c r="D8" s="372">
        <v>8039</v>
      </c>
      <c r="E8" s="537">
        <v>16626</v>
      </c>
      <c r="F8" s="538">
        <v>12398</v>
      </c>
      <c r="G8" s="372">
        <v>11634</v>
      </c>
      <c r="H8" s="539">
        <v>24032</v>
      </c>
      <c r="I8" s="536">
        <v>12178</v>
      </c>
      <c r="J8" s="372">
        <v>11366</v>
      </c>
      <c r="K8" s="537">
        <v>23544</v>
      </c>
      <c r="L8" s="538">
        <v>10567</v>
      </c>
      <c r="M8" s="372">
        <v>9922</v>
      </c>
      <c r="N8" s="539">
        <v>20489</v>
      </c>
      <c r="O8" s="536">
        <v>9960</v>
      </c>
      <c r="P8" s="372">
        <v>9587</v>
      </c>
      <c r="Q8" s="537">
        <v>19547</v>
      </c>
      <c r="R8" s="538">
        <v>10255</v>
      </c>
      <c r="S8" s="372">
        <v>10269</v>
      </c>
      <c r="T8" s="539">
        <v>20524</v>
      </c>
      <c r="U8" s="536">
        <v>11183</v>
      </c>
      <c r="V8" s="372">
        <v>11572</v>
      </c>
      <c r="W8" s="537">
        <v>22755</v>
      </c>
      <c r="X8" s="538">
        <v>11270</v>
      </c>
      <c r="Y8" s="372">
        <v>11360</v>
      </c>
      <c r="Z8" s="539">
        <v>22630</v>
      </c>
      <c r="AA8" s="536">
        <v>11747</v>
      </c>
      <c r="AB8" s="372">
        <v>11652</v>
      </c>
      <c r="AC8" s="537">
        <v>23399</v>
      </c>
      <c r="AD8" s="536">
        <v>9920</v>
      </c>
      <c r="AE8" s="372">
        <v>10007</v>
      </c>
      <c r="AF8" s="537">
        <v>19927</v>
      </c>
      <c r="AG8" s="538">
        <v>7621</v>
      </c>
      <c r="AH8" s="372">
        <v>7992</v>
      </c>
      <c r="AI8" s="539">
        <v>15613</v>
      </c>
      <c r="AJ8" s="536">
        <v>6082</v>
      </c>
      <c r="AK8" s="372">
        <v>7167</v>
      </c>
      <c r="AL8" s="537">
        <v>13249</v>
      </c>
      <c r="AM8" s="538">
        <v>5213</v>
      </c>
      <c r="AN8" s="372">
        <v>7355</v>
      </c>
      <c r="AO8" s="539">
        <v>12568</v>
      </c>
      <c r="AP8" s="536">
        <v>4748</v>
      </c>
      <c r="AQ8" s="372">
        <v>5943</v>
      </c>
      <c r="AR8" s="537">
        <v>10691</v>
      </c>
      <c r="AS8" s="538">
        <v>3478</v>
      </c>
      <c r="AT8" s="372">
        <v>3032</v>
      </c>
      <c r="AU8" s="539">
        <v>6510</v>
      </c>
      <c r="AV8" s="536">
        <v>2063</v>
      </c>
      <c r="AW8" s="372">
        <v>2144</v>
      </c>
      <c r="AX8" s="537">
        <v>4207</v>
      </c>
      <c r="BA8" s="540"/>
    </row>
    <row r="9" spans="1:55" x14ac:dyDescent="0.3">
      <c r="A9" s="541" t="s">
        <v>26</v>
      </c>
      <c r="B9" s="431" t="s">
        <v>19</v>
      </c>
      <c r="C9" s="542">
        <v>1950</v>
      </c>
      <c r="D9" s="376">
        <v>1828</v>
      </c>
      <c r="E9" s="543">
        <v>3778</v>
      </c>
      <c r="F9" s="544">
        <v>2875</v>
      </c>
      <c r="G9" s="376">
        <v>2733</v>
      </c>
      <c r="H9" s="545">
        <v>5608</v>
      </c>
      <c r="I9" s="542">
        <v>2995</v>
      </c>
      <c r="J9" s="376">
        <v>2848</v>
      </c>
      <c r="K9" s="543">
        <v>5843</v>
      </c>
      <c r="L9" s="544">
        <v>2719</v>
      </c>
      <c r="M9" s="376">
        <v>2586</v>
      </c>
      <c r="N9" s="545">
        <v>5305</v>
      </c>
      <c r="O9" s="542">
        <v>2476</v>
      </c>
      <c r="P9" s="376">
        <v>2383</v>
      </c>
      <c r="Q9" s="543">
        <v>4859</v>
      </c>
      <c r="R9" s="544">
        <v>2454</v>
      </c>
      <c r="S9" s="376">
        <v>2346</v>
      </c>
      <c r="T9" s="545">
        <v>4800</v>
      </c>
      <c r="U9" s="542">
        <v>2546</v>
      </c>
      <c r="V9" s="376">
        <v>2644</v>
      </c>
      <c r="W9" s="543">
        <v>5190</v>
      </c>
      <c r="X9" s="544">
        <v>2677</v>
      </c>
      <c r="Y9" s="376">
        <v>2664</v>
      </c>
      <c r="Z9" s="545">
        <v>5341</v>
      </c>
      <c r="AA9" s="542">
        <v>2753</v>
      </c>
      <c r="AB9" s="376">
        <v>2818</v>
      </c>
      <c r="AC9" s="543">
        <v>5571</v>
      </c>
      <c r="AD9" s="542">
        <v>2455</v>
      </c>
      <c r="AE9" s="376">
        <v>2546</v>
      </c>
      <c r="AF9" s="543">
        <v>5001</v>
      </c>
      <c r="AG9" s="544">
        <v>1976</v>
      </c>
      <c r="AH9" s="376">
        <v>2007</v>
      </c>
      <c r="AI9" s="545">
        <v>3983</v>
      </c>
      <c r="AJ9" s="542">
        <v>1551</v>
      </c>
      <c r="AK9" s="376">
        <v>1728</v>
      </c>
      <c r="AL9" s="543">
        <v>3279</v>
      </c>
      <c r="AM9" s="544">
        <v>1243</v>
      </c>
      <c r="AN9" s="376">
        <v>1656</v>
      </c>
      <c r="AO9" s="545">
        <v>2899</v>
      </c>
      <c r="AP9" s="542">
        <v>1077</v>
      </c>
      <c r="AQ9" s="376">
        <v>1337</v>
      </c>
      <c r="AR9" s="543">
        <v>2414</v>
      </c>
      <c r="AS9" s="544">
        <v>740</v>
      </c>
      <c r="AT9" s="376">
        <v>734</v>
      </c>
      <c r="AU9" s="545">
        <v>1474</v>
      </c>
      <c r="AV9" s="542">
        <v>476</v>
      </c>
      <c r="AW9" s="376">
        <v>562</v>
      </c>
      <c r="AX9" s="543">
        <v>1038</v>
      </c>
      <c r="BA9" s="417"/>
    </row>
    <row r="10" spans="1:55" x14ac:dyDescent="0.3">
      <c r="A10" s="541" t="s">
        <v>28</v>
      </c>
      <c r="B10" s="431" t="s">
        <v>23</v>
      </c>
      <c r="C10" s="542">
        <v>2150</v>
      </c>
      <c r="D10" s="376">
        <v>1999</v>
      </c>
      <c r="E10" s="543">
        <v>4149</v>
      </c>
      <c r="F10" s="544">
        <v>3028</v>
      </c>
      <c r="G10" s="376">
        <v>2844</v>
      </c>
      <c r="H10" s="545">
        <v>5872</v>
      </c>
      <c r="I10" s="542">
        <v>2906</v>
      </c>
      <c r="J10" s="376">
        <v>2709</v>
      </c>
      <c r="K10" s="543">
        <v>5615</v>
      </c>
      <c r="L10" s="544">
        <v>2550</v>
      </c>
      <c r="M10" s="376">
        <v>2365</v>
      </c>
      <c r="N10" s="545">
        <v>4915</v>
      </c>
      <c r="O10" s="542">
        <v>2460</v>
      </c>
      <c r="P10" s="376">
        <v>2338</v>
      </c>
      <c r="Q10" s="543">
        <v>4798</v>
      </c>
      <c r="R10" s="544">
        <v>2583</v>
      </c>
      <c r="S10" s="376">
        <v>2541</v>
      </c>
      <c r="T10" s="545">
        <v>5124</v>
      </c>
      <c r="U10" s="542">
        <v>2804</v>
      </c>
      <c r="V10" s="376">
        <v>2924</v>
      </c>
      <c r="W10" s="543">
        <v>5728</v>
      </c>
      <c r="X10" s="544">
        <v>2724</v>
      </c>
      <c r="Y10" s="376">
        <v>2735</v>
      </c>
      <c r="Z10" s="545">
        <v>5459</v>
      </c>
      <c r="AA10" s="542">
        <v>2803</v>
      </c>
      <c r="AB10" s="376">
        <v>2724</v>
      </c>
      <c r="AC10" s="543">
        <v>5527</v>
      </c>
      <c r="AD10" s="542">
        <v>2447</v>
      </c>
      <c r="AE10" s="376">
        <v>2414</v>
      </c>
      <c r="AF10" s="543">
        <v>4861</v>
      </c>
      <c r="AG10" s="544">
        <v>1931</v>
      </c>
      <c r="AH10" s="376">
        <v>1992</v>
      </c>
      <c r="AI10" s="545">
        <v>3923</v>
      </c>
      <c r="AJ10" s="542">
        <v>1446</v>
      </c>
      <c r="AK10" s="376">
        <v>1687</v>
      </c>
      <c r="AL10" s="543">
        <v>3133</v>
      </c>
      <c r="AM10" s="544">
        <v>1253</v>
      </c>
      <c r="AN10" s="376">
        <v>1659</v>
      </c>
      <c r="AO10" s="545">
        <v>2912</v>
      </c>
      <c r="AP10" s="542">
        <v>1113</v>
      </c>
      <c r="AQ10" s="376">
        <v>1212</v>
      </c>
      <c r="AR10" s="543">
        <v>2325</v>
      </c>
      <c r="AS10" s="544">
        <v>726</v>
      </c>
      <c r="AT10" s="376">
        <v>648</v>
      </c>
      <c r="AU10" s="545">
        <v>1374</v>
      </c>
      <c r="AV10" s="542">
        <v>496</v>
      </c>
      <c r="AW10" s="376">
        <v>548</v>
      </c>
      <c r="AX10" s="543">
        <v>1044</v>
      </c>
    </row>
    <row r="11" spans="1:55" x14ac:dyDescent="0.3">
      <c r="A11" s="541" t="s">
        <v>29</v>
      </c>
      <c r="B11" s="431" t="s">
        <v>25</v>
      </c>
      <c r="C11" s="542">
        <v>2467</v>
      </c>
      <c r="D11" s="376">
        <v>2315</v>
      </c>
      <c r="E11" s="543">
        <v>4782</v>
      </c>
      <c r="F11" s="544">
        <v>3501</v>
      </c>
      <c r="G11" s="376">
        <v>3299</v>
      </c>
      <c r="H11" s="545">
        <v>6800</v>
      </c>
      <c r="I11" s="542">
        <v>3326</v>
      </c>
      <c r="J11" s="376">
        <v>3137</v>
      </c>
      <c r="K11" s="543">
        <v>6463</v>
      </c>
      <c r="L11" s="544">
        <v>2890</v>
      </c>
      <c r="M11" s="376">
        <v>2737</v>
      </c>
      <c r="N11" s="545">
        <v>5627</v>
      </c>
      <c r="O11" s="542">
        <v>2695</v>
      </c>
      <c r="P11" s="376">
        <v>2642</v>
      </c>
      <c r="Q11" s="543">
        <v>5337</v>
      </c>
      <c r="R11" s="544">
        <v>2800</v>
      </c>
      <c r="S11" s="376">
        <v>2859</v>
      </c>
      <c r="T11" s="545">
        <v>5659</v>
      </c>
      <c r="U11" s="542">
        <v>3140</v>
      </c>
      <c r="V11" s="376">
        <v>3206</v>
      </c>
      <c r="W11" s="543">
        <v>6346</v>
      </c>
      <c r="X11" s="544">
        <v>3144</v>
      </c>
      <c r="Y11" s="376">
        <v>3191</v>
      </c>
      <c r="Z11" s="545">
        <v>6335</v>
      </c>
      <c r="AA11" s="542">
        <v>3310</v>
      </c>
      <c r="AB11" s="376">
        <v>3314</v>
      </c>
      <c r="AC11" s="543">
        <v>6624</v>
      </c>
      <c r="AD11" s="542">
        <v>2650</v>
      </c>
      <c r="AE11" s="376">
        <v>2685</v>
      </c>
      <c r="AF11" s="543">
        <v>5335</v>
      </c>
      <c r="AG11" s="544">
        <v>2005</v>
      </c>
      <c r="AH11" s="376">
        <v>2116</v>
      </c>
      <c r="AI11" s="545">
        <v>4121</v>
      </c>
      <c r="AJ11" s="542">
        <v>1659</v>
      </c>
      <c r="AK11" s="376">
        <v>2001</v>
      </c>
      <c r="AL11" s="543">
        <v>3660</v>
      </c>
      <c r="AM11" s="544">
        <v>1408</v>
      </c>
      <c r="AN11" s="376">
        <v>2096</v>
      </c>
      <c r="AO11" s="545">
        <v>3504</v>
      </c>
      <c r="AP11" s="542">
        <v>1395</v>
      </c>
      <c r="AQ11" s="376">
        <v>1698</v>
      </c>
      <c r="AR11" s="543">
        <v>3093</v>
      </c>
      <c r="AS11" s="544">
        <v>1000</v>
      </c>
      <c r="AT11" s="376">
        <v>800</v>
      </c>
      <c r="AU11" s="545">
        <v>1800</v>
      </c>
      <c r="AV11" s="542">
        <v>532</v>
      </c>
      <c r="AW11" s="376">
        <v>500</v>
      </c>
      <c r="AX11" s="543">
        <v>1032</v>
      </c>
    </row>
    <row r="12" spans="1:55" ht="14.5" thickBot="1" x14ac:dyDescent="0.35">
      <c r="A12" s="546" t="s">
        <v>32</v>
      </c>
      <c r="B12" s="547" t="s">
        <v>27</v>
      </c>
      <c r="C12" s="548">
        <v>2020</v>
      </c>
      <c r="D12" s="380">
        <v>1897</v>
      </c>
      <c r="E12" s="549">
        <v>3917</v>
      </c>
      <c r="F12" s="550">
        <v>2994</v>
      </c>
      <c r="G12" s="380">
        <v>2758</v>
      </c>
      <c r="H12" s="551">
        <v>5752</v>
      </c>
      <c r="I12" s="548">
        <v>2951</v>
      </c>
      <c r="J12" s="380">
        <v>2672</v>
      </c>
      <c r="K12" s="549">
        <v>5623</v>
      </c>
      <c r="L12" s="550">
        <v>2408</v>
      </c>
      <c r="M12" s="380">
        <v>2234</v>
      </c>
      <c r="N12" s="551">
        <v>4642</v>
      </c>
      <c r="O12" s="548">
        <v>2329</v>
      </c>
      <c r="P12" s="380">
        <v>2224</v>
      </c>
      <c r="Q12" s="549">
        <v>4553</v>
      </c>
      <c r="R12" s="550">
        <v>2418</v>
      </c>
      <c r="S12" s="380">
        <v>2523</v>
      </c>
      <c r="T12" s="551">
        <v>4941</v>
      </c>
      <c r="U12" s="548">
        <v>2693</v>
      </c>
      <c r="V12" s="380">
        <v>2798</v>
      </c>
      <c r="W12" s="549">
        <v>5491</v>
      </c>
      <c r="X12" s="550">
        <v>2725</v>
      </c>
      <c r="Y12" s="380">
        <v>2770</v>
      </c>
      <c r="Z12" s="551">
        <v>5495</v>
      </c>
      <c r="AA12" s="548">
        <v>2881</v>
      </c>
      <c r="AB12" s="380">
        <v>2796</v>
      </c>
      <c r="AC12" s="549">
        <v>5677</v>
      </c>
      <c r="AD12" s="548">
        <v>2368</v>
      </c>
      <c r="AE12" s="380">
        <v>2362</v>
      </c>
      <c r="AF12" s="549">
        <v>4730</v>
      </c>
      <c r="AG12" s="550">
        <v>1709</v>
      </c>
      <c r="AH12" s="380">
        <v>1877</v>
      </c>
      <c r="AI12" s="551">
        <v>3586</v>
      </c>
      <c r="AJ12" s="548">
        <v>1426</v>
      </c>
      <c r="AK12" s="380">
        <v>1751</v>
      </c>
      <c r="AL12" s="549">
        <v>3177</v>
      </c>
      <c r="AM12" s="550">
        <v>1309</v>
      </c>
      <c r="AN12" s="380">
        <v>1944</v>
      </c>
      <c r="AO12" s="551">
        <v>3253</v>
      </c>
      <c r="AP12" s="548">
        <v>1163</v>
      </c>
      <c r="AQ12" s="380">
        <v>1696</v>
      </c>
      <c r="AR12" s="549">
        <v>2859</v>
      </c>
      <c r="AS12" s="550">
        <v>1012</v>
      </c>
      <c r="AT12" s="380">
        <v>850</v>
      </c>
      <c r="AU12" s="551">
        <v>1862</v>
      </c>
      <c r="AV12" s="548">
        <v>559</v>
      </c>
      <c r="AW12" s="380">
        <v>534</v>
      </c>
      <c r="AX12" s="549">
        <v>1093</v>
      </c>
    </row>
    <row r="13" spans="1:55" x14ac:dyDescent="0.3">
      <c r="A13" s="552" t="s">
        <v>35</v>
      </c>
      <c r="B13" s="553" t="s">
        <v>34</v>
      </c>
      <c r="C13" s="554">
        <v>8150</v>
      </c>
      <c r="D13" s="384">
        <v>7508</v>
      </c>
      <c r="E13" s="555">
        <v>15658</v>
      </c>
      <c r="F13" s="556">
        <v>11781</v>
      </c>
      <c r="G13" s="384">
        <v>10811</v>
      </c>
      <c r="H13" s="557">
        <v>22592</v>
      </c>
      <c r="I13" s="554">
        <v>11579</v>
      </c>
      <c r="J13" s="384">
        <v>10782</v>
      </c>
      <c r="K13" s="555">
        <v>22361</v>
      </c>
      <c r="L13" s="556">
        <v>10534</v>
      </c>
      <c r="M13" s="384">
        <v>9930</v>
      </c>
      <c r="N13" s="557">
        <v>20464</v>
      </c>
      <c r="O13" s="554">
        <v>10256</v>
      </c>
      <c r="P13" s="384">
        <v>9766</v>
      </c>
      <c r="Q13" s="555">
        <v>20022</v>
      </c>
      <c r="R13" s="556">
        <v>10530</v>
      </c>
      <c r="S13" s="384">
        <v>10441</v>
      </c>
      <c r="T13" s="557">
        <v>20971</v>
      </c>
      <c r="U13" s="554">
        <v>10713</v>
      </c>
      <c r="V13" s="384">
        <v>11081</v>
      </c>
      <c r="W13" s="555">
        <v>21794</v>
      </c>
      <c r="X13" s="556">
        <v>10905</v>
      </c>
      <c r="Y13" s="384">
        <v>10588</v>
      </c>
      <c r="Z13" s="557">
        <v>21493</v>
      </c>
      <c r="AA13" s="554">
        <v>10985</v>
      </c>
      <c r="AB13" s="384">
        <v>11099</v>
      </c>
      <c r="AC13" s="555">
        <v>22084</v>
      </c>
      <c r="AD13" s="554">
        <v>9849</v>
      </c>
      <c r="AE13" s="384">
        <v>10210</v>
      </c>
      <c r="AF13" s="555">
        <v>20059</v>
      </c>
      <c r="AG13" s="556">
        <v>8381</v>
      </c>
      <c r="AH13" s="384">
        <v>8807</v>
      </c>
      <c r="AI13" s="557">
        <v>17188</v>
      </c>
      <c r="AJ13" s="554">
        <v>6865</v>
      </c>
      <c r="AK13" s="384">
        <v>7604</v>
      </c>
      <c r="AL13" s="555">
        <v>14469</v>
      </c>
      <c r="AM13" s="556">
        <v>5456</v>
      </c>
      <c r="AN13" s="384">
        <v>6958</v>
      </c>
      <c r="AO13" s="557">
        <v>12414</v>
      </c>
      <c r="AP13" s="554">
        <v>4537</v>
      </c>
      <c r="AQ13" s="384">
        <v>5350</v>
      </c>
      <c r="AR13" s="555">
        <v>9887</v>
      </c>
      <c r="AS13" s="556">
        <v>3062</v>
      </c>
      <c r="AT13" s="384">
        <v>3032</v>
      </c>
      <c r="AU13" s="557">
        <v>6094</v>
      </c>
      <c r="AV13" s="554">
        <v>2246</v>
      </c>
      <c r="AW13" s="384">
        <v>2460</v>
      </c>
      <c r="AX13" s="555">
        <v>4706</v>
      </c>
    </row>
    <row r="14" spans="1:55" x14ac:dyDescent="0.3">
      <c r="A14" s="558" t="s">
        <v>37</v>
      </c>
      <c r="B14" s="440" t="s">
        <v>30</v>
      </c>
      <c r="C14" s="559">
        <v>2033</v>
      </c>
      <c r="D14" s="388">
        <v>1838</v>
      </c>
      <c r="E14" s="560">
        <v>3871</v>
      </c>
      <c r="F14" s="561">
        <v>2842</v>
      </c>
      <c r="G14" s="388">
        <v>2601</v>
      </c>
      <c r="H14" s="562">
        <v>5443</v>
      </c>
      <c r="I14" s="559">
        <v>2749</v>
      </c>
      <c r="J14" s="388">
        <v>2539</v>
      </c>
      <c r="K14" s="560">
        <v>5288</v>
      </c>
      <c r="L14" s="561">
        <v>2514</v>
      </c>
      <c r="M14" s="388">
        <v>2379</v>
      </c>
      <c r="N14" s="562">
        <v>4893</v>
      </c>
      <c r="O14" s="559">
        <v>2519</v>
      </c>
      <c r="P14" s="388">
        <v>2299</v>
      </c>
      <c r="Q14" s="560">
        <v>4818</v>
      </c>
      <c r="R14" s="561">
        <v>2759</v>
      </c>
      <c r="S14" s="388">
        <v>2590</v>
      </c>
      <c r="T14" s="562">
        <v>5349</v>
      </c>
      <c r="U14" s="559">
        <v>2676</v>
      </c>
      <c r="V14" s="388">
        <v>2728</v>
      </c>
      <c r="W14" s="560">
        <v>5404</v>
      </c>
      <c r="X14" s="561">
        <v>2608</v>
      </c>
      <c r="Y14" s="388">
        <v>2556</v>
      </c>
      <c r="Z14" s="562">
        <v>5164</v>
      </c>
      <c r="AA14" s="559">
        <v>2570</v>
      </c>
      <c r="AB14" s="388">
        <v>2606</v>
      </c>
      <c r="AC14" s="560">
        <v>5176</v>
      </c>
      <c r="AD14" s="559">
        <v>2207</v>
      </c>
      <c r="AE14" s="388">
        <v>2360</v>
      </c>
      <c r="AF14" s="560">
        <v>4567</v>
      </c>
      <c r="AG14" s="561">
        <v>2008</v>
      </c>
      <c r="AH14" s="388">
        <v>2138</v>
      </c>
      <c r="AI14" s="562">
        <v>4146</v>
      </c>
      <c r="AJ14" s="559">
        <v>1733</v>
      </c>
      <c r="AK14" s="388">
        <v>1923</v>
      </c>
      <c r="AL14" s="560">
        <v>3656</v>
      </c>
      <c r="AM14" s="561">
        <v>1403</v>
      </c>
      <c r="AN14" s="388">
        <v>1764</v>
      </c>
      <c r="AO14" s="562">
        <v>3167</v>
      </c>
      <c r="AP14" s="559">
        <v>1091</v>
      </c>
      <c r="AQ14" s="388">
        <v>1245</v>
      </c>
      <c r="AR14" s="560">
        <v>2336</v>
      </c>
      <c r="AS14" s="561">
        <v>676</v>
      </c>
      <c r="AT14" s="388">
        <v>609</v>
      </c>
      <c r="AU14" s="562">
        <v>1285</v>
      </c>
      <c r="AV14" s="559">
        <v>442</v>
      </c>
      <c r="AW14" s="388">
        <v>511</v>
      </c>
      <c r="AX14" s="560">
        <v>953</v>
      </c>
    </row>
    <row r="15" spans="1:55" x14ac:dyDescent="0.3">
      <c r="A15" s="558" t="s">
        <v>39</v>
      </c>
      <c r="B15" s="440" t="s">
        <v>33</v>
      </c>
      <c r="C15" s="559">
        <v>1527</v>
      </c>
      <c r="D15" s="388">
        <v>1413</v>
      </c>
      <c r="E15" s="560">
        <v>2940</v>
      </c>
      <c r="F15" s="561">
        <v>2133</v>
      </c>
      <c r="G15" s="388">
        <v>2043</v>
      </c>
      <c r="H15" s="562">
        <v>4176</v>
      </c>
      <c r="I15" s="559">
        <v>2244</v>
      </c>
      <c r="J15" s="388">
        <v>2109</v>
      </c>
      <c r="K15" s="560">
        <v>4353</v>
      </c>
      <c r="L15" s="561">
        <v>1991</v>
      </c>
      <c r="M15" s="388">
        <v>1940</v>
      </c>
      <c r="N15" s="562">
        <v>3931</v>
      </c>
      <c r="O15" s="559">
        <v>1888</v>
      </c>
      <c r="P15" s="388">
        <v>1847</v>
      </c>
      <c r="Q15" s="560">
        <v>3735</v>
      </c>
      <c r="R15" s="561">
        <v>1840</v>
      </c>
      <c r="S15" s="388">
        <v>1844</v>
      </c>
      <c r="T15" s="562">
        <v>3684</v>
      </c>
      <c r="U15" s="559">
        <v>1918</v>
      </c>
      <c r="V15" s="388">
        <v>1987</v>
      </c>
      <c r="W15" s="560">
        <v>3905</v>
      </c>
      <c r="X15" s="561">
        <v>1963</v>
      </c>
      <c r="Y15" s="388">
        <v>1849</v>
      </c>
      <c r="Z15" s="562">
        <v>3812</v>
      </c>
      <c r="AA15" s="559">
        <v>2098</v>
      </c>
      <c r="AB15" s="388">
        <v>2058</v>
      </c>
      <c r="AC15" s="560">
        <v>4156</v>
      </c>
      <c r="AD15" s="559">
        <v>1926</v>
      </c>
      <c r="AE15" s="388">
        <v>1990</v>
      </c>
      <c r="AF15" s="560">
        <v>3916</v>
      </c>
      <c r="AG15" s="561">
        <v>1645</v>
      </c>
      <c r="AH15" s="388">
        <v>1634</v>
      </c>
      <c r="AI15" s="562">
        <v>3279</v>
      </c>
      <c r="AJ15" s="559">
        <v>1277</v>
      </c>
      <c r="AK15" s="388">
        <v>1373</v>
      </c>
      <c r="AL15" s="560">
        <v>2650</v>
      </c>
      <c r="AM15" s="561">
        <v>895</v>
      </c>
      <c r="AN15" s="388">
        <v>1124</v>
      </c>
      <c r="AO15" s="562">
        <v>2019</v>
      </c>
      <c r="AP15" s="559">
        <v>705</v>
      </c>
      <c r="AQ15" s="388">
        <v>861</v>
      </c>
      <c r="AR15" s="560">
        <v>1566</v>
      </c>
      <c r="AS15" s="561">
        <v>482</v>
      </c>
      <c r="AT15" s="388">
        <v>511</v>
      </c>
      <c r="AU15" s="562">
        <v>993</v>
      </c>
      <c r="AV15" s="559">
        <v>378</v>
      </c>
      <c r="AW15" s="388">
        <v>426</v>
      </c>
      <c r="AX15" s="560">
        <v>804</v>
      </c>
    </row>
    <row r="16" spans="1:55" x14ac:dyDescent="0.3">
      <c r="A16" s="558" t="s">
        <v>41</v>
      </c>
      <c r="B16" s="440" t="s">
        <v>36</v>
      </c>
      <c r="C16" s="559">
        <v>1372</v>
      </c>
      <c r="D16" s="388">
        <v>1344</v>
      </c>
      <c r="E16" s="560">
        <v>2716</v>
      </c>
      <c r="F16" s="561">
        <v>2031</v>
      </c>
      <c r="G16" s="388">
        <v>1801</v>
      </c>
      <c r="H16" s="562">
        <v>3832</v>
      </c>
      <c r="I16" s="559">
        <v>1937</v>
      </c>
      <c r="J16" s="388">
        <v>1735</v>
      </c>
      <c r="K16" s="560">
        <v>3672</v>
      </c>
      <c r="L16" s="561">
        <v>1638</v>
      </c>
      <c r="M16" s="388">
        <v>1437</v>
      </c>
      <c r="N16" s="562">
        <v>3075</v>
      </c>
      <c r="O16" s="559">
        <v>1554</v>
      </c>
      <c r="P16" s="388">
        <v>1484</v>
      </c>
      <c r="Q16" s="560">
        <v>3038</v>
      </c>
      <c r="R16" s="561">
        <v>1680</v>
      </c>
      <c r="S16" s="388">
        <v>1755</v>
      </c>
      <c r="T16" s="562">
        <v>3435</v>
      </c>
      <c r="U16" s="559">
        <v>1894</v>
      </c>
      <c r="V16" s="388">
        <v>2004</v>
      </c>
      <c r="W16" s="560">
        <v>3898</v>
      </c>
      <c r="X16" s="561">
        <v>2031</v>
      </c>
      <c r="Y16" s="388">
        <v>1984</v>
      </c>
      <c r="Z16" s="562">
        <v>4015</v>
      </c>
      <c r="AA16" s="559">
        <v>1863</v>
      </c>
      <c r="AB16" s="388">
        <v>1769</v>
      </c>
      <c r="AC16" s="560">
        <v>3632</v>
      </c>
      <c r="AD16" s="559">
        <v>1463</v>
      </c>
      <c r="AE16" s="388">
        <v>1462</v>
      </c>
      <c r="AF16" s="560">
        <v>2925</v>
      </c>
      <c r="AG16" s="561">
        <v>1231</v>
      </c>
      <c r="AH16" s="388">
        <v>1349</v>
      </c>
      <c r="AI16" s="562">
        <v>2580</v>
      </c>
      <c r="AJ16" s="559">
        <v>1030</v>
      </c>
      <c r="AK16" s="388">
        <v>1289</v>
      </c>
      <c r="AL16" s="560">
        <v>2319</v>
      </c>
      <c r="AM16" s="561">
        <v>979</v>
      </c>
      <c r="AN16" s="388">
        <v>1470</v>
      </c>
      <c r="AO16" s="562">
        <v>2449</v>
      </c>
      <c r="AP16" s="559">
        <v>1059</v>
      </c>
      <c r="AQ16" s="388">
        <v>1123</v>
      </c>
      <c r="AR16" s="560">
        <v>2182</v>
      </c>
      <c r="AS16" s="561">
        <v>646</v>
      </c>
      <c r="AT16" s="388">
        <v>470</v>
      </c>
      <c r="AU16" s="562">
        <v>1116</v>
      </c>
      <c r="AV16" s="559">
        <v>327</v>
      </c>
      <c r="AW16" s="388">
        <v>311</v>
      </c>
      <c r="AX16" s="560">
        <v>638</v>
      </c>
    </row>
    <row r="17" spans="1:50" x14ac:dyDescent="0.3">
      <c r="A17" s="558" t="s">
        <v>42</v>
      </c>
      <c r="B17" s="440" t="s">
        <v>38</v>
      </c>
      <c r="C17" s="559">
        <v>1056</v>
      </c>
      <c r="D17" s="388">
        <v>907</v>
      </c>
      <c r="E17" s="560">
        <v>1963</v>
      </c>
      <c r="F17" s="561">
        <v>1527</v>
      </c>
      <c r="G17" s="388">
        <v>1376</v>
      </c>
      <c r="H17" s="562">
        <v>2903</v>
      </c>
      <c r="I17" s="559">
        <v>1427</v>
      </c>
      <c r="J17" s="388">
        <v>1399</v>
      </c>
      <c r="K17" s="560">
        <v>2826</v>
      </c>
      <c r="L17" s="561">
        <v>1416</v>
      </c>
      <c r="M17" s="388">
        <v>1283</v>
      </c>
      <c r="N17" s="562">
        <v>2699</v>
      </c>
      <c r="O17" s="559">
        <v>1391</v>
      </c>
      <c r="P17" s="388">
        <v>1330</v>
      </c>
      <c r="Q17" s="560">
        <v>2721</v>
      </c>
      <c r="R17" s="561">
        <v>1349</v>
      </c>
      <c r="S17" s="388">
        <v>1419</v>
      </c>
      <c r="T17" s="562">
        <v>2768</v>
      </c>
      <c r="U17" s="559">
        <v>1358</v>
      </c>
      <c r="V17" s="388">
        <v>1438</v>
      </c>
      <c r="W17" s="560">
        <v>2796</v>
      </c>
      <c r="X17" s="561">
        <v>1403</v>
      </c>
      <c r="Y17" s="388">
        <v>1303</v>
      </c>
      <c r="Z17" s="562">
        <v>2706</v>
      </c>
      <c r="AA17" s="559">
        <v>1425</v>
      </c>
      <c r="AB17" s="388">
        <v>1469</v>
      </c>
      <c r="AC17" s="560">
        <v>2894</v>
      </c>
      <c r="AD17" s="559">
        <v>1281</v>
      </c>
      <c r="AE17" s="388">
        <v>1401</v>
      </c>
      <c r="AF17" s="560">
        <v>2682</v>
      </c>
      <c r="AG17" s="561">
        <v>1100</v>
      </c>
      <c r="AH17" s="388">
        <v>1242</v>
      </c>
      <c r="AI17" s="562">
        <v>2342</v>
      </c>
      <c r="AJ17" s="559">
        <v>980</v>
      </c>
      <c r="AK17" s="388">
        <v>959</v>
      </c>
      <c r="AL17" s="560">
        <v>1939</v>
      </c>
      <c r="AM17" s="561">
        <v>698</v>
      </c>
      <c r="AN17" s="388">
        <v>844</v>
      </c>
      <c r="AO17" s="562">
        <v>1542</v>
      </c>
      <c r="AP17" s="559">
        <v>525</v>
      </c>
      <c r="AQ17" s="388">
        <v>706</v>
      </c>
      <c r="AR17" s="560">
        <v>1231</v>
      </c>
      <c r="AS17" s="561">
        <v>429</v>
      </c>
      <c r="AT17" s="388">
        <v>502</v>
      </c>
      <c r="AU17" s="562">
        <v>931</v>
      </c>
      <c r="AV17" s="559">
        <v>354</v>
      </c>
      <c r="AW17" s="388">
        <v>369</v>
      </c>
      <c r="AX17" s="560">
        <v>723</v>
      </c>
    </row>
    <row r="18" spans="1:50" ht="14.5" thickBot="1" x14ac:dyDescent="0.35">
      <c r="A18" s="563" t="s">
        <v>44</v>
      </c>
      <c r="B18" s="446" t="s">
        <v>40</v>
      </c>
      <c r="C18" s="564">
        <v>2162</v>
      </c>
      <c r="D18" s="392">
        <v>2006</v>
      </c>
      <c r="E18" s="565">
        <v>4168</v>
      </c>
      <c r="F18" s="566">
        <v>3248</v>
      </c>
      <c r="G18" s="392">
        <v>2990</v>
      </c>
      <c r="H18" s="567">
        <v>6238</v>
      </c>
      <c r="I18" s="564">
        <v>3222</v>
      </c>
      <c r="J18" s="392">
        <v>3000</v>
      </c>
      <c r="K18" s="565">
        <v>6222</v>
      </c>
      <c r="L18" s="566">
        <v>2975</v>
      </c>
      <c r="M18" s="392">
        <v>2891</v>
      </c>
      <c r="N18" s="567">
        <v>5866</v>
      </c>
      <c r="O18" s="564">
        <v>2904</v>
      </c>
      <c r="P18" s="392">
        <v>2806</v>
      </c>
      <c r="Q18" s="565">
        <v>5710</v>
      </c>
      <c r="R18" s="566">
        <v>2902</v>
      </c>
      <c r="S18" s="392">
        <v>2833</v>
      </c>
      <c r="T18" s="567">
        <v>5735</v>
      </c>
      <c r="U18" s="564">
        <v>2867</v>
      </c>
      <c r="V18" s="392">
        <v>2924</v>
      </c>
      <c r="W18" s="565">
        <v>5791</v>
      </c>
      <c r="X18" s="566">
        <v>2900</v>
      </c>
      <c r="Y18" s="392">
        <v>2896</v>
      </c>
      <c r="Z18" s="567">
        <v>5796</v>
      </c>
      <c r="AA18" s="564">
        <v>3029</v>
      </c>
      <c r="AB18" s="392">
        <v>3197</v>
      </c>
      <c r="AC18" s="565">
        <v>6226</v>
      </c>
      <c r="AD18" s="564">
        <v>2972</v>
      </c>
      <c r="AE18" s="392">
        <v>2997</v>
      </c>
      <c r="AF18" s="565">
        <v>5969</v>
      </c>
      <c r="AG18" s="566">
        <v>2397</v>
      </c>
      <c r="AH18" s="392">
        <v>2444</v>
      </c>
      <c r="AI18" s="567">
        <v>4841</v>
      </c>
      <c r="AJ18" s="564">
        <v>1845</v>
      </c>
      <c r="AK18" s="392">
        <v>2060</v>
      </c>
      <c r="AL18" s="565">
        <v>3905</v>
      </c>
      <c r="AM18" s="566">
        <v>1481</v>
      </c>
      <c r="AN18" s="392">
        <v>1756</v>
      </c>
      <c r="AO18" s="567">
        <v>3237</v>
      </c>
      <c r="AP18" s="564">
        <v>1157</v>
      </c>
      <c r="AQ18" s="392">
        <v>1415</v>
      </c>
      <c r="AR18" s="565">
        <v>2572</v>
      </c>
      <c r="AS18" s="566">
        <v>829</v>
      </c>
      <c r="AT18" s="392">
        <v>940</v>
      </c>
      <c r="AU18" s="567">
        <v>1769</v>
      </c>
      <c r="AV18" s="564">
        <v>745</v>
      </c>
      <c r="AW18" s="392">
        <v>843</v>
      </c>
      <c r="AX18" s="565">
        <v>1588</v>
      </c>
    </row>
    <row r="19" spans="1:50" x14ac:dyDescent="0.3">
      <c r="A19" s="534" t="s">
        <v>46</v>
      </c>
      <c r="B19" s="535" t="s">
        <v>47</v>
      </c>
      <c r="C19" s="536">
        <v>10971</v>
      </c>
      <c r="D19" s="372">
        <v>10072</v>
      </c>
      <c r="E19" s="537">
        <v>21043</v>
      </c>
      <c r="F19" s="538">
        <v>14828</v>
      </c>
      <c r="G19" s="372">
        <v>13956</v>
      </c>
      <c r="H19" s="539">
        <v>28784</v>
      </c>
      <c r="I19" s="536">
        <v>14504</v>
      </c>
      <c r="J19" s="372">
        <v>13441</v>
      </c>
      <c r="K19" s="537">
        <v>27945</v>
      </c>
      <c r="L19" s="538">
        <v>13893</v>
      </c>
      <c r="M19" s="372">
        <v>12847</v>
      </c>
      <c r="N19" s="539">
        <v>26740</v>
      </c>
      <c r="O19" s="536">
        <v>14026</v>
      </c>
      <c r="P19" s="372">
        <v>13323</v>
      </c>
      <c r="Q19" s="537">
        <v>27349</v>
      </c>
      <c r="R19" s="538">
        <v>14608</v>
      </c>
      <c r="S19" s="372">
        <v>14345</v>
      </c>
      <c r="T19" s="539">
        <v>28953</v>
      </c>
      <c r="U19" s="536">
        <v>14966</v>
      </c>
      <c r="V19" s="372">
        <v>15189</v>
      </c>
      <c r="W19" s="537">
        <v>30155</v>
      </c>
      <c r="X19" s="538">
        <v>13698</v>
      </c>
      <c r="Y19" s="372">
        <v>13226</v>
      </c>
      <c r="Z19" s="539">
        <v>26924</v>
      </c>
      <c r="AA19" s="536">
        <v>13196</v>
      </c>
      <c r="AB19" s="372">
        <v>13338</v>
      </c>
      <c r="AC19" s="537">
        <v>26534</v>
      </c>
      <c r="AD19" s="536">
        <v>11244</v>
      </c>
      <c r="AE19" s="372">
        <v>12284</v>
      </c>
      <c r="AF19" s="537">
        <v>23528</v>
      </c>
      <c r="AG19" s="538">
        <v>10194</v>
      </c>
      <c r="AH19" s="372">
        <v>11587</v>
      </c>
      <c r="AI19" s="539">
        <v>21781</v>
      </c>
      <c r="AJ19" s="536">
        <v>9507</v>
      </c>
      <c r="AK19" s="372">
        <v>10777</v>
      </c>
      <c r="AL19" s="537">
        <v>20284</v>
      </c>
      <c r="AM19" s="538">
        <v>7896</v>
      </c>
      <c r="AN19" s="372">
        <v>9158</v>
      </c>
      <c r="AO19" s="539">
        <v>17054</v>
      </c>
      <c r="AP19" s="536">
        <v>5849</v>
      </c>
      <c r="AQ19" s="372">
        <v>5807</v>
      </c>
      <c r="AR19" s="537">
        <v>11656</v>
      </c>
      <c r="AS19" s="538">
        <v>3281</v>
      </c>
      <c r="AT19" s="372">
        <v>2599</v>
      </c>
      <c r="AU19" s="539">
        <v>5880</v>
      </c>
      <c r="AV19" s="536">
        <v>1852</v>
      </c>
      <c r="AW19" s="372">
        <v>2160</v>
      </c>
      <c r="AX19" s="537">
        <v>4012</v>
      </c>
    </row>
    <row r="20" spans="1:50" x14ac:dyDescent="0.3">
      <c r="A20" s="541" t="s">
        <v>49</v>
      </c>
      <c r="B20" s="431" t="s">
        <v>43</v>
      </c>
      <c r="C20" s="542">
        <v>3142</v>
      </c>
      <c r="D20" s="376">
        <v>2922</v>
      </c>
      <c r="E20" s="543">
        <v>6064</v>
      </c>
      <c r="F20" s="544">
        <v>4081</v>
      </c>
      <c r="G20" s="376">
        <v>3853</v>
      </c>
      <c r="H20" s="545">
        <v>7934</v>
      </c>
      <c r="I20" s="542">
        <v>3820</v>
      </c>
      <c r="J20" s="376">
        <v>3559</v>
      </c>
      <c r="K20" s="543">
        <v>7379</v>
      </c>
      <c r="L20" s="544">
        <v>3687</v>
      </c>
      <c r="M20" s="376">
        <v>3344</v>
      </c>
      <c r="N20" s="545">
        <v>7031</v>
      </c>
      <c r="O20" s="542">
        <v>3960</v>
      </c>
      <c r="P20" s="376">
        <v>3825</v>
      </c>
      <c r="Q20" s="543">
        <v>7785</v>
      </c>
      <c r="R20" s="544">
        <v>4447</v>
      </c>
      <c r="S20" s="376">
        <v>4382</v>
      </c>
      <c r="T20" s="545">
        <v>8829</v>
      </c>
      <c r="U20" s="542">
        <v>4614</v>
      </c>
      <c r="V20" s="376">
        <v>4538</v>
      </c>
      <c r="W20" s="543">
        <v>9152</v>
      </c>
      <c r="X20" s="544">
        <v>3911</v>
      </c>
      <c r="Y20" s="376">
        <v>3665</v>
      </c>
      <c r="Z20" s="545">
        <v>7576</v>
      </c>
      <c r="AA20" s="542">
        <v>3470</v>
      </c>
      <c r="AB20" s="376">
        <v>3369</v>
      </c>
      <c r="AC20" s="543">
        <v>6839</v>
      </c>
      <c r="AD20" s="542">
        <v>2769</v>
      </c>
      <c r="AE20" s="376">
        <v>3080</v>
      </c>
      <c r="AF20" s="543">
        <v>5849</v>
      </c>
      <c r="AG20" s="544">
        <v>2633</v>
      </c>
      <c r="AH20" s="376">
        <v>3265</v>
      </c>
      <c r="AI20" s="545">
        <v>5898</v>
      </c>
      <c r="AJ20" s="542">
        <v>2844</v>
      </c>
      <c r="AK20" s="376">
        <v>3478</v>
      </c>
      <c r="AL20" s="543">
        <v>6322</v>
      </c>
      <c r="AM20" s="544">
        <v>2701</v>
      </c>
      <c r="AN20" s="376">
        <v>2835</v>
      </c>
      <c r="AO20" s="545">
        <v>5536</v>
      </c>
      <c r="AP20" s="542">
        <v>1727</v>
      </c>
      <c r="AQ20" s="376">
        <v>1409</v>
      </c>
      <c r="AR20" s="543">
        <v>3136</v>
      </c>
      <c r="AS20" s="544">
        <v>776</v>
      </c>
      <c r="AT20" s="376">
        <v>537</v>
      </c>
      <c r="AU20" s="545">
        <v>1313</v>
      </c>
      <c r="AV20" s="542">
        <v>413</v>
      </c>
      <c r="AW20" s="376">
        <v>488</v>
      </c>
      <c r="AX20" s="543">
        <v>901</v>
      </c>
    </row>
    <row r="21" spans="1:50" x14ac:dyDescent="0.3">
      <c r="A21" s="541" t="s">
        <v>51</v>
      </c>
      <c r="B21" s="431" t="s">
        <v>45</v>
      </c>
      <c r="C21" s="542">
        <v>1336</v>
      </c>
      <c r="D21" s="376">
        <v>1211</v>
      </c>
      <c r="E21" s="543">
        <v>2547</v>
      </c>
      <c r="F21" s="544">
        <v>1836</v>
      </c>
      <c r="G21" s="376">
        <v>1797</v>
      </c>
      <c r="H21" s="545">
        <v>3633</v>
      </c>
      <c r="I21" s="542">
        <v>1758</v>
      </c>
      <c r="J21" s="376">
        <v>1601</v>
      </c>
      <c r="K21" s="543">
        <v>3359</v>
      </c>
      <c r="L21" s="544">
        <v>1655</v>
      </c>
      <c r="M21" s="376">
        <v>1574</v>
      </c>
      <c r="N21" s="545">
        <v>3229</v>
      </c>
      <c r="O21" s="542">
        <v>1622</v>
      </c>
      <c r="P21" s="376">
        <v>1592</v>
      </c>
      <c r="Q21" s="543">
        <v>3214</v>
      </c>
      <c r="R21" s="544">
        <v>1666</v>
      </c>
      <c r="S21" s="376">
        <v>1739</v>
      </c>
      <c r="T21" s="545">
        <v>3405</v>
      </c>
      <c r="U21" s="542">
        <v>1773</v>
      </c>
      <c r="V21" s="376">
        <v>1800</v>
      </c>
      <c r="W21" s="543">
        <v>3573</v>
      </c>
      <c r="X21" s="544">
        <v>1608</v>
      </c>
      <c r="Y21" s="376">
        <v>1546</v>
      </c>
      <c r="Z21" s="545">
        <v>3154</v>
      </c>
      <c r="AA21" s="542">
        <v>1504</v>
      </c>
      <c r="AB21" s="376">
        <v>1560</v>
      </c>
      <c r="AC21" s="543">
        <v>3064</v>
      </c>
      <c r="AD21" s="542">
        <v>1382</v>
      </c>
      <c r="AE21" s="376">
        <v>1519</v>
      </c>
      <c r="AF21" s="543">
        <v>2901</v>
      </c>
      <c r="AG21" s="544">
        <v>1270</v>
      </c>
      <c r="AH21" s="376">
        <v>1355</v>
      </c>
      <c r="AI21" s="545">
        <v>2625</v>
      </c>
      <c r="AJ21" s="542">
        <v>1132</v>
      </c>
      <c r="AK21" s="376">
        <v>1188</v>
      </c>
      <c r="AL21" s="543">
        <v>2320</v>
      </c>
      <c r="AM21" s="544">
        <v>832</v>
      </c>
      <c r="AN21" s="376">
        <v>926</v>
      </c>
      <c r="AO21" s="545">
        <v>1758</v>
      </c>
      <c r="AP21" s="542">
        <v>573</v>
      </c>
      <c r="AQ21" s="376">
        <v>515</v>
      </c>
      <c r="AR21" s="543">
        <v>1088</v>
      </c>
      <c r="AS21" s="544">
        <v>293</v>
      </c>
      <c r="AT21" s="376">
        <v>213</v>
      </c>
      <c r="AU21" s="545">
        <v>506</v>
      </c>
      <c r="AV21" s="542">
        <v>194</v>
      </c>
      <c r="AW21" s="376">
        <v>238</v>
      </c>
      <c r="AX21" s="543">
        <v>432</v>
      </c>
    </row>
    <row r="22" spans="1:50" x14ac:dyDescent="0.3">
      <c r="A22" s="541" t="s">
        <v>53</v>
      </c>
      <c r="B22" s="431" t="s">
        <v>48</v>
      </c>
      <c r="C22" s="542">
        <v>817</v>
      </c>
      <c r="D22" s="376">
        <v>727</v>
      </c>
      <c r="E22" s="543">
        <v>1544</v>
      </c>
      <c r="F22" s="544">
        <v>1077</v>
      </c>
      <c r="G22" s="376">
        <v>982</v>
      </c>
      <c r="H22" s="545">
        <v>2059</v>
      </c>
      <c r="I22" s="542">
        <v>1264</v>
      </c>
      <c r="J22" s="376">
        <v>1121</v>
      </c>
      <c r="K22" s="543">
        <v>2385</v>
      </c>
      <c r="L22" s="544">
        <v>1447</v>
      </c>
      <c r="M22" s="376">
        <v>1321</v>
      </c>
      <c r="N22" s="545">
        <v>2768</v>
      </c>
      <c r="O22" s="542">
        <v>1459</v>
      </c>
      <c r="P22" s="376">
        <v>1322</v>
      </c>
      <c r="Q22" s="543">
        <v>2781</v>
      </c>
      <c r="R22" s="544">
        <v>1231</v>
      </c>
      <c r="S22" s="376">
        <v>1158</v>
      </c>
      <c r="T22" s="545">
        <v>2389</v>
      </c>
      <c r="U22" s="542">
        <v>1052</v>
      </c>
      <c r="V22" s="376">
        <v>1137</v>
      </c>
      <c r="W22" s="543">
        <v>2189</v>
      </c>
      <c r="X22" s="544">
        <v>925</v>
      </c>
      <c r="Y22" s="376">
        <v>933</v>
      </c>
      <c r="Z22" s="545">
        <v>1858</v>
      </c>
      <c r="AA22" s="542">
        <v>959</v>
      </c>
      <c r="AB22" s="376">
        <v>1100</v>
      </c>
      <c r="AC22" s="543">
        <v>2059</v>
      </c>
      <c r="AD22" s="542">
        <v>1074</v>
      </c>
      <c r="AE22" s="376">
        <v>1325</v>
      </c>
      <c r="AF22" s="543">
        <v>2399</v>
      </c>
      <c r="AG22" s="544">
        <v>1229</v>
      </c>
      <c r="AH22" s="376">
        <v>1315</v>
      </c>
      <c r="AI22" s="545">
        <v>2544</v>
      </c>
      <c r="AJ22" s="542">
        <v>996</v>
      </c>
      <c r="AK22" s="376">
        <v>896</v>
      </c>
      <c r="AL22" s="543">
        <v>1892</v>
      </c>
      <c r="AM22" s="544">
        <v>582</v>
      </c>
      <c r="AN22" s="376">
        <v>476</v>
      </c>
      <c r="AO22" s="545">
        <v>1058</v>
      </c>
      <c r="AP22" s="542">
        <v>305</v>
      </c>
      <c r="AQ22" s="376">
        <v>295</v>
      </c>
      <c r="AR22" s="543">
        <v>600</v>
      </c>
      <c r="AS22" s="544">
        <v>153</v>
      </c>
      <c r="AT22" s="376">
        <v>148</v>
      </c>
      <c r="AU22" s="545">
        <v>301</v>
      </c>
      <c r="AV22" s="542">
        <v>113</v>
      </c>
      <c r="AW22" s="376">
        <v>152</v>
      </c>
      <c r="AX22" s="543">
        <v>265</v>
      </c>
    </row>
    <row r="23" spans="1:50" x14ac:dyDescent="0.3">
      <c r="A23" s="541" t="s">
        <v>55</v>
      </c>
      <c r="B23" s="431" t="s">
        <v>50</v>
      </c>
      <c r="C23" s="542">
        <v>2313</v>
      </c>
      <c r="D23" s="376">
        <v>2070</v>
      </c>
      <c r="E23" s="543">
        <v>4383</v>
      </c>
      <c r="F23" s="544">
        <v>3121</v>
      </c>
      <c r="G23" s="376">
        <v>2918</v>
      </c>
      <c r="H23" s="545">
        <v>6039</v>
      </c>
      <c r="I23" s="542">
        <v>2980</v>
      </c>
      <c r="J23" s="376">
        <v>2716</v>
      </c>
      <c r="K23" s="543">
        <v>5696</v>
      </c>
      <c r="L23" s="544">
        <v>2772</v>
      </c>
      <c r="M23" s="376">
        <v>2462</v>
      </c>
      <c r="N23" s="545">
        <v>5234</v>
      </c>
      <c r="O23" s="542">
        <v>2773</v>
      </c>
      <c r="P23" s="376">
        <v>2529</v>
      </c>
      <c r="Q23" s="543">
        <v>5302</v>
      </c>
      <c r="R23" s="544">
        <v>2970</v>
      </c>
      <c r="S23" s="376">
        <v>2832</v>
      </c>
      <c r="T23" s="545">
        <v>5802</v>
      </c>
      <c r="U23" s="542">
        <v>3193</v>
      </c>
      <c r="V23" s="376">
        <v>3205</v>
      </c>
      <c r="W23" s="543">
        <v>6398</v>
      </c>
      <c r="X23" s="544">
        <v>2987</v>
      </c>
      <c r="Y23" s="376">
        <v>2869</v>
      </c>
      <c r="Z23" s="545">
        <v>5856</v>
      </c>
      <c r="AA23" s="542">
        <v>2805</v>
      </c>
      <c r="AB23" s="376">
        <v>2809</v>
      </c>
      <c r="AC23" s="543">
        <v>5614</v>
      </c>
      <c r="AD23" s="542">
        <v>2174</v>
      </c>
      <c r="AE23" s="376">
        <v>2302</v>
      </c>
      <c r="AF23" s="543">
        <v>4476</v>
      </c>
      <c r="AG23" s="544">
        <v>1899</v>
      </c>
      <c r="AH23" s="376">
        <v>2151</v>
      </c>
      <c r="AI23" s="545">
        <v>4050</v>
      </c>
      <c r="AJ23" s="542">
        <v>1748</v>
      </c>
      <c r="AK23" s="376">
        <v>2130</v>
      </c>
      <c r="AL23" s="543">
        <v>3878</v>
      </c>
      <c r="AM23" s="544">
        <v>1630</v>
      </c>
      <c r="AN23" s="376">
        <v>2236</v>
      </c>
      <c r="AO23" s="545">
        <v>3866</v>
      </c>
      <c r="AP23" s="542">
        <v>1416</v>
      </c>
      <c r="AQ23" s="376">
        <v>1456</v>
      </c>
      <c r="AR23" s="543">
        <v>2872</v>
      </c>
      <c r="AS23" s="544">
        <v>834</v>
      </c>
      <c r="AT23" s="376">
        <v>593</v>
      </c>
      <c r="AU23" s="545">
        <v>1427</v>
      </c>
      <c r="AV23" s="542">
        <v>434</v>
      </c>
      <c r="AW23" s="376">
        <v>508</v>
      </c>
      <c r="AX23" s="543">
        <v>942</v>
      </c>
    </row>
    <row r="24" spans="1:50" x14ac:dyDescent="0.3">
      <c r="A24" s="541" t="s">
        <v>56</v>
      </c>
      <c r="B24" s="431" t="s">
        <v>52</v>
      </c>
      <c r="C24" s="542">
        <v>820</v>
      </c>
      <c r="D24" s="376">
        <v>773</v>
      </c>
      <c r="E24" s="543">
        <v>1593</v>
      </c>
      <c r="F24" s="544">
        <v>1031</v>
      </c>
      <c r="G24" s="376">
        <v>988</v>
      </c>
      <c r="H24" s="545">
        <v>2019</v>
      </c>
      <c r="I24" s="542">
        <v>995</v>
      </c>
      <c r="J24" s="376">
        <v>904</v>
      </c>
      <c r="K24" s="543">
        <v>1899</v>
      </c>
      <c r="L24" s="544">
        <v>962</v>
      </c>
      <c r="M24" s="376">
        <v>865</v>
      </c>
      <c r="N24" s="545">
        <v>1827</v>
      </c>
      <c r="O24" s="542">
        <v>1053</v>
      </c>
      <c r="P24" s="376">
        <v>1007</v>
      </c>
      <c r="Q24" s="543">
        <v>2060</v>
      </c>
      <c r="R24" s="544">
        <v>1081</v>
      </c>
      <c r="S24" s="376">
        <v>1021</v>
      </c>
      <c r="T24" s="545">
        <v>2102</v>
      </c>
      <c r="U24" s="542">
        <v>1095</v>
      </c>
      <c r="V24" s="376">
        <v>1084</v>
      </c>
      <c r="W24" s="543">
        <v>2179</v>
      </c>
      <c r="X24" s="544">
        <v>994</v>
      </c>
      <c r="Y24" s="376">
        <v>918</v>
      </c>
      <c r="Z24" s="545">
        <v>1912</v>
      </c>
      <c r="AA24" s="542">
        <v>932</v>
      </c>
      <c r="AB24" s="376">
        <v>930</v>
      </c>
      <c r="AC24" s="543">
        <v>1862</v>
      </c>
      <c r="AD24" s="542">
        <v>881</v>
      </c>
      <c r="AE24" s="376">
        <v>876</v>
      </c>
      <c r="AF24" s="543">
        <v>1757</v>
      </c>
      <c r="AG24" s="544">
        <v>692</v>
      </c>
      <c r="AH24" s="376">
        <v>861</v>
      </c>
      <c r="AI24" s="545">
        <v>1553</v>
      </c>
      <c r="AJ24" s="542">
        <v>699</v>
      </c>
      <c r="AK24" s="376">
        <v>796</v>
      </c>
      <c r="AL24" s="543">
        <v>1495</v>
      </c>
      <c r="AM24" s="544">
        <v>570</v>
      </c>
      <c r="AN24" s="376">
        <v>604</v>
      </c>
      <c r="AO24" s="545">
        <v>1174</v>
      </c>
      <c r="AP24" s="542">
        <v>405</v>
      </c>
      <c r="AQ24" s="376">
        <v>402</v>
      </c>
      <c r="AR24" s="543">
        <v>807</v>
      </c>
      <c r="AS24" s="544">
        <v>238</v>
      </c>
      <c r="AT24" s="376">
        <v>221</v>
      </c>
      <c r="AU24" s="545">
        <v>459</v>
      </c>
      <c r="AV24" s="542">
        <v>148</v>
      </c>
      <c r="AW24" s="376">
        <v>197</v>
      </c>
      <c r="AX24" s="543">
        <v>345</v>
      </c>
    </row>
    <row r="25" spans="1:50" ht="14.5" thickBot="1" x14ac:dyDescent="0.35">
      <c r="A25" s="546" t="s">
        <v>58</v>
      </c>
      <c r="B25" s="547" t="s">
        <v>54</v>
      </c>
      <c r="C25" s="548">
        <v>2543</v>
      </c>
      <c r="D25" s="380">
        <v>2369</v>
      </c>
      <c r="E25" s="549">
        <v>4912</v>
      </c>
      <c r="F25" s="550">
        <v>3682</v>
      </c>
      <c r="G25" s="380">
        <v>3418</v>
      </c>
      <c r="H25" s="551">
        <v>7100</v>
      </c>
      <c r="I25" s="548">
        <v>3687</v>
      </c>
      <c r="J25" s="380">
        <v>3540</v>
      </c>
      <c r="K25" s="549">
        <v>7227</v>
      </c>
      <c r="L25" s="550">
        <v>3370</v>
      </c>
      <c r="M25" s="380">
        <v>3281</v>
      </c>
      <c r="N25" s="551">
        <v>6651</v>
      </c>
      <c r="O25" s="548">
        <v>3159</v>
      </c>
      <c r="P25" s="380">
        <v>3048</v>
      </c>
      <c r="Q25" s="549">
        <v>6207</v>
      </c>
      <c r="R25" s="550">
        <v>3213</v>
      </c>
      <c r="S25" s="380">
        <v>3213</v>
      </c>
      <c r="T25" s="551">
        <v>6426</v>
      </c>
      <c r="U25" s="548">
        <v>3239</v>
      </c>
      <c r="V25" s="380">
        <v>3425</v>
      </c>
      <c r="W25" s="549">
        <v>6664</v>
      </c>
      <c r="X25" s="550">
        <v>3273</v>
      </c>
      <c r="Y25" s="380">
        <v>3295</v>
      </c>
      <c r="Z25" s="551">
        <v>6568</v>
      </c>
      <c r="AA25" s="548">
        <v>3526</v>
      </c>
      <c r="AB25" s="380">
        <v>3570</v>
      </c>
      <c r="AC25" s="549">
        <v>7096</v>
      </c>
      <c r="AD25" s="548">
        <v>2964</v>
      </c>
      <c r="AE25" s="380">
        <v>3182</v>
      </c>
      <c r="AF25" s="549">
        <v>6146</v>
      </c>
      <c r="AG25" s="550">
        <v>2471</v>
      </c>
      <c r="AH25" s="380">
        <v>2640</v>
      </c>
      <c r="AI25" s="551">
        <v>5111</v>
      </c>
      <c r="AJ25" s="548">
        <v>2088</v>
      </c>
      <c r="AK25" s="380">
        <v>2289</v>
      </c>
      <c r="AL25" s="549">
        <v>4377</v>
      </c>
      <c r="AM25" s="550">
        <v>1581</v>
      </c>
      <c r="AN25" s="380">
        <v>2081</v>
      </c>
      <c r="AO25" s="551">
        <v>3662</v>
      </c>
      <c r="AP25" s="548">
        <v>1423</v>
      </c>
      <c r="AQ25" s="380">
        <v>1730</v>
      </c>
      <c r="AR25" s="549">
        <v>3153</v>
      </c>
      <c r="AS25" s="550">
        <v>987</v>
      </c>
      <c r="AT25" s="380">
        <v>887</v>
      </c>
      <c r="AU25" s="551">
        <v>1874</v>
      </c>
      <c r="AV25" s="548">
        <v>550</v>
      </c>
      <c r="AW25" s="380">
        <v>577</v>
      </c>
      <c r="AX25" s="549">
        <v>1127</v>
      </c>
    </row>
    <row r="26" spans="1:50" x14ac:dyDescent="0.3">
      <c r="A26" s="552" t="s">
        <v>60</v>
      </c>
      <c r="B26" s="553" t="s">
        <v>61</v>
      </c>
      <c r="C26" s="554">
        <v>6449</v>
      </c>
      <c r="D26" s="384">
        <v>6013</v>
      </c>
      <c r="E26" s="555">
        <v>12462</v>
      </c>
      <c r="F26" s="556">
        <v>9109</v>
      </c>
      <c r="G26" s="384">
        <v>8554</v>
      </c>
      <c r="H26" s="557">
        <v>17663</v>
      </c>
      <c r="I26" s="554">
        <v>9277</v>
      </c>
      <c r="J26" s="384">
        <v>8838</v>
      </c>
      <c r="K26" s="555">
        <v>18115</v>
      </c>
      <c r="L26" s="556">
        <v>8621</v>
      </c>
      <c r="M26" s="384">
        <v>8186</v>
      </c>
      <c r="N26" s="557">
        <v>16807</v>
      </c>
      <c r="O26" s="554">
        <v>8455</v>
      </c>
      <c r="P26" s="384">
        <v>8298</v>
      </c>
      <c r="Q26" s="555">
        <v>16753</v>
      </c>
      <c r="R26" s="556">
        <v>8705</v>
      </c>
      <c r="S26" s="384">
        <v>8806</v>
      </c>
      <c r="T26" s="557">
        <v>17511</v>
      </c>
      <c r="U26" s="554">
        <v>8787</v>
      </c>
      <c r="V26" s="384">
        <v>9101</v>
      </c>
      <c r="W26" s="555">
        <v>17888</v>
      </c>
      <c r="X26" s="556">
        <v>8331</v>
      </c>
      <c r="Y26" s="384">
        <v>8649</v>
      </c>
      <c r="Z26" s="557">
        <v>16980</v>
      </c>
      <c r="AA26" s="554">
        <v>8837</v>
      </c>
      <c r="AB26" s="384">
        <v>9144</v>
      </c>
      <c r="AC26" s="555">
        <v>17981</v>
      </c>
      <c r="AD26" s="554">
        <v>7854</v>
      </c>
      <c r="AE26" s="384">
        <v>8305</v>
      </c>
      <c r="AF26" s="555">
        <v>16159</v>
      </c>
      <c r="AG26" s="556">
        <v>6612</v>
      </c>
      <c r="AH26" s="384">
        <v>7076</v>
      </c>
      <c r="AI26" s="557">
        <v>13688</v>
      </c>
      <c r="AJ26" s="554">
        <v>5547</v>
      </c>
      <c r="AK26" s="384">
        <v>6153</v>
      </c>
      <c r="AL26" s="555">
        <v>11700</v>
      </c>
      <c r="AM26" s="556">
        <v>4356</v>
      </c>
      <c r="AN26" s="384">
        <v>5444</v>
      </c>
      <c r="AO26" s="557">
        <v>9800</v>
      </c>
      <c r="AP26" s="554">
        <v>3666</v>
      </c>
      <c r="AQ26" s="384">
        <v>4373</v>
      </c>
      <c r="AR26" s="555">
        <v>8039</v>
      </c>
      <c r="AS26" s="556">
        <v>2541</v>
      </c>
      <c r="AT26" s="384">
        <v>2622</v>
      </c>
      <c r="AU26" s="557">
        <v>5163</v>
      </c>
      <c r="AV26" s="554">
        <v>1764</v>
      </c>
      <c r="AW26" s="384">
        <v>2071</v>
      </c>
      <c r="AX26" s="555">
        <v>3835</v>
      </c>
    </row>
    <row r="27" spans="1:50" x14ac:dyDescent="0.3">
      <c r="A27" s="558" t="s">
        <v>63</v>
      </c>
      <c r="B27" s="440" t="s">
        <v>57</v>
      </c>
      <c r="C27" s="559">
        <v>1776</v>
      </c>
      <c r="D27" s="388">
        <v>1693</v>
      </c>
      <c r="E27" s="560">
        <v>3469</v>
      </c>
      <c r="F27" s="561">
        <v>2498</v>
      </c>
      <c r="G27" s="388">
        <v>2353</v>
      </c>
      <c r="H27" s="562">
        <v>4851</v>
      </c>
      <c r="I27" s="559">
        <v>2426</v>
      </c>
      <c r="J27" s="388">
        <v>2386</v>
      </c>
      <c r="K27" s="560">
        <v>4812</v>
      </c>
      <c r="L27" s="561">
        <v>2325</v>
      </c>
      <c r="M27" s="388">
        <v>2210</v>
      </c>
      <c r="N27" s="562">
        <v>4535</v>
      </c>
      <c r="O27" s="559">
        <v>2336</v>
      </c>
      <c r="P27" s="388">
        <v>2356</v>
      </c>
      <c r="Q27" s="560">
        <v>4692</v>
      </c>
      <c r="R27" s="561">
        <v>2504</v>
      </c>
      <c r="S27" s="388">
        <v>2570</v>
      </c>
      <c r="T27" s="562">
        <v>5074</v>
      </c>
      <c r="U27" s="559">
        <v>2551</v>
      </c>
      <c r="V27" s="388">
        <v>2669</v>
      </c>
      <c r="W27" s="560">
        <v>5220</v>
      </c>
      <c r="X27" s="561">
        <v>2374</v>
      </c>
      <c r="Y27" s="388">
        <v>2462</v>
      </c>
      <c r="Z27" s="562">
        <v>4836</v>
      </c>
      <c r="AA27" s="559">
        <v>2312</v>
      </c>
      <c r="AB27" s="388">
        <v>2365</v>
      </c>
      <c r="AC27" s="560">
        <v>4677</v>
      </c>
      <c r="AD27" s="559">
        <v>1987</v>
      </c>
      <c r="AE27" s="388">
        <v>2173</v>
      </c>
      <c r="AF27" s="560">
        <v>4160</v>
      </c>
      <c r="AG27" s="561">
        <v>1740</v>
      </c>
      <c r="AH27" s="388">
        <v>2001</v>
      </c>
      <c r="AI27" s="562">
        <v>3741</v>
      </c>
      <c r="AJ27" s="559">
        <v>1566</v>
      </c>
      <c r="AK27" s="388">
        <v>1769</v>
      </c>
      <c r="AL27" s="560">
        <v>3335</v>
      </c>
      <c r="AM27" s="561">
        <v>1282</v>
      </c>
      <c r="AN27" s="388">
        <v>1635</v>
      </c>
      <c r="AO27" s="562">
        <v>2917</v>
      </c>
      <c r="AP27" s="559">
        <v>1131</v>
      </c>
      <c r="AQ27" s="388">
        <v>1225</v>
      </c>
      <c r="AR27" s="560">
        <v>2356</v>
      </c>
      <c r="AS27" s="561">
        <v>710</v>
      </c>
      <c r="AT27" s="388">
        <v>612</v>
      </c>
      <c r="AU27" s="562">
        <v>1322</v>
      </c>
      <c r="AV27" s="559">
        <v>434</v>
      </c>
      <c r="AW27" s="388">
        <v>501</v>
      </c>
      <c r="AX27" s="560">
        <v>935</v>
      </c>
    </row>
    <row r="28" spans="1:50" x14ac:dyDescent="0.3">
      <c r="A28" s="558" t="s">
        <v>65</v>
      </c>
      <c r="B28" s="440" t="s">
        <v>59</v>
      </c>
      <c r="C28" s="559">
        <v>578</v>
      </c>
      <c r="D28" s="388">
        <v>507</v>
      </c>
      <c r="E28" s="560">
        <v>1085</v>
      </c>
      <c r="F28" s="561">
        <v>785</v>
      </c>
      <c r="G28" s="388">
        <v>773</v>
      </c>
      <c r="H28" s="562">
        <v>1558</v>
      </c>
      <c r="I28" s="559">
        <v>798</v>
      </c>
      <c r="J28" s="388">
        <v>742</v>
      </c>
      <c r="K28" s="560">
        <v>1540</v>
      </c>
      <c r="L28" s="561">
        <v>703</v>
      </c>
      <c r="M28" s="388">
        <v>661</v>
      </c>
      <c r="N28" s="562">
        <v>1364</v>
      </c>
      <c r="O28" s="559">
        <v>682</v>
      </c>
      <c r="P28" s="388">
        <v>670</v>
      </c>
      <c r="Q28" s="560">
        <v>1352</v>
      </c>
      <c r="R28" s="561">
        <v>701</v>
      </c>
      <c r="S28" s="388">
        <v>698</v>
      </c>
      <c r="T28" s="562">
        <v>1399</v>
      </c>
      <c r="U28" s="559">
        <v>668</v>
      </c>
      <c r="V28" s="388">
        <v>709</v>
      </c>
      <c r="W28" s="560">
        <v>1377</v>
      </c>
      <c r="X28" s="561">
        <v>684</v>
      </c>
      <c r="Y28" s="388">
        <v>687</v>
      </c>
      <c r="Z28" s="562">
        <v>1371</v>
      </c>
      <c r="AA28" s="559">
        <v>726</v>
      </c>
      <c r="AB28" s="388">
        <v>762</v>
      </c>
      <c r="AC28" s="560">
        <v>1488</v>
      </c>
      <c r="AD28" s="559">
        <v>678</v>
      </c>
      <c r="AE28" s="388">
        <v>641</v>
      </c>
      <c r="AF28" s="560">
        <v>1319</v>
      </c>
      <c r="AG28" s="561">
        <v>550</v>
      </c>
      <c r="AH28" s="388">
        <v>604</v>
      </c>
      <c r="AI28" s="562">
        <v>1154</v>
      </c>
      <c r="AJ28" s="559">
        <v>465</v>
      </c>
      <c r="AK28" s="388">
        <v>493</v>
      </c>
      <c r="AL28" s="560">
        <v>958</v>
      </c>
      <c r="AM28" s="561">
        <v>328</v>
      </c>
      <c r="AN28" s="388">
        <v>358</v>
      </c>
      <c r="AO28" s="562">
        <v>686</v>
      </c>
      <c r="AP28" s="559">
        <v>220</v>
      </c>
      <c r="AQ28" s="388">
        <v>260</v>
      </c>
      <c r="AR28" s="560">
        <v>480</v>
      </c>
      <c r="AS28" s="561">
        <v>136</v>
      </c>
      <c r="AT28" s="388">
        <v>161</v>
      </c>
      <c r="AU28" s="562">
        <v>297</v>
      </c>
      <c r="AV28" s="559">
        <v>87</v>
      </c>
      <c r="AW28" s="388">
        <v>139</v>
      </c>
      <c r="AX28" s="560">
        <v>226</v>
      </c>
    </row>
    <row r="29" spans="1:50" x14ac:dyDescent="0.3">
      <c r="A29" s="558" t="s">
        <v>67</v>
      </c>
      <c r="B29" s="440" t="s">
        <v>62</v>
      </c>
      <c r="C29" s="559">
        <v>1175</v>
      </c>
      <c r="D29" s="388">
        <v>1066</v>
      </c>
      <c r="E29" s="560">
        <v>2241</v>
      </c>
      <c r="F29" s="561">
        <v>1615</v>
      </c>
      <c r="G29" s="388">
        <v>1410</v>
      </c>
      <c r="H29" s="562">
        <v>3025</v>
      </c>
      <c r="I29" s="559">
        <v>1644</v>
      </c>
      <c r="J29" s="388">
        <v>1479</v>
      </c>
      <c r="K29" s="560">
        <v>3123</v>
      </c>
      <c r="L29" s="561">
        <v>1422</v>
      </c>
      <c r="M29" s="388">
        <v>1392</v>
      </c>
      <c r="N29" s="562">
        <v>2814</v>
      </c>
      <c r="O29" s="559">
        <v>1482</v>
      </c>
      <c r="P29" s="388">
        <v>1459</v>
      </c>
      <c r="Q29" s="560">
        <v>2941</v>
      </c>
      <c r="R29" s="561">
        <v>1506</v>
      </c>
      <c r="S29" s="388">
        <v>1563</v>
      </c>
      <c r="T29" s="562">
        <v>3069</v>
      </c>
      <c r="U29" s="559">
        <v>1533</v>
      </c>
      <c r="V29" s="388">
        <v>1627</v>
      </c>
      <c r="W29" s="560">
        <v>3160</v>
      </c>
      <c r="X29" s="561">
        <v>1422</v>
      </c>
      <c r="Y29" s="388">
        <v>1425</v>
      </c>
      <c r="Z29" s="562">
        <v>2847</v>
      </c>
      <c r="AA29" s="559">
        <v>1475</v>
      </c>
      <c r="AB29" s="388">
        <v>1536</v>
      </c>
      <c r="AC29" s="560">
        <v>3011</v>
      </c>
      <c r="AD29" s="559">
        <v>1322</v>
      </c>
      <c r="AE29" s="388">
        <v>1397</v>
      </c>
      <c r="AF29" s="560">
        <v>2719</v>
      </c>
      <c r="AG29" s="561">
        <v>1122</v>
      </c>
      <c r="AH29" s="388">
        <v>1161</v>
      </c>
      <c r="AI29" s="562">
        <v>2283</v>
      </c>
      <c r="AJ29" s="559">
        <v>911</v>
      </c>
      <c r="AK29" s="388">
        <v>1089</v>
      </c>
      <c r="AL29" s="560">
        <v>2000</v>
      </c>
      <c r="AM29" s="561">
        <v>857</v>
      </c>
      <c r="AN29" s="388">
        <v>980</v>
      </c>
      <c r="AO29" s="562">
        <v>1837</v>
      </c>
      <c r="AP29" s="559">
        <v>667</v>
      </c>
      <c r="AQ29" s="388">
        <v>713</v>
      </c>
      <c r="AR29" s="560">
        <v>1380</v>
      </c>
      <c r="AS29" s="561">
        <v>417</v>
      </c>
      <c r="AT29" s="388">
        <v>411</v>
      </c>
      <c r="AU29" s="562">
        <v>828</v>
      </c>
      <c r="AV29" s="559">
        <v>281</v>
      </c>
      <c r="AW29" s="388">
        <v>361</v>
      </c>
      <c r="AX29" s="560">
        <v>642</v>
      </c>
    </row>
    <row r="30" spans="1:50" x14ac:dyDescent="0.3">
      <c r="A30" s="558" t="s">
        <v>68</v>
      </c>
      <c r="B30" s="440" t="s">
        <v>64</v>
      </c>
      <c r="C30" s="559">
        <v>1257</v>
      </c>
      <c r="D30" s="388">
        <v>1191</v>
      </c>
      <c r="E30" s="560">
        <v>2448</v>
      </c>
      <c r="F30" s="561">
        <v>1817</v>
      </c>
      <c r="G30" s="388">
        <v>1718</v>
      </c>
      <c r="H30" s="562">
        <v>3535</v>
      </c>
      <c r="I30" s="559">
        <v>1833</v>
      </c>
      <c r="J30" s="388">
        <v>1825</v>
      </c>
      <c r="K30" s="560">
        <v>3658</v>
      </c>
      <c r="L30" s="561">
        <v>1771</v>
      </c>
      <c r="M30" s="388">
        <v>1745</v>
      </c>
      <c r="N30" s="562">
        <v>3516</v>
      </c>
      <c r="O30" s="559">
        <v>1749</v>
      </c>
      <c r="P30" s="388">
        <v>1651</v>
      </c>
      <c r="Q30" s="560">
        <v>3400</v>
      </c>
      <c r="R30" s="561">
        <v>1791</v>
      </c>
      <c r="S30" s="388">
        <v>1826</v>
      </c>
      <c r="T30" s="562">
        <v>3617</v>
      </c>
      <c r="U30" s="559">
        <v>1838</v>
      </c>
      <c r="V30" s="388">
        <v>1889</v>
      </c>
      <c r="W30" s="560">
        <v>3727</v>
      </c>
      <c r="X30" s="561">
        <v>1636</v>
      </c>
      <c r="Y30" s="388">
        <v>1719</v>
      </c>
      <c r="Z30" s="562">
        <v>3355</v>
      </c>
      <c r="AA30" s="559">
        <v>1798</v>
      </c>
      <c r="AB30" s="388">
        <v>1898</v>
      </c>
      <c r="AC30" s="560">
        <v>3696</v>
      </c>
      <c r="AD30" s="559">
        <v>1574</v>
      </c>
      <c r="AE30" s="388">
        <v>1761</v>
      </c>
      <c r="AF30" s="560">
        <v>3335</v>
      </c>
      <c r="AG30" s="561">
        <v>1390</v>
      </c>
      <c r="AH30" s="388">
        <v>1466</v>
      </c>
      <c r="AI30" s="562">
        <v>2856</v>
      </c>
      <c r="AJ30" s="559">
        <v>1222</v>
      </c>
      <c r="AK30" s="388">
        <v>1281</v>
      </c>
      <c r="AL30" s="560">
        <v>2503</v>
      </c>
      <c r="AM30" s="561">
        <v>902</v>
      </c>
      <c r="AN30" s="388">
        <v>1063</v>
      </c>
      <c r="AO30" s="562">
        <v>1965</v>
      </c>
      <c r="AP30" s="559">
        <v>723</v>
      </c>
      <c r="AQ30" s="388">
        <v>873</v>
      </c>
      <c r="AR30" s="560">
        <v>1596</v>
      </c>
      <c r="AS30" s="561">
        <v>550</v>
      </c>
      <c r="AT30" s="388">
        <v>578</v>
      </c>
      <c r="AU30" s="562">
        <v>1128</v>
      </c>
      <c r="AV30" s="559">
        <v>414</v>
      </c>
      <c r="AW30" s="388">
        <v>486</v>
      </c>
      <c r="AX30" s="560">
        <v>900</v>
      </c>
    </row>
    <row r="31" spans="1:50" ht="14.5" thickBot="1" x14ac:dyDescent="0.35">
      <c r="A31" s="563" t="s">
        <v>70</v>
      </c>
      <c r="B31" s="446" t="s">
        <v>66</v>
      </c>
      <c r="C31" s="564">
        <v>1663</v>
      </c>
      <c r="D31" s="392">
        <v>1556</v>
      </c>
      <c r="E31" s="565">
        <v>3219</v>
      </c>
      <c r="F31" s="566">
        <v>2394</v>
      </c>
      <c r="G31" s="392">
        <v>2300</v>
      </c>
      <c r="H31" s="567">
        <v>4694</v>
      </c>
      <c r="I31" s="564">
        <v>2576</v>
      </c>
      <c r="J31" s="392">
        <v>2406</v>
      </c>
      <c r="K31" s="565">
        <v>4982</v>
      </c>
      <c r="L31" s="566">
        <v>2400</v>
      </c>
      <c r="M31" s="392">
        <v>2178</v>
      </c>
      <c r="N31" s="567">
        <v>4578</v>
      </c>
      <c r="O31" s="564">
        <v>2206</v>
      </c>
      <c r="P31" s="392">
        <v>2162</v>
      </c>
      <c r="Q31" s="565">
        <v>4368</v>
      </c>
      <c r="R31" s="566">
        <v>2203</v>
      </c>
      <c r="S31" s="392">
        <v>2149</v>
      </c>
      <c r="T31" s="567">
        <v>4352</v>
      </c>
      <c r="U31" s="564">
        <v>2197</v>
      </c>
      <c r="V31" s="392">
        <v>2207</v>
      </c>
      <c r="W31" s="565">
        <v>4404</v>
      </c>
      <c r="X31" s="566">
        <v>2215</v>
      </c>
      <c r="Y31" s="392">
        <v>2356</v>
      </c>
      <c r="Z31" s="567">
        <v>4571</v>
      </c>
      <c r="AA31" s="564">
        <v>2526</v>
      </c>
      <c r="AB31" s="392">
        <v>2583</v>
      </c>
      <c r="AC31" s="565">
        <v>5109</v>
      </c>
      <c r="AD31" s="564">
        <v>2293</v>
      </c>
      <c r="AE31" s="392">
        <v>2333</v>
      </c>
      <c r="AF31" s="565">
        <v>4626</v>
      </c>
      <c r="AG31" s="566">
        <v>1810</v>
      </c>
      <c r="AH31" s="392">
        <v>1844</v>
      </c>
      <c r="AI31" s="567">
        <v>3654</v>
      </c>
      <c r="AJ31" s="564">
        <v>1383</v>
      </c>
      <c r="AK31" s="392">
        <v>1521</v>
      </c>
      <c r="AL31" s="565">
        <v>2904</v>
      </c>
      <c r="AM31" s="566">
        <v>987</v>
      </c>
      <c r="AN31" s="392">
        <v>1408</v>
      </c>
      <c r="AO31" s="567">
        <v>2395</v>
      </c>
      <c r="AP31" s="564">
        <v>925</v>
      </c>
      <c r="AQ31" s="392">
        <v>1302</v>
      </c>
      <c r="AR31" s="565">
        <v>2227</v>
      </c>
      <c r="AS31" s="566">
        <v>728</v>
      </c>
      <c r="AT31" s="392">
        <v>860</v>
      </c>
      <c r="AU31" s="567">
        <v>1588</v>
      </c>
      <c r="AV31" s="564">
        <v>548</v>
      </c>
      <c r="AW31" s="392">
        <v>584</v>
      </c>
      <c r="AX31" s="565">
        <v>1132</v>
      </c>
    </row>
    <row r="32" spans="1:50" x14ac:dyDescent="0.3">
      <c r="A32" s="534" t="s">
        <v>72</v>
      </c>
      <c r="B32" s="535" t="s">
        <v>73</v>
      </c>
      <c r="C32" s="536">
        <v>7078</v>
      </c>
      <c r="D32" s="372">
        <v>6726</v>
      </c>
      <c r="E32" s="537">
        <v>13804</v>
      </c>
      <c r="F32" s="538">
        <v>9584</v>
      </c>
      <c r="G32" s="372">
        <v>8991</v>
      </c>
      <c r="H32" s="539">
        <v>18575</v>
      </c>
      <c r="I32" s="536">
        <v>9228</v>
      </c>
      <c r="J32" s="372">
        <v>8759</v>
      </c>
      <c r="K32" s="537">
        <v>17987</v>
      </c>
      <c r="L32" s="538">
        <v>8592</v>
      </c>
      <c r="M32" s="372">
        <v>8226</v>
      </c>
      <c r="N32" s="539">
        <v>16818</v>
      </c>
      <c r="O32" s="536">
        <v>9303</v>
      </c>
      <c r="P32" s="372">
        <v>8730</v>
      </c>
      <c r="Q32" s="537">
        <v>18033</v>
      </c>
      <c r="R32" s="538">
        <v>10188</v>
      </c>
      <c r="S32" s="372">
        <v>9961</v>
      </c>
      <c r="T32" s="539">
        <v>20149</v>
      </c>
      <c r="U32" s="536">
        <v>10193</v>
      </c>
      <c r="V32" s="372">
        <v>10443</v>
      </c>
      <c r="W32" s="537">
        <v>20636</v>
      </c>
      <c r="X32" s="538">
        <v>8992</v>
      </c>
      <c r="Y32" s="372">
        <v>9011</v>
      </c>
      <c r="Z32" s="539">
        <v>18003</v>
      </c>
      <c r="AA32" s="536">
        <v>8557</v>
      </c>
      <c r="AB32" s="372">
        <v>8671</v>
      </c>
      <c r="AC32" s="537">
        <v>17228</v>
      </c>
      <c r="AD32" s="536">
        <v>7618</v>
      </c>
      <c r="AE32" s="372">
        <v>8321</v>
      </c>
      <c r="AF32" s="537">
        <v>15939</v>
      </c>
      <c r="AG32" s="538">
        <v>6705</v>
      </c>
      <c r="AH32" s="372">
        <v>7426</v>
      </c>
      <c r="AI32" s="539">
        <v>14131</v>
      </c>
      <c r="AJ32" s="536">
        <v>5867</v>
      </c>
      <c r="AK32" s="372">
        <v>6863</v>
      </c>
      <c r="AL32" s="537">
        <v>12730</v>
      </c>
      <c r="AM32" s="538">
        <v>5086</v>
      </c>
      <c r="AN32" s="372">
        <v>5749</v>
      </c>
      <c r="AO32" s="539">
        <v>10835</v>
      </c>
      <c r="AP32" s="536">
        <v>3784</v>
      </c>
      <c r="AQ32" s="372">
        <v>3402</v>
      </c>
      <c r="AR32" s="537">
        <v>7186</v>
      </c>
      <c r="AS32" s="538">
        <v>1864</v>
      </c>
      <c r="AT32" s="372">
        <v>1529</v>
      </c>
      <c r="AU32" s="539">
        <v>3393</v>
      </c>
      <c r="AV32" s="536">
        <v>1122</v>
      </c>
      <c r="AW32" s="372">
        <v>1378</v>
      </c>
      <c r="AX32" s="537">
        <v>2500</v>
      </c>
    </row>
    <row r="33" spans="1:50" x14ac:dyDescent="0.3">
      <c r="A33" s="541" t="s">
        <v>75</v>
      </c>
      <c r="B33" s="431" t="s">
        <v>69</v>
      </c>
      <c r="C33" s="542">
        <v>2494</v>
      </c>
      <c r="D33" s="376">
        <v>2368</v>
      </c>
      <c r="E33" s="543">
        <v>4862</v>
      </c>
      <c r="F33" s="544">
        <v>3240</v>
      </c>
      <c r="G33" s="376">
        <v>3013</v>
      </c>
      <c r="H33" s="545">
        <v>6253</v>
      </c>
      <c r="I33" s="542">
        <v>3203</v>
      </c>
      <c r="J33" s="376">
        <v>2884</v>
      </c>
      <c r="K33" s="543">
        <v>6087</v>
      </c>
      <c r="L33" s="544">
        <v>2946</v>
      </c>
      <c r="M33" s="376">
        <v>2776</v>
      </c>
      <c r="N33" s="545">
        <v>5722</v>
      </c>
      <c r="O33" s="542">
        <v>3336</v>
      </c>
      <c r="P33" s="376">
        <v>3047</v>
      </c>
      <c r="Q33" s="543">
        <v>6383</v>
      </c>
      <c r="R33" s="544">
        <v>3863</v>
      </c>
      <c r="S33" s="376">
        <v>3813</v>
      </c>
      <c r="T33" s="545">
        <v>7676</v>
      </c>
      <c r="U33" s="542">
        <v>3759</v>
      </c>
      <c r="V33" s="376">
        <v>3711</v>
      </c>
      <c r="W33" s="543">
        <v>7470</v>
      </c>
      <c r="X33" s="544">
        <v>3064</v>
      </c>
      <c r="Y33" s="376">
        <v>3096</v>
      </c>
      <c r="Z33" s="545">
        <v>6160</v>
      </c>
      <c r="AA33" s="542">
        <v>2909</v>
      </c>
      <c r="AB33" s="376">
        <v>2956</v>
      </c>
      <c r="AC33" s="543">
        <v>5865</v>
      </c>
      <c r="AD33" s="542">
        <v>2579</v>
      </c>
      <c r="AE33" s="376">
        <v>2956</v>
      </c>
      <c r="AF33" s="543">
        <v>5535</v>
      </c>
      <c r="AG33" s="544">
        <v>2351</v>
      </c>
      <c r="AH33" s="376">
        <v>2544</v>
      </c>
      <c r="AI33" s="545">
        <v>4895</v>
      </c>
      <c r="AJ33" s="542">
        <v>2157</v>
      </c>
      <c r="AK33" s="376">
        <v>2670</v>
      </c>
      <c r="AL33" s="543">
        <v>4827</v>
      </c>
      <c r="AM33" s="544">
        <v>2074</v>
      </c>
      <c r="AN33" s="376">
        <v>2275</v>
      </c>
      <c r="AO33" s="545">
        <v>4349</v>
      </c>
      <c r="AP33" s="542">
        <v>1482</v>
      </c>
      <c r="AQ33" s="376">
        <v>1220</v>
      </c>
      <c r="AR33" s="543">
        <v>2702</v>
      </c>
      <c r="AS33" s="544">
        <v>691</v>
      </c>
      <c r="AT33" s="376">
        <v>557</v>
      </c>
      <c r="AU33" s="545">
        <v>1248</v>
      </c>
      <c r="AV33" s="542">
        <v>396</v>
      </c>
      <c r="AW33" s="376">
        <v>512</v>
      </c>
      <c r="AX33" s="543">
        <v>908</v>
      </c>
    </row>
    <row r="34" spans="1:50" x14ac:dyDescent="0.3">
      <c r="A34" s="541" t="s">
        <v>77</v>
      </c>
      <c r="B34" s="431" t="s">
        <v>71</v>
      </c>
      <c r="C34" s="542">
        <v>1981</v>
      </c>
      <c r="D34" s="376">
        <v>1928</v>
      </c>
      <c r="E34" s="543">
        <v>3909</v>
      </c>
      <c r="F34" s="544">
        <v>2851</v>
      </c>
      <c r="G34" s="376">
        <v>2586</v>
      </c>
      <c r="H34" s="545">
        <v>5437</v>
      </c>
      <c r="I34" s="542">
        <v>2557</v>
      </c>
      <c r="J34" s="376">
        <v>2464</v>
      </c>
      <c r="K34" s="543">
        <v>5021</v>
      </c>
      <c r="L34" s="544">
        <v>2267</v>
      </c>
      <c r="M34" s="376">
        <v>2161</v>
      </c>
      <c r="N34" s="545">
        <v>4428</v>
      </c>
      <c r="O34" s="542">
        <v>2351</v>
      </c>
      <c r="P34" s="376">
        <v>2308</v>
      </c>
      <c r="Q34" s="543">
        <v>4659</v>
      </c>
      <c r="R34" s="544">
        <v>2716</v>
      </c>
      <c r="S34" s="376">
        <v>2631</v>
      </c>
      <c r="T34" s="545">
        <v>5347</v>
      </c>
      <c r="U34" s="542">
        <v>2922</v>
      </c>
      <c r="V34" s="376">
        <v>3072</v>
      </c>
      <c r="W34" s="543">
        <v>5994</v>
      </c>
      <c r="X34" s="544">
        <v>2654</v>
      </c>
      <c r="Y34" s="376">
        <v>2697</v>
      </c>
      <c r="Z34" s="545">
        <v>5351</v>
      </c>
      <c r="AA34" s="542">
        <v>2343</v>
      </c>
      <c r="AB34" s="376">
        <v>2350</v>
      </c>
      <c r="AC34" s="543">
        <v>4693</v>
      </c>
      <c r="AD34" s="542">
        <v>1957</v>
      </c>
      <c r="AE34" s="376">
        <v>2035</v>
      </c>
      <c r="AF34" s="543">
        <v>3992</v>
      </c>
      <c r="AG34" s="544">
        <v>1634</v>
      </c>
      <c r="AH34" s="376">
        <v>1870</v>
      </c>
      <c r="AI34" s="545">
        <v>3504</v>
      </c>
      <c r="AJ34" s="542">
        <v>1485</v>
      </c>
      <c r="AK34" s="376">
        <v>1960</v>
      </c>
      <c r="AL34" s="543">
        <v>3445</v>
      </c>
      <c r="AM34" s="544">
        <v>1518</v>
      </c>
      <c r="AN34" s="376">
        <v>1973</v>
      </c>
      <c r="AO34" s="545">
        <v>3491</v>
      </c>
      <c r="AP34" s="542">
        <v>1311</v>
      </c>
      <c r="AQ34" s="376">
        <v>1183</v>
      </c>
      <c r="AR34" s="543">
        <v>2494</v>
      </c>
      <c r="AS34" s="544">
        <v>634</v>
      </c>
      <c r="AT34" s="376">
        <v>487</v>
      </c>
      <c r="AU34" s="545">
        <v>1121</v>
      </c>
      <c r="AV34" s="542">
        <v>326</v>
      </c>
      <c r="AW34" s="376">
        <v>409</v>
      </c>
      <c r="AX34" s="543">
        <v>735</v>
      </c>
    </row>
    <row r="35" spans="1:50" x14ac:dyDescent="0.3">
      <c r="A35" s="541" t="s">
        <v>78</v>
      </c>
      <c r="B35" s="431" t="s">
        <v>74</v>
      </c>
      <c r="C35" s="542">
        <v>1146</v>
      </c>
      <c r="D35" s="376">
        <v>1033</v>
      </c>
      <c r="E35" s="543">
        <v>2179</v>
      </c>
      <c r="F35" s="544">
        <v>1583</v>
      </c>
      <c r="G35" s="376">
        <v>1488</v>
      </c>
      <c r="H35" s="545">
        <v>3071</v>
      </c>
      <c r="I35" s="542">
        <v>1531</v>
      </c>
      <c r="J35" s="376">
        <v>1493</v>
      </c>
      <c r="K35" s="543">
        <v>3024</v>
      </c>
      <c r="L35" s="544">
        <v>1528</v>
      </c>
      <c r="M35" s="376">
        <v>1454</v>
      </c>
      <c r="N35" s="545">
        <v>2982</v>
      </c>
      <c r="O35" s="542">
        <v>1547</v>
      </c>
      <c r="P35" s="376">
        <v>1466</v>
      </c>
      <c r="Q35" s="543">
        <v>3013</v>
      </c>
      <c r="R35" s="544">
        <v>1593</v>
      </c>
      <c r="S35" s="376">
        <v>1573</v>
      </c>
      <c r="T35" s="545">
        <v>3166</v>
      </c>
      <c r="U35" s="542">
        <v>1577</v>
      </c>
      <c r="V35" s="376">
        <v>1669</v>
      </c>
      <c r="W35" s="543">
        <v>3246</v>
      </c>
      <c r="X35" s="544">
        <v>1491</v>
      </c>
      <c r="Y35" s="376">
        <v>1483</v>
      </c>
      <c r="Z35" s="545">
        <v>2974</v>
      </c>
      <c r="AA35" s="542">
        <v>1463</v>
      </c>
      <c r="AB35" s="376">
        <v>1553</v>
      </c>
      <c r="AC35" s="543">
        <v>3016</v>
      </c>
      <c r="AD35" s="542">
        <v>1361</v>
      </c>
      <c r="AE35" s="376">
        <v>1355</v>
      </c>
      <c r="AF35" s="543">
        <v>2716</v>
      </c>
      <c r="AG35" s="544">
        <v>1175</v>
      </c>
      <c r="AH35" s="376">
        <v>1295</v>
      </c>
      <c r="AI35" s="545">
        <v>2470</v>
      </c>
      <c r="AJ35" s="542">
        <v>954</v>
      </c>
      <c r="AK35" s="376">
        <v>1061</v>
      </c>
      <c r="AL35" s="543">
        <v>2015</v>
      </c>
      <c r="AM35" s="544">
        <v>727</v>
      </c>
      <c r="AN35" s="376">
        <v>848</v>
      </c>
      <c r="AO35" s="545">
        <v>1575</v>
      </c>
      <c r="AP35" s="542">
        <v>597</v>
      </c>
      <c r="AQ35" s="376">
        <v>620</v>
      </c>
      <c r="AR35" s="543">
        <v>1217</v>
      </c>
      <c r="AS35" s="544">
        <v>320</v>
      </c>
      <c r="AT35" s="376">
        <v>288</v>
      </c>
      <c r="AU35" s="545">
        <v>608</v>
      </c>
      <c r="AV35" s="542">
        <v>230</v>
      </c>
      <c r="AW35" s="376">
        <v>249</v>
      </c>
      <c r="AX35" s="543">
        <v>479</v>
      </c>
    </row>
    <row r="36" spans="1:50" ht="14.5" thickBot="1" x14ac:dyDescent="0.35">
      <c r="A36" s="568" t="s">
        <v>80</v>
      </c>
      <c r="B36" s="434" t="s">
        <v>76</v>
      </c>
      <c r="C36" s="548">
        <v>1457</v>
      </c>
      <c r="D36" s="380">
        <v>1397</v>
      </c>
      <c r="E36" s="549">
        <v>2854</v>
      </c>
      <c r="F36" s="550">
        <v>1910</v>
      </c>
      <c r="G36" s="380">
        <v>1904</v>
      </c>
      <c r="H36" s="551">
        <v>3814</v>
      </c>
      <c r="I36" s="548">
        <v>1937</v>
      </c>
      <c r="J36" s="380">
        <v>1918</v>
      </c>
      <c r="K36" s="549">
        <v>3855</v>
      </c>
      <c r="L36" s="550">
        <v>1851</v>
      </c>
      <c r="M36" s="380">
        <v>1835</v>
      </c>
      <c r="N36" s="551">
        <v>3686</v>
      </c>
      <c r="O36" s="548">
        <v>2069</v>
      </c>
      <c r="P36" s="380">
        <v>1909</v>
      </c>
      <c r="Q36" s="549">
        <v>3978</v>
      </c>
      <c r="R36" s="550">
        <v>2016</v>
      </c>
      <c r="S36" s="380">
        <v>1944</v>
      </c>
      <c r="T36" s="551">
        <v>3960</v>
      </c>
      <c r="U36" s="548">
        <v>1935</v>
      </c>
      <c r="V36" s="380">
        <v>1991</v>
      </c>
      <c r="W36" s="549">
        <v>3926</v>
      </c>
      <c r="X36" s="550">
        <v>1783</v>
      </c>
      <c r="Y36" s="380">
        <v>1735</v>
      </c>
      <c r="Z36" s="551">
        <v>3518</v>
      </c>
      <c r="AA36" s="548">
        <v>1842</v>
      </c>
      <c r="AB36" s="380">
        <v>1812</v>
      </c>
      <c r="AC36" s="549">
        <v>3654</v>
      </c>
      <c r="AD36" s="548">
        <v>1721</v>
      </c>
      <c r="AE36" s="380">
        <v>1975</v>
      </c>
      <c r="AF36" s="549">
        <v>3696</v>
      </c>
      <c r="AG36" s="550">
        <v>1545</v>
      </c>
      <c r="AH36" s="380">
        <v>1717</v>
      </c>
      <c r="AI36" s="551">
        <v>3262</v>
      </c>
      <c r="AJ36" s="548">
        <v>1271</v>
      </c>
      <c r="AK36" s="380">
        <v>1172</v>
      </c>
      <c r="AL36" s="549">
        <v>2443</v>
      </c>
      <c r="AM36" s="550">
        <v>767</v>
      </c>
      <c r="AN36" s="380">
        <v>653</v>
      </c>
      <c r="AO36" s="551">
        <v>1420</v>
      </c>
      <c r="AP36" s="548">
        <v>394</v>
      </c>
      <c r="AQ36" s="380">
        <v>379</v>
      </c>
      <c r="AR36" s="549">
        <v>773</v>
      </c>
      <c r="AS36" s="550">
        <v>219</v>
      </c>
      <c r="AT36" s="380">
        <v>197</v>
      </c>
      <c r="AU36" s="551">
        <v>416</v>
      </c>
      <c r="AV36" s="548">
        <v>170</v>
      </c>
      <c r="AW36" s="380">
        <v>208</v>
      </c>
      <c r="AX36" s="549">
        <v>378</v>
      </c>
    </row>
    <row r="37" spans="1:50" x14ac:dyDescent="0.3">
      <c r="A37" s="569" t="s">
        <v>82</v>
      </c>
      <c r="B37" s="437" t="s">
        <v>79</v>
      </c>
      <c r="C37" s="554">
        <v>4935</v>
      </c>
      <c r="D37" s="384">
        <v>4575</v>
      </c>
      <c r="E37" s="555">
        <v>9510</v>
      </c>
      <c r="F37" s="556">
        <v>6910</v>
      </c>
      <c r="G37" s="384">
        <v>6368</v>
      </c>
      <c r="H37" s="557">
        <v>13278</v>
      </c>
      <c r="I37" s="554">
        <v>6918</v>
      </c>
      <c r="J37" s="384">
        <v>6408</v>
      </c>
      <c r="K37" s="555">
        <v>13326</v>
      </c>
      <c r="L37" s="556">
        <v>6460</v>
      </c>
      <c r="M37" s="384">
        <v>6062</v>
      </c>
      <c r="N37" s="557">
        <v>12522</v>
      </c>
      <c r="O37" s="554">
        <v>6796</v>
      </c>
      <c r="P37" s="384">
        <v>6285</v>
      </c>
      <c r="Q37" s="555">
        <v>13081</v>
      </c>
      <c r="R37" s="556">
        <v>6915</v>
      </c>
      <c r="S37" s="384">
        <v>6644</v>
      </c>
      <c r="T37" s="557">
        <v>13559</v>
      </c>
      <c r="U37" s="554">
        <v>6651</v>
      </c>
      <c r="V37" s="384">
        <v>6642</v>
      </c>
      <c r="W37" s="555">
        <v>13293</v>
      </c>
      <c r="X37" s="556">
        <v>6315</v>
      </c>
      <c r="Y37" s="384">
        <v>6118</v>
      </c>
      <c r="Z37" s="557">
        <v>12433</v>
      </c>
      <c r="AA37" s="554">
        <v>6395</v>
      </c>
      <c r="AB37" s="384">
        <v>6432</v>
      </c>
      <c r="AC37" s="555">
        <v>12827</v>
      </c>
      <c r="AD37" s="554">
        <v>5571</v>
      </c>
      <c r="AE37" s="384">
        <v>5884</v>
      </c>
      <c r="AF37" s="555">
        <v>11455</v>
      </c>
      <c r="AG37" s="556">
        <v>5052</v>
      </c>
      <c r="AH37" s="384">
        <v>5574</v>
      </c>
      <c r="AI37" s="557">
        <v>10626</v>
      </c>
      <c r="AJ37" s="554">
        <v>4463</v>
      </c>
      <c r="AK37" s="384">
        <v>4936</v>
      </c>
      <c r="AL37" s="555">
        <v>9399</v>
      </c>
      <c r="AM37" s="556">
        <v>3477</v>
      </c>
      <c r="AN37" s="384">
        <v>4053</v>
      </c>
      <c r="AO37" s="557">
        <v>7530</v>
      </c>
      <c r="AP37" s="554">
        <v>2650</v>
      </c>
      <c r="AQ37" s="384">
        <v>2493</v>
      </c>
      <c r="AR37" s="555">
        <v>5143</v>
      </c>
      <c r="AS37" s="556">
        <v>1323</v>
      </c>
      <c r="AT37" s="384">
        <v>1251</v>
      </c>
      <c r="AU37" s="557">
        <v>2574</v>
      </c>
      <c r="AV37" s="554">
        <v>911</v>
      </c>
      <c r="AW37" s="384">
        <v>1171</v>
      </c>
      <c r="AX37" s="555">
        <v>2082</v>
      </c>
    </row>
    <row r="38" spans="1:50" x14ac:dyDescent="0.3">
      <c r="A38" s="558" t="s">
        <v>84</v>
      </c>
      <c r="B38" s="440" t="s">
        <v>79</v>
      </c>
      <c r="C38" s="559">
        <v>931</v>
      </c>
      <c r="D38" s="388">
        <v>893</v>
      </c>
      <c r="E38" s="560">
        <v>1824</v>
      </c>
      <c r="F38" s="561">
        <v>1288</v>
      </c>
      <c r="G38" s="388">
        <v>1273</v>
      </c>
      <c r="H38" s="562">
        <v>2561</v>
      </c>
      <c r="I38" s="559">
        <v>1361</v>
      </c>
      <c r="J38" s="388">
        <v>1188</v>
      </c>
      <c r="K38" s="560">
        <v>2549</v>
      </c>
      <c r="L38" s="561">
        <v>1159</v>
      </c>
      <c r="M38" s="388">
        <v>1081</v>
      </c>
      <c r="N38" s="562">
        <v>2240</v>
      </c>
      <c r="O38" s="559">
        <v>1145</v>
      </c>
      <c r="P38" s="388">
        <v>1051</v>
      </c>
      <c r="Q38" s="560">
        <v>2196</v>
      </c>
      <c r="R38" s="561">
        <v>1092</v>
      </c>
      <c r="S38" s="388">
        <v>1035</v>
      </c>
      <c r="T38" s="562">
        <v>2127</v>
      </c>
      <c r="U38" s="559">
        <v>1084</v>
      </c>
      <c r="V38" s="388">
        <v>1140</v>
      </c>
      <c r="W38" s="560">
        <v>2224</v>
      </c>
      <c r="X38" s="561">
        <v>1163</v>
      </c>
      <c r="Y38" s="388">
        <v>1094</v>
      </c>
      <c r="Z38" s="562">
        <v>2257</v>
      </c>
      <c r="AA38" s="559">
        <v>1316</v>
      </c>
      <c r="AB38" s="388">
        <v>1232</v>
      </c>
      <c r="AC38" s="560">
        <v>2548</v>
      </c>
      <c r="AD38" s="559">
        <v>1091</v>
      </c>
      <c r="AE38" s="388">
        <v>1076</v>
      </c>
      <c r="AF38" s="560">
        <v>2167</v>
      </c>
      <c r="AG38" s="561">
        <v>915</v>
      </c>
      <c r="AH38" s="388">
        <v>919</v>
      </c>
      <c r="AI38" s="562">
        <v>1834</v>
      </c>
      <c r="AJ38" s="559">
        <v>688</v>
      </c>
      <c r="AK38" s="388">
        <v>709</v>
      </c>
      <c r="AL38" s="560">
        <v>1397</v>
      </c>
      <c r="AM38" s="561">
        <v>479</v>
      </c>
      <c r="AN38" s="388">
        <v>565</v>
      </c>
      <c r="AO38" s="562">
        <v>1044</v>
      </c>
      <c r="AP38" s="559">
        <v>343</v>
      </c>
      <c r="AQ38" s="388">
        <v>352</v>
      </c>
      <c r="AR38" s="560">
        <v>695</v>
      </c>
      <c r="AS38" s="561">
        <v>210</v>
      </c>
      <c r="AT38" s="388">
        <v>181</v>
      </c>
      <c r="AU38" s="562">
        <v>391</v>
      </c>
      <c r="AV38" s="559">
        <v>144</v>
      </c>
      <c r="AW38" s="388">
        <v>156</v>
      </c>
      <c r="AX38" s="560">
        <v>300</v>
      </c>
    </row>
    <row r="39" spans="1:50" x14ac:dyDescent="0.3">
      <c r="A39" s="558" t="s">
        <v>86</v>
      </c>
      <c r="B39" s="440" t="s">
        <v>81</v>
      </c>
      <c r="C39" s="559">
        <v>889</v>
      </c>
      <c r="D39" s="388">
        <v>804</v>
      </c>
      <c r="E39" s="560">
        <v>1693</v>
      </c>
      <c r="F39" s="561">
        <v>1174</v>
      </c>
      <c r="G39" s="388">
        <v>1111</v>
      </c>
      <c r="H39" s="562">
        <v>2285</v>
      </c>
      <c r="I39" s="559">
        <v>1221</v>
      </c>
      <c r="J39" s="388">
        <v>1075</v>
      </c>
      <c r="K39" s="560">
        <v>2296</v>
      </c>
      <c r="L39" s="561">
        <v>1058</v>
      </c>
      <c r="M39" s="388">
        <v>946</v>
      </c>
      <c r="N39" s="562">
        <v>2004</v>
      </c>
      <c r="O39" s="559">
        <v>1016</v>
      </c>
      <c r="P39" s="388">
        <v>966</v>
      </c>
      <c r="Q39" s="560">
        <v>1982</v>
      </c>
      <c r="R39" s="561">
        <v>1034</v>
      </c>
      <c r="S39" s="388">
        <v>977</v>
      </c>
      <c r="T39" s="562">
        <v>2011</v>
      </c>
      <c r="U39" s="559">
        <v>986</v>
      </c>
      <c r="V39" s="388">
        <v>1046</v>
      </c>
      <c r="W39" s="560">
        <v>2032</v>
      </c>
      <c r="X39" s="561">
        <v>1032</v>
      </c>
      <c r="Y39" s="388">
        <v>991</v>
      </c>
      <c r="Z39" s="562">
        <v>2023</v>
      </c>
      <c r="AA39" s="559">
        <v>1033</v>
      </c>
      <c r="AB39" s="388">
        <v>1067</v>
      </c>
      <c r="AC39" s="560">
        <v>2100</v>
      </c>
      <c r="AD39" s="559">
        <v>953</v>
      </c>
      <c r="AE39" s="388">
        <v>936</v>
      </c>
      <c r="AF39" s="560">
        <v>1889</v>
      </c>
      <c r="AG39" s="561">
        <v>715</v>
      </c>
      <c r="AH39" s="388">
        <v>751</v>
      </c>
      <c r="AI39" s="562">
        <v>1466</v>
      </c>
      <c r="AJ39" s="559">
        <v>630</v>
      </c>
      <c r="AK39" s="388">
        <v>656</v>
      </c>
      <c r="AL39" s="560">
        <v>1286</v>
      </c>
      <c r="AM39" s="561">
        <v>444</v>
      </c>
      <c r="AN39" s="388">
        <v>532</v>
      </c>
      <c r="AO39" s="562">
        <v>976</v>
      </c>
      <c r="AP39" s="559">
        <v>337</v>
      </c>
      <c r="AQ39" s="388">
        <v>357</v>
      </c>
      <c r="AR39" s="560">
        <v>694</v>
      </c>
      <c r="AS39" s="561">
        <v>199</v>
      </c>
      <c r="AT39" s="388">
        <v>166</v>
      </c>
      <c r="AU39" s="562">
        <v>365</v>
      </c>
      <c r="AV39" s="559">
        <v>123</v>
      </c>
      <c r="AW39" s="388">
        <v>153</v>
      </c>
      <c r="AX39" s="560">
        <v>276</v>
      </c>
    </row>
    <row r="40" spans="1:50" x14ac:dyDescent="0.3">
      <c r="A40" s="558" t="s">
        <v>88</v>
      </c>
      <c r="B40" s="440" t="s">
        <v>83</v>
      </c>
      <c r="C40" s="559">
        <v>2193</v>
      </c>
      <c r="D40" s="388">
        <v>2006</v>
      </c>
      <c r="E40" s="560">
        <v>4199</v>
      </c>
      <c r="F40" s="561">
        <v>2995</v>
      </c>
      <c r="G40" s="388">
        <v>2728</v>
      </c>
      <c r="H40" s="562">
        <v>5723</v>
      </c>
      <c r="I40" s="559">
        <v>2998</v>
      </c>
      <c r="J40" s="388">
        <v>2846</v>
      </c>
      <c r="K40" s="560">
        <v>5844</v>
      </c>
      <c r="L40" s="561">
        <v>2969</v>
      </c>
      <c r="M40" s="388">
        <v>2845</v>
      </c>
      <c r="N40" s="562">
        <v>5814</v>
      </c>
      <c r="O40" s="559">
        <v>3434</v>
      </c>
      <c r="P40" s="388">
        <v>3105</v>
      </c>
      <c r="Q40" s="560">
        <v>6539</v>
      </c>
      <c r="R40" s="561">
        <v>3538</v>
      </c>
      <c r="S40" s="388">
        <v>3469</v>
      </c>
      <c r="T40" s="562">
        <v>7007</v>
      </c>
      <c r="U40" s="559">
        <v>3276</v>
      </c>
      <c r="V40" s="388">
        <v>3219</v>
      </c>
      <c r="W40" s="560">
        <v>6495</v>
      </c>
      <c r="X40" s="561">
        <v>2908</v>
      </c>
      <c r="Y40" s="388">
        <v>2854</v>
      </c>
      <c r="Z40" s="562">
        <v>5762</v>
      </c>
      <c r="AA40" s="559">
        <v>2707</v>
      </c>
      <c r="AB40" s="388">
        <v>2861</v>
      </c>
      <c r="AC40" s="560">
        <v>5568</v>
      </c>
      <c r="AD40" s="559">
        <v>2388</v>
      </c>
      <c r="AE40" s="388">
        <v>2657</v>
      </c>
      <c r="AF40" s="560">
        <v>5045</v>
      </c>
      <c r="AG40" s="561">
        <v>2447</v>
      </c>
      <c r="AH40" s="388">
        <v>2906</v>
      </c>
      <c r="AI40" s="562">
        <v>5353</v>
      </c>
      <c r="AJ40" s="559">
        <v>2367</v>
      </c>
      <c r="AK40" s="388">
        <v>2777</v>
      </c>
      <c r="AL40" s="560">
        <v>5144</v>
      </c>
      <c r="AM40" s="561">
        <v>1987</v>
      </c>
      <c r="AN40" s="388">
        <v>2260</v>
      </c>
      <c r="AO40" s="562">
        <v>4247</v>
      </c>
      <c r="AP40" s="559">
        <v>1481</v>
      </c>
      <c r="AQ40" s="388">
        <v>1257</v>
      </c>
      <c r="AR40" s="560">
        <v>2738</v>
      </c>
      <c r="AS40" s="561">
        <v>634</v>
      </c>
      <c r="AT40" s="388">
        <v>645</v>
      </c>
      <c r="AU40" s="562">
        <v>1279</v>
      </c>
      <c r="AV40" s="559">
        <v>436</v>
      </c>
      <c r="AW40" s="388">
        <v>664</v>
      </c>
      <c r="AX40" s="560">
        <v>1100</v>
      </c>
    </row>
    <row r="41" spans="1:50" ht="14.5" thickBot="1" x14ac:dyDescent="0.35">
      <c r="A41" s="563" t="s">
        <v>90</v>
      </c>
      <c r="B41" s="446" t="s">
        <v>85</v>
      </c>
      <c r="C41" s="564">
        <v>922</v>
      </c>
      <c r="D41" s="392">
        <v>872</v>
      </c>
      <c r="E41" s="565">
        <v>1794</v>
      </c>
      <c r="F41" s="566">
        <v>1453</v>
      </c>
      <c r="G41" s="392">
        <v>1256</v>
      </c>
      <c r="H41" s="567">
        <v>2709</v>
      </c>
      <c r="I41" s="564">
        <v>1338</v>
      </c>
      <c r="J41" s="392">
        <v>1299</v>
      </c>
      <c r="K41" s="565">
        <v>2637</v>
      </c>
      <c r="L41" s="566">
        <v>1274</v>
      </c>
      <c r="M41" s="392">
        <v>1190</v>
      </c>
      <c r="N41" s="567">
        <v>2464</v>
      </c>
      <c r="O41" s="564">
        <v>1201</v>
      </c>
      <c r="P41" s="392">
        <v>1163</v>
      </c>
      <c r="Q41" s="565">
        <v>2364</v>
      </c>
      <c r="R41" s="566">
        <v>1251</v>
      </c>
      <c r="S41" s="392">
        <v>1163</v>
      </c>
      <c r="T41" s="567">
        <v>2414</v>
      </c>
      <c r="U41" s="564">
        <v>1305</v>
      </c>
      <c r="V41" s="392">
        <v>1237</v>
      </c>
      <c r="W41" s="565">
        <v>2542</v>
      </c>
      <c r="X41" s="566">
        <v>1212</v>
      </c>
      <c r="Y41" s="392">
        <v>1179</v>
      </c>
      <c r="Z41" s="567">
        <v>2391</v>
      </c>
      <c r="AA41" s="564">
        <v>1339</v>
      </c>
      <c r="AB41" s="392">
        <v>1272</v>
      </c>
      <c r="AC41" s="565">
        <v>2611</v>
      </c>
      <c r="AD41" s="564">
        <v>1139</v>
      </c>
      <c r="AE41" s="392">
        <v>1215</v>
      </c>
      <c r="AF41" s="565">
        <v>2354</v>
      </c>
      <c r="AG41" s="566">
        <v>975</v>
      </c>
      <c r="AH41" s="392">
        <v>998</v>
      </c>
      <c r="AI41" s="567">
        <v>1973</v>
      </c>
      <c r="AJ41" s="564">
        <v>778</v>
      </c>
      <c r="AK41" s="392">
        <v>794</v>
      </c>
      <c r="AL41" s="565">
        <v>1572</v>
      </c>
      <c r="AM41" s="566">
        <v>567</v>
      </c>
      <c r="AN41" s="392">
        <v>696</v>
      </c>
      <c r="AO41" s="567">
        <v>1263</v>
      </c>
      <c r="AP41" s="564">
        <v>489</v>
      </c>
      <c r="AQ41" s="392">
        <v>527</v>
      </c>
      <c r="AR41" s="565">
        <v>1016</v>
      </c>
      <c r="AS41" s="566">
        <v>280</v>
      </c>
      <c r="AT41" s="392">
        <v>259</v>
      </c>
      <c r="AU41" s="567">
        <v>539</v>
      </c>
      <c r="AV41" s="564">
        <v>208</v>
      </c>
      <c r="AW41" s="392">
        <v>198</v>
      </c>
      <c r="AX41" s="565">
        <v>406</v>
      </c>
    </row>
    <row r="42" spans="1:50" x14ac:dyDescent="0.3">
      <c r="A42" s="534" t="s">
        <v>92</v>
      </c>
      <c r="B42" s="535" t="s">
        <v>89</v>
      </c>
      <c r="C42" s="536">
        <v>4328</v>
      </c>
      <c r="D42" s="372">
        <v>4086</v>
      </c>
      <c r="E42" s="537">
        <v>8414</v>
      </c>
      <c r="F42" s="538">
        <v>5962</v>
      </c>
      <c r="G42" s="372">
        <v>5597</v>
      </c>
      <c r="H42" s="539">
        <v>11559</v>
      </c>
      <c r="I42" s="536">
        <v>5776</v>
      </c>
      <c r="J42" s="372">
        <v>5263</v>
      </c>
      <c r="K42" s="537">
        <v>11039</v>
      </c>
      <c r="L42" s="538">
        <v>5135</v>
      </c>
      <c r="M42" s="372">
        <v>4778</v>
      </c>
      <c r="N42" s="539">
        <v>9913</v>
      </c>
      <c r="O42" s="536">
        <v>4982</v>
      </c>
      <c r="P42" s="372">
        <v>4638</v>
      </c>
      <c r="Q42" s="537">
        <v>9620</v>
      </c>
      <c r="R42" s="538">
        <v>4790</v>
      </c>
      <c r="S42" s="372">
        <v>4851</v>
      </c>
      <c r="T42" s="539">
        <v>9641</v>
      </c>
      <c r="U42" s="536">
        <v>4884</v>
      </c>
      <c r="V42" s="372">
        <v>5076</v>
      </c>
      <c r="W42" s="537">
        <v>9960</v>
      </c>
      <c r="X42" s="538">
        <v>4836</v>
      </c>
      <c r="Y42" s="372">
        <v>4916</v>
      </c>
      <c r="Z42" s="539">
        <v>9752</v>
      </c>
      <c r="AA42" s="536">
        <v>5175</v>
      </c>
      <c r="AB42" s="372">
        <v>5118</v>
      </c>
      <c r="AC42" s="537">
        <v>10293</v>
      </c>
      <c r="AD42" s="536">
        <v>4857</v>
      </c>
      <c r="AE42" s="372">
        <v>5024</v>
      </c>
      <c r="AF42" s="537">
        <v>9881</v>
      </c>
      <c r="AG42" s="538">
        <v>4134</v>
      </c>
      <c r="AH42" s="372">
        <v>4159</v>
      </c>
      <c r="AI42" s="539">
        <v>8293</v>
      </c>
      <c r="AJ42" s="536">
        <v>2887</v>
      </c>
      <c r="AK42" s="372">
        <v>2393</v>
      </c>
      <c r="AL42" s="537">
        <v>5280</v>
      </c>
      <c r="AM42" s="538">
        <v>1657</v>
      </c>
      <c r="AN42" s="372">
        <v>1398</v>
      </c>
      <c r="AO42" s="539">
        <v>3055</v>
      </c>
      <c r="AP42" s="536">
        <v>998</v>
      </c>
      <c r="AQ42" s="372">
        <v>991</v>
      </c>
      <c r="AR42" s="537">
        <v>1989</v>
      </c>
      <c r="AS42" s="538">
        <v>526</v>
      </c>
      <c r="AT42" s="372">
        <v>520</v>
      </c>
      <c r="AU42" s="539">
        <v>1046</v>
      </c>
      <c r="AV42" s="536">
        <v>490</v>
      </c>
      <c r="AW42" s="372">
        <v>684</v>
      </c>
      <c r="AX42" s="537">
        <v>1174</v>
      </c>
    </row>
    <row r="43" spans="1:50" x14ac:dyDescent="0.3">
      <c r="A43" s="541" t="s">
        <v>94</v>
      </c>
      <c r="B43" s="431" t="s">
        <v>89</v>
      </c>
      <c r="C43" s="542">
        <v>1166</v>
      </c>
      <c r="D43" s="376">
        <v>1057</v>
      </c>
      <c r="E43" s="543">
        <v>2223</v>
      </c>
      <c r="F43" s="544">
        <v>1544</v>
      </c>
      <c r="G43" s="376">
        <v>1536</v>
      </c>
      <c r="H43" s="545">
        <v>3080</v>
      </c>
      <c r="I43" s="542">
        <v>1640</v>
      </c>
      <c r="J43" s="376">
        <v>1551</v>
      </c>
      <c r="K43" s="543">
        <v>3191</v>
      </c>
      <c r="L43" s="544">
        <v>1634</v>
      </c>
      <c r="M43" s="376">
        <v>1397</v>
      </c>
      <c r="N43" s="545">
        <v>3031</v>
      </c>
      <c r="O43" s="542">
        <v>1498</v>
      </c>
      <c r="P43" s="376">
        <v>1368</v>
      </c>
      <c r="Q43" s="543">
        <v>2866</v>
      </c>
      <c r="R43" s="544">
        <v>1340</v>
      </c>
      <c r="S43" s="376">
        <v>1308</v>
      </c>
      <c r="T43" s="545">
        <v>2648</v>
      </c>
      <c r="U43" s="542">
        <v>1311</v>
      </c>
      <c r="V43" s="376">
        <v>1306</v>
      </c>
      <c r="W43" s="543">
        <v>2617</v>
      </c>
      <c r="X43" s="544">
        <v>1276</v>
      </c>
      <c r="Y43" s="376">
        <v>1349</v>
      </c>
      <c r="Z43" s="545">
        <v>2625</v>
      </c>
      <c r="AA43" s="542">
        <v>1562</v>
      </c>
      <c r="AB43" s="376">
        <v>1602</v>
      </c>
      <c r="AC43" s="543">
        <v>3164</v>
      </c>
      <c r="AD43" s="542">
        <v>1566</v>
      </c>
      <c r="AE43" s="376">
        <v>1625</v>
      </c>
      <c r="AF43" s="543">
        <v>3191</v>
      </c>
      <c r="AG43" s="544">
        <v>1304</v>
      </c>
      <c r="AH43" s="376">
        <v>1326</v>
      </c>
      <c r="AI43" s="545">
        <v>2630</v>
      </c>
      <c r="AJ43" s="542">
        <v>930</v>
      </c>
      <c r="AK43" s="376">
        <v>757</v>
      </c>
      <c r="AL43" s="543">
        <v>1687</v>
      </c>
      <c r="AM43" s="544">
        <v>524</v>
      </c>
      <c r="AN43" s="376">
        <v>493</v>
      </c>
      <c r="AO43" s="545">
        <v>1017</v>
      </c>
      <c r="AP43" s="542">
        <v>348</v>
      </c>
      <c r="AQ43" s="376">
        <v>331</v>
      </c>
      <c r="AR43" s="543">
        <v>679</v>
      </c>
      <c r="AS43" s="544">
        <v>189</v>
      </c>
      <c r="AT43" s="376">
        <v>170</v>
      </c>
      <c r="AU43" s="545">
        <v>359</v>
      </c>
      <c r="AV43" s="542">
        <v>146</v>
      </c>
      <c r="AW43" s="376">
        <v>178</v>
      </c>
      <c r="AX43" s="543">
        <v>324</v>
      </c>
    </row>
    <row r="44" spans="1:50" x14ac:dyDescent="0.3">
      <c r="A44" s="541" t="s">
        <v>96</v>
      </c>
      <c r="B44" s="431" t="s">
        <v>91</v>
      </c>
      <c r="C44" s="542">
        <v>1056</v>
      </c>
      <c r="D44" s="376">
        <v>1020</v>
      </c>
      <c r="E44" s="543">
        <v>2076</v>
      </c>
      <c r="F44" s="544">
        <v>1484</v>
      </c>
      <c r="G44" s="376">
        <v>1336</v>
      </c>
      <c r="H44" s="545">
        <v>2820</v>
      </c>
      <c r="I44" s="542">
        <v>1396</v>
      </c>
      <c r="J44" s="376">
        <v>1246</v>
      </c>
      <c r="K44" s="543">
        <v>2642</v>
      </c>
      <c r="L44" s="544">
        <v>1273</v>
      </c>
      <c r="M44" s="376">
        <v>1183</v>
      </c>
      <c r="N44" s="545">
        <v>2456</v>
      </c>
      <c r="O44" s="542">
        <v>1316</v>
      </c>
      <c r="P44" s="376">
        <v>1126</v>
      </c>
      <c r="Q44" s="543">
        <v>2442</v>
      </c>
      <c r="R44" s="544">
        <v>1265</v>
      </c>
      <c r="S44" s="376">
        <v>1221</v>
      </c>
      <c r="T44" s="545">
        <v>2486</v>
      </c>
      <c r="U44" s="542">
        <v>1200</v>
      </c>
      <c r="V44" s="376">
        <v>1244</v>
      </c>
      <c r="W44" s="543">
        <v>2444</v>
      </c>
      <c r="X44" s="544">
        <v>1162</v>
      </c>
      <c r="Y44" s="376">
        <v>1150</v>
      </c>
      <c r="Z44" s="545">
        <v>2312</v>
      </c>
      <c r="AA44" s="542">
        <v>1234</v>
      </c>
      <c r="AB44" s="376">
        <v>1313</v>
      </c>
      <c r="AC44" s="543">
        <v>2547</v>
      </c>
      <c r="AD44" s="542">
        <v>1282</v>
      </c>
      <c r="AE44" s="376">
        <v>1335</v>
      </c>
      <c r="AF44" s="543">
        <v>2617</v>
      </c>
      <c r="AG44" s="544">
        <v>1110</v>
      </c>
      <c r="AH44" s="376">
        <v>1065</v>
      </c>
      <c r="AI44" s="545">
        <v>2175</v>
      </c>
      <c r="AJ44" s="542">
        <v>690</v>
      </c>
      <c r="AK44" s="376">
        <v>554</v>
      </c>
      <c r="AL44" s="543">
        <v>1244</v>
      </c>
      <c r="AM44" s="544">
        <v>376</v>
      </c>
      <c r="AN44" s="376">
        <v>323</v>
      </c>
      <c r="AO44" s="545">
        <v>699</v>
      </c>
      <c r="AP44" s="542">
        <v>213</v>
      </c>
      <c r="AQ44" s="376">
        <v>190</v>
      </c>
      <c r="AR44" s="543">
        <v>403</v>
      </c>
      <c r="AS44" s="544">
        <v>95</v>
      </c>
      <c r="AT44" s="376">
        <v>103</v>
      </c>
      <c r="AU44" s="545">
        <v>198</v>
      </c>
      <c r="AV44" s="542">
        <v>113</v>
      </c>
      <c r="AW44" s="376">
        <v>168</v>
      </c>
      <c r="AX44" s="543">
        <v>281</v>
      </c>
    </row>
    <row r="45" spans="1:50" x14ac:dyDescent="0.3">
      <c r="A45" s="541" t="s">
        <v>97</v>
      </c>
      <c r="B45" s="431" t="s">
        <v>93</v>
      </c>
      <c r="C45" s="542">
        <v>965</v>
      </c>
      <c r="D45" s="376">
        <v>879</v>
      </c>
      <c r="E45" s="543">
        <v>1844</v>
      </c>
      <c r="F45" s="544">
        <v>1258</v>
      </c>
      <c r="G45" s="376">
        <v>1207</v>
      </c>
      <c r="H45" s="545">
        <v>2465</v>
      </c>
      <c r="I45" s="542">
        <v>1242</v>
      </c>
      <c r="J45" s="376">
        <v>1099</v>
      </c>
      <c r="K45" s="543">
        <v>2341</v>
      </c>
      <c r="L45" s="544">
        <v>1150</v>
      </c>
      <c r="M45" s="376">
        <v>1117</v>
      </c>
      <c r="N45" s="545">
        <v>2267</v>
      </c>
      <c r="O45" s="542">
        <v>1196</v>
      </c>
      <c r="P45" s="376">
        <v>1134</v>
      </c>
      <c r="Q45" s="543">
        <v>2330</v>
      </c>
      <c r="R45" s="544">
        <v>1195</v>
      </c>
      <c r="S45" s="376">
        <v>1273</v>
      </c>
      <c r="T45" s="545">
        <v>2468</v>
      </c>
      <c r="U45" s="542">
        <v>1193</v>
      </c>
      <c r="V45" s="376">
        <v>1170</v>
      </c>
      <c r="W45" s="543">
        <v>2363</v>
      </c>
      <c r="X45" s="544">
        <v>1051</v>
      </c>
      <c r="Y45" s="376">
        <v>1005</v>
      </c>
      <c r="Z45" s="545">
        <v>2056</v>
      </c>
      <c r="AA45" s="542">
        <v>1025</v>
      </c>
      <c r="AB45" s="376">
        <v>1022</v>
      </c>
      <c r="AC45" s="543">
        <v>2047</v>
      </c>
      <c r="AD45" s="542">
        <v>1021</v>
      </c>
      <c r="AE45" s="376">
        <v>1149</v>
      </c>
      <c r="AF45" s="543">
        <v>2170</v>
      </c>
      <c r="AG45" s="544">
        <v>976</v>
      </c>
      <c r="AH45" s="376">
        <v>1055</v>
      </c>
      <c r="AI45" s="545">
        <v>2031</v>
      </c>
      <c r="AJ45" s="542">
        <v>784</v>
      </c>
      <c r="AK45" s="376">
        <v>594</v>
      </c>
      <c r="AL45" s="543">
        <v>1378</v>
      </c>
      <c r="AM45" s="544">
        <v>412</v>
      </c>
      <c r="AN45" s="376">
        <v>285</v>
      </c>
      <c r="AO45" s="545">
        <v>697</v>
      </c>
      <c r="AP45" s="542">
        <v>201</v>
      </c>
      <c r="AQ45" s="376">
        <v>178</v>
      </c>
      <c r="AR45" s="543">
        <v>379</v>
      </c>
      <c r="AS45" s="544">
        <v>88</v>
      </c>
      <c r="AT45" s="376">
        <v>88</v>
      </c>
      <c r="AU45" s="545">
        <v>176</v>
      </c>
      <c r="AV45" s="542">
        <v>93</v>
      </c>
      <c r="AW45" s="376">
        <v>158</v>
      </c>
      <c r="AX45" s="543">
        <v>251</v>
      </c>
    </row>
    <row r="46" spans="1:50" ht="14.5" thickBot="1" x14ac:dyDescent="0.35">
      <c r="A46" s="546" t="s">
        <v>99</v>
      </c>
      <c r="B46" s="547" t="s">
        <v>95</v>
      </c>
      <c r="C46" s="548">
        <v>1141</v>
      </c>
      <c r="D46" s="380">
        <v>1130</v>
      </c>
      <c r="E46" s="549">
        <v>2271</v>
      </c>
      <c r="F46" s="550">
        <v>1676</v>
      </c>
      <c r="G46" s="380">
        <v>1518</v>
      </c>
      <c r="H46" s="551">
        <v>3194</v>
      </c>
      <c r="I46" s="548">
        <v>1498</v>
      </c>
      <c r="J46" s="380">
        <v>1367</v>
      </c>
      <c r="K46" s="549">
        <v>2865</v>
      </c>
      <c r="L46" s="550">
        <v>1078</v>
      </c>
      <c r="M46" s="380">
        <v>1081</v>
      </c>
      <c r="N46" s="551">
        <v>2159</v>
      </c>
      <c r="O46" s="548">
        <v>972</v>
      </c>
      <c r="P46" s="380">
        <v>1010</v>
      </c>
      <c r="Q46" s="549">
        <v>1982</v>
      </c>
      <c r="R46" s="550">
        <v>990</v>
      </c>
      <c r="S46" s="380">
        <v>1049</v>
      </c>
      <c r="T46" s="551">
        <v>2039</v>
      </c>
      <c r="U46" s="548">
        <v>1180</v>
      </c>
      <c r="V46" s="380">
        <v>1356</v>
      </c>
      <c r="W46" s="549">
        <v>2536</v>
      </c>
      <c r="X46" s="550">
        <v>1347</v>
      </c>
      <c r="Y46" s="380">
        <v>1412</v>
      </c>
      <c r="Z46" s="551">
        <v>2759</v>
      </c>
      <c r="AA46" s="548">
        <v>1354</v>
      </c>
      <c r="AB46" s="380">
        <v>1181</v>
      </c>
      <c r="AC46" s="549">
        <v>2535</v>
      </c>
      <c r="AD46" s="548">
        <v>988</v>
      </c>
      <c r="AE46" s="380">
        <v>915</v>
      </c>
      <c r="AF46" s="549">
        <v>1903</v>
      </c>
      <c r="AG46" s="550">
        <v>744</v>
      </c>
      <c r="AH46" s="380">
        <v>713</v>
      </c>
      <c r="AI46" s="551">
        <v>1457</v>
      </c>
      <c r="AJ46" s="548">
        <v>483</v>
      </c>
      <c r="AK46" s="380">
        <v>488</v>
      </c>
      <c r="AL46" s="549">
        <v>971</v>
      </c>
      <c r="AM46" s="550">
        <v>345</v>
      </c>
      <c r="AN46" s="380">
        <v>297</v>
      </c>
      <c r="AO46" s="551">
        <v>642</v>
      </c>
      <c r="AP46" s="548">
        <v>236</v>
      </c>
      <c r="AQ46" s="380">
        <v>292</v>
      </c>
      <c r="AR46" s="549">
        <v>528</v>
      </c>
      <c r="AS46" s="550">
        <v>154</v>
      </c>
      <c r="AT46" s="380">
        <v>159</v>
      </c>
      <c r="AU46" s="551">
        <v>313</v>
      </c>
      <c r="AV46" s="548">
        <v>138</v>
      </c>
      <c r="AW46" s="380">
        <v>180</v>
      </c>
      <c r="AX46" s="549">
        <v>318</v>
      </c>
    </row>
    <row r="47" spans="1:50" x14ac:dyDescent="0.3">
      <c r="A47" s="552" t="s">
        <v>101</v>
      </c>
      <c r="B47" s="553" t="s">
        <v>102</v>
      </c>
      <c r="C47" s="554">
        <v>6552</v>
      </c>
      <c r="D47" s="384">
        <v>6316</v>
      </c>
      <c r="E47" s="555">
        <v>12868</v>
      </c>
      <c r="F47" s="556">
        <v>9870</v>
      </c>
      <c r="G47" s="384">
        <v>8953</v>
      </c>
      <c r="H47" s="557">
        <v>18823</v>
      </c>
      <c r="I47" s="554">
        <v>9802</v>
      </c>
      <c r="J47" s="384">
        <v>8950</v>
      </c>
      <c r="K47" s="555">
        <v>18752</v>
      </c>
      <c r="L47" s="556">
        <v>9136</v>
      </c>
      <c r="M47" s="384">
        <v>8806</v>
      </c>
      <c r="N47" s="557">
        <v>17942</v>
      </c>
      <c r="O47" s="554">
        <v>9131</v>
      </c>
      <c r="P47" s="384">
        <v>8534</v>
      </c>
      <c r="Q47" s="555">
        <v>17665</v>
      </c>
      <c r="R47" s="556">
        <v>9170</v>
      </c>
      <c r="S47" s="384">
        <v>8947</v>
      </c>
      <c r="T47" s="557">
        <v>18117</v>
      </c>
      <c r="U47" s="554">
        <v>9086</v>
      </c>
      <c r="V47" s="384">
        <v>9540</v>
      </c>
      <c r="W47" s="555">
        <v>18626</v>
      </c>
      <c r="X47" s="556">
        <v>8820</v>
      </c>
      <c r="Y47" s="384">
        <v>9055</v>
      </c>
      <c r="Z47" s="557">
        <v>17875</v>
      </c>
      <c r="AA47" s="554">
        <v>9501</v>
      </c>
      <c r="AB47" s="384">
        <v>9881</v>
      </c>
      <c r="AC47" s="555">
        <v>19382</v>
      </c>
      <c r="AD47" s="554">
        <v>8886</v>
      </c>
      <c r="AE47" s="384">
        <v>9130</v>
      </c>
      <c r="AF47" s="555">
        <v>18016</v>
      </c>
      <c r="AG47" s="556">
        <v>7446</v>
      </c>
      <c r="AH47" s="384">
        <v>7968</v>
      </c>
      <c r="AI47" s="557">
        <v>15414</v>
      </c>
      <c r="AJ47" s="554">
        <v>6250</v>
      </c>
      <c r="AK47" s="384">
        <v>6618</v>
      </c>
      <c r="AL47" s="555">
        <v>12868</v>
      </c>
      <c r="AM47" s="556">
        <v>4694</v>
      </c>
      <c r="AN47" s="384">
        <v>5512</v>
      </c>
      <c r="AO47" s="557">
        <v>10206</v>
      </c>
      <c r="AP47" s="554">
        <v>3696</v>
      </c>
      <c r="AQ47" s="384">
        <v>4558</v>
      </c>
      <c r="AR47" s="555">
        <v>8254</v>
      </c>
      <c r="AS47" s="556">
        <v>2768</v>
      </c>
      <c r="AT47" s="384">
        <v>3003</v>
      </c>
      <c r="AU47" s="557">
        <v>5771</v>
      </c>
      <c r="AV47" s="554">
        <v>2308</v>
      </c>
      <c r="AW47" s="384">
        <v>2515</v>
      </c>
      <c r="AX47" s="555">
        <v>4823</v>
      </c>
    </row>
    <row r="48" spans="1:50" x14ac:dyDescent="0.3">
      <c r="A48" s="558" t="s">
        <v>104</v>
      </c>
      <c r="B48" s="440" t="s">
        <v>98</v>
      </c>
      <c r="C48" s="559">
        <v>1311</v>
      </c>
      <c r="D48" s="388">
        <v>1306</v>
      </c>
      <c r="E48" s="560">
        <v>2617</v>
      </c>
      <c r="F48" s="561">
        <v>1972</v>
      </c>
      <c r="G48" s="388">
        <v>1856</v>
      </c>
      <c r="H48" s="562">
        <v>3828</v>
      </c>
      <c r="I48" s="559">
        <v>2026</v>
      </c>
      <c r="J48" s="388">
        <v>1962</v>
      </c>
      <c r="K48" s="560">
        <v>3988</v>
      </c>
      <c r="L48" s="561">
        <v>1967</v>
      </c>
      <c r="M48" s="388">
        <v>1969</v>
      </c>
      <c r="N48" s="562">
        <v>3936</v>
      </c>
      <c r="O48" s="559">
        <v>1878</v>
      </c>
      <c r="P48" s="388">
        <v>1693</v>
      </c>
      <c r="Q48" s="560">
        <v>3571</v>
      </c>
      <c r="R48" s="561">
        <v>1780</v>
      </c>
      <c r="S48" s="388">
        <v>1726</v>
      </c>
      <c r="T48" s="562">
        <v>3506</v>
      </c>
      <c r="U48" s="559">
        <v>1764</v>
      </c>
      <c r="V48" s="388">
        <v>1845</v>
      </c>
      <c r="W48" s="560">
        <v>3609</v>
      </c>
      <c r="X48" s="561">
        <v>1739</v>
      </c>
      <c r="Y48" s="388">
        <v>1825</v>
      </c>
      <c r="Z48" s="562">
        <v>3564</v>
      </c>
      <c r="AA48" s="559">
        <v>1991</v>
      </c>
      <c r="AB48" s="388">
        <v>2159</v>
      </c>
      <c r="AC48" s="560">
        <v>4150</v>
      </c>
      <c r="AD48" s="559">
        <v>1959</v>
      </c>
      <c r="AE48" s="388">
        <v>1875</v>
      </c>
      <c r="AF48" s="560">
        <v>3834</v>
      </c>
      <c r="AG48" s="561">
        <v>1581</v>
      </c>
      <c r="AH48" s="388">
        <v>1615</v>
      </c>
      <c r="AI48" s="562">
        <v>3196</v>
      </c>
      <c r="AJ48" s="559">
        <v>1348</v>
      </c>
      <c r="AK48" s="388">
        <v>1396</v>
      </c>
      <c r="AL48" s="560">
        <v>2744</v>
      </c>
      <c r="AM48" s="561">
        <v>944</v>
      </c>
      <c r="AN48" s="388">
        <v>1039</v>
      </c>
      <c r="AO48" s="562">
        <v>1983</v>
      </c>
      <c r="AP48" s="559">
        <v>728</v>
      </c>
      <c r="AQ48" s="388">
        <v>880</v>
      </c>
      <c r="AR48" s="560">
        <v>1608</v>
      </c>
      <c r="AS48" s="561">
        <v>537</v>
      </c>
      <c r="AT48" s="388">
        <v>584</v>
      </c>
      <c r="AU48" s="562">
        <v>1121</v>
      </c>
      <c r="AV48" s="559">
        <v>485</v>
      </c>
      <c r="AW48" s="388">
        <v>546</v>
      </c>
      <c r="AX48" s="560">
        <v>1031</v>
      </c>
    </row>
    <row r="49" spans="1:50" x14ac:dyDescent="0.3">
      <c r="A49" s="558" t="s">
        <v>106</v>
      </c>
      <c r="B49" s="440" t="s">
        <v>100</v>
      </c>
      <c r="C49" s="559">
        <v>1181</v>
      </c>
      <c r="D49" s="388">
        <v>1007</v>
      </c>
      <c r="E49" s="560">
        <v>2188</v>
      </c>
      <c r="F49" s="561">
        <v>1564</v>
      </c>
      <c r="G49" s="388">
        <v>1466</v>
      </c>
      <c r="H49" s="562">
        <v>3030</v>
      </c>
      <c r="I49" s="559">
        <v>1503</v>
      </c>
      <c r="J49" s="388">
        <v>1315</v>
      </c>
      <c r="K49" s="560">
        <v>2818</v>
      </c>
      <c r="L49" s="561">
        <v>1394</v>
      </c>
      <c r="M49" s="388">
        <v>1280</v>
      </c>
      <c r="N49" s="562">
        <v>2674</v>
      </c>
      <c r="O49" s="559">
        <v>1425</v>
      </c>
      <c r="P49" s="388">
        <v>1368</v>
      </c>
      <c r="Q49" s="560">
        <v>2793</v>
      </c>
      <c r="R49" s="561">
        <v>1583</v>
      </c>
      <c r="S49" s="388">
        <v>1492</v>
      </c>
      <c r="T49" s="562">
        <v>3075</v>
      </c>
      <c r="U49" s="559">
        <v>1579</v>
      </c>
      <c r="V49" s="388">
        <v>1658</v>
      </c>
      <c r="W49" s="560">
        <v>3237</v>
      </c>
      <c r="X49" s="561">
        <v>1537</v>
      </c>
      <c r="Y49" s="388">
        <v>1563</v>
      </c>
      <c r="Z49" s="562">
        <v>3100</v>
      </c>
      <c r="AA49" s="559">
        <v>1571</v>
      </c>
      <c r="AB49" s="388">
        <v>1509</v>
      </c>
      <c r="AC49" s="560">
        <v>3080</v>
      </c>
      <c r="AD49" s="559">
        <v>1301</v>
      </c>
      <c r="AE49" s="388">
        <v>1413</v>
      </c>
      <c r="AF49" s="560">
        <v>2714</v>
      </c>
      <c r="AG49" s="561">
        <v>1171</v>
      </c>
      <c r="AH49" s="388">
        <v>1268</v>
      </c>
      <c r="AI49" s="562">
        <v>2439</v>
      </c>
      <c r="AJ49" s="559">
        <v>1003</v>
      </c>
      <c r="AK49" s="388">
        <v>1142</v>
      </c>
      <c r="AL49" s="560">
        <v>2145</v>
      </c>
      <c r="AM49" s="561">
        <v>851</v>
      </c>
      <c r="AN49" s="388">
        <v>1040</v>
      </c>
      <c r="AO49" s="562">
        <v>1891</v>
      </c>
      <c r="AP49" s="559">
        <v>691</v>
      </c>
      <c r="AQ49" s="388">
        <v>817</v>
      </c>
      <c r="AR49" s="560">
        <v>1508</v>
      </c>
      <c r="AS49" s="561">
        <v>475</v>
      </c>
      <c r="AT49" s="388">
        <v>462</v>
      </c>
      <c r="AU49" s="562">
        <v>937</v>
      </c>
      <c r="AV49" s="559">
        <v>340</v>
      </c>
      <c r="AW49" s="388">
        <v>374</v>
      </c>
      <c r="AX49" s="560">
        <v>714</v>
      </c>
    </row>
    <row r="50" spans="1:50" x14ac:dyDescent="0.3">
      <c r="A50" s="558" t="s">
        <v>108</v>
      </c>
      <c r="B50" s="440" t="s">
        <v>103</v>
      </c>
      <c r="C50" s="559">
        <v>1696</v>
      </c>
      <c r="D50" s="388">
        <v>1762</v>
      </c>
      <c r="E50" s="560">
        <v>3458</v>
      </c>
      <c r="F50" s="561">
        <v>2808</v>
      </c>
      <c r="G50" s="388">
        <v>2430</v>
      </c>
      <c r="H50" s="562">
        <v>5238</v>
      </c>
      <c r="I50" s="559">
        <v>2636</v>
      </c>
      <c r="J50" s="388">
        <v>2418</v>
      </c>
      <c r="K50" s="560">
        <v>5054</v>
      </c>
      <c r="L50" s="561">
        <v>2511</v>
      </c>
      <c r="M50" s="388">
        <v>2346</v>
      </c>
      <c r="N50" s="562">
        <v>4857</v>
      </c>
      <c r="O50" s="559">
        <v>2525</v>
      </c>
      <c r="P50" s="388">
        <v>2309</v>
      </c>
      <c r="Q50" s="560">
        <v>4834</v>
      </c>
      <c r="R50" s="561">
        <v>2470</v>
      </c>
      <c r="S50" s="388">
        <v>2493</v>
      </c>
      <c r="T50" s="562">
        <v>4963</v>
      </c>
      <c r="U50" s="559">
        <v>2515</v>
      </c>
      <c r="V50" s="388">
        <v>2614</v>
      </c>
      <c r="W50" s="560">
        <v>5129</v>
      </c>
      <c r="X50" s="561">
        <v>2374</v>
      </c>
      <c r="Y50" s="388">
        <v>2372</v>
      </c>
      <c r="Z50" s="562">
        <v>4746</v>
      </c>
      <c r="AA50" s="559">
        <v>2391</v>
      </c>
      <c r="AB50" s="388">
        <v>2493</v>
      </c>
      <c r="AC50" s="560">
        <v>4884</v>
      </c>
      <c r="AD50" s="559">
        <v>2291</v>
      </c>
      <c r="AE50" s="388">
        <v>2402</v>
      </c>
      <c r="AF50" s="560">
        <v>4693</v>
      </c>
      <c r="AG50" s="561">
        <v>1984</v>
      </c>
      <c r="AH50" s="388">
        <v>2080</v>
      </c>
      <c r="AI50" s="562">
        <v>4064</v>
      </c>
      <c r="AJ50" s="559">
        <v>1603</v>
      </c>
      <c r="AK50" s="388">
        <v>1761</v>
      </c>
      <c r="AL50" s="560">
        <v>3364</v>
      </c>
      <c r="AM50" s="561">
        <v>1242</v>
      </c>
      <c r="AN50" s="388">
        <v>1511</v>
      </c>
      <c r="AO50" s="562">
        <v>2753</v>
      </c>
      <c r="AP50" s="559">
        <v>1036</v>
      </c>
      <c r="AQ50" s="388">
        <v>1178</v>
      </c>
      <c r="AR50" s="560">
        <v>2214</v>
      </c>
      <c r="AS50" s="561">
        <v>696</v>
      </c>
      <c r="AT50" s="388">
        <v>738</v>
      </c>
      <c r="AU50" s="562">
        <v>1434</v>
      </c>
      <c r="AV50" s="559">
        <v>557</v>
      </c>
      <c r="AW50" s="388">
        <v>641</v>
      </c>
      <c r="AX50" s="560">
        <v>1198</v>
      </c>
    </row>
    <row r="51" spans="1:50" x14ac:dyDescent="0.3">
      <c r="A51" s="558" t="s">
        <v>109</v>
      </c>
      <c r="B51" s="440" t="s">
        <v>105</v>
      </c>
      <c r="C51" s="559">
        <v>1131</v>
      </c>
      <c r="D51" s="388">
        <v>1070</v>
      </c>
      <c r="E51" s="560">
        <v>2201</v>
      </c>
      <c r="F51" s="561">
        <v>1677</v>
      </c>
      <c r="G51" s="388">
        <v>1500</v>
      </c>
      <c r="H51" s="562">
        <v>3177</v>
      </c>
      <c r="I51" s="559">
        <v>1657</v>
      </c>
      <c r="J51" s="388">
        <v>1494</v>
      </c>
      <c r="K51" s="560">
        <v>3151</v>
      </c>
      <c r="L51" s="561">
        <v>1433</v>
      </c>
      <c r="M51" s="388">
        <v>1476</v>
      </c>
      <c r="N51" s="562">
        <v>2909</v>
      </c>
      <c r="O51" s="559">
        <v>1504</v>
      </c>
      <c r="P51" s="388">
        <v>1459</v>
      </c>
      <c r="Q51" s="560">
        <v>2963</v>
      </c>
      <c r="R51" s="561">
        <v>1613</v>
      </c>
      <c r="S51" s="388">
        <v>1537</v>
      </c>
      <c r="T51" s="562">
        <v>3150</v>
      </c>
      <c r="U51" s="559">
        <v>1489</v>
      </c>
      <c r="V51" s="388">
        <v>1652</v>
      </c>
      <c r="W51" s="560">
        <v>3141</v>
      </c>
      <c r="X51" s="561">
        <v>1550</v>
      </c>
      <c r="Y51" s="388">
        <v>1583</v>
      </c>
      <c r="Z51" s="562">
        <v>3133</v>
      </c>
      <c r="AA51" s="559">
        <v>1643</v>
      </c>
      <c r="AB51" s="388">
        <v>1687</v>
      </c>
      <c r="AC51" s="560">
        <v>3330</v>
      </c>
      <c r="AD51" s="559">
        <v>1476</v>
      </c>
      <c r="AE51" s="388">
        <v>1517</v>
      </c>
      <c r="AF51" s="560">
        <v>2993</v>
      </c>
      <c r="AG51" s="561">
        <v>1195</v>
      </c>
      <c r="AH51" s="388">
        <v>1339</v>
      </c>
      <c r="AI51" s="562">
        <v>2534</v>
      </c>
      <c r="AJ51" s="559">
        <v>1003</v>
      </c>
      <c r="AK51" s="388">
        <v>1045</v>
      </c>
      <c r="AL51" s="560">
        <v>2048</v>
      </c>
      <c r="AM51" s="561">
        <v>780</v>
      </c>
      <c r="AN51" s="388">
        <v>854</v>
      </c>
      <c r="AO51" s="562">
        <v>1634</v>
      </c>
      <c r="AP51" s="559">
        <v>578</v>
      </c>
      <c r="AQ51" s="388">
        <v>788</v>
      </c>
      <c r="AR51" s="560">
        <v>1366</v>
      </c>
      <c r="AS51" s="561">
        <v>485</v>
      </c>
      <c r="AT51" s="388">
        <v>580</v>
      </c>
      <c r="AU51" s="562">
        <v>1065</v>
      </c>
      <c r="AV51" s="559">
        <v>429</v>
      </c>
      <c r="AW51" s="388">
        <v>450</v>
      </c>
      <c r="AX51" s="560">
        <v>879</v>
      </c>
    </row>
    <row r="52" spans="1:50" ht="14.5" thickBot="1" x14ac:dyDescent="0.35">
      <c r="A52" s="563" t="s">
        <v>111</v>
      </c>
      <c r="B52" s="446" t="s">
        <v>107</v>
      </c>
      <c r="C52" s="564">
        <v>1233</v>
      </c>
      <c r="D52" s="392">
        <v>1171</v>
      </c>
      <c r="E52" s="565">
        <v>2404</v>
      </c>
      <c r="F52" s="566">
        <v>1849</v>
      </c>
      <c r="G52" s="392">
        <v>1701</v>
      </c>
      <c r="H52" s="567">
        <v>3550</v>
      </c>
      <c r="I52" s="564">
        <v>1980</v>
      </c>
      <c r="J52" s="392">
        <v>1761</v>
      </c>
      <c r="K52" s="565">
        <v>3741</v>
      </c>
      <c r="L52" s="566">
        <v>1831</v>
      </c>
      <c r="M52" s="392">
        <v>1735</v>
      </c>
      <c r="N52" s="567">
        <v>3566</v>
      </c>
      <c r="O52" s="564">
        <v>1799</v>
      </c>
      <c r="P52" s="392">
        <v>1705</v>
      </c>
      <c r="Q52" s="565">
        <v>3504</v>
      </c>
      <c r="R52" s="566">
        <v>1724</v>
      </c>
      <c r="S52" s="392">
        <v>1699</v>
      </c>
      <c r="T52" s="567">
        <v>3423</v>
      </c>
      <c r="U52" s="564">
        <v>1739</v>
      </c>
      <c r="V52" s="392">
        <v>1771</v>
      </c>
      <c r="W52" s="565">
        <v>3510</v>
      </c>
      <c r="X52" s="566">
        <v>1620</v>
      </c>
      <c r="Y52" s="392">
        <v>1712</v>
      </c>
      <c r="Z52" s="567">
        <v>3332</v>
      </c>
      <c r="AA52" s="564">
        <v>1905</v>
      </c>
      <c r="AB52" s="392">
        <v>2033</v>
      </c>
      <c r="AC52" s="565">
        <v>3938</v>
      </c>
      <c r="AD52" s="564">
        <v>1859</v>
      </c>
      <c r="AE52" s="392">
        <v>1923</v>
      </c>
      <c r="AF52" s="565">
        <v>3782</v>
      </c>
      <c r="AG52" s="566">
        <v>1515</v>
      </c>
      <c r="AH52" s="392">
        <v>1666</v>
      </c>
      <c r="AI52" s="567">
        <v>3181</v>
      </c>
      <c r="AJ52" s="564">
        <v>1293</v>
      </c>
      <c r="AK52" s="392">
        <v>1274</v>
      </c>
      <c r="AL52" s="565">
        <v>2567</v>
      </c>
      <c r="AM52" s="566">
        <v>877</v>
      </c>
      <c r="AN52" s="392">
        <v>1068</v>
      </c>
      <c r="AO52" s="567">
        <v>1945</v>
      </c>
      <c r="AP52" s="564">
        <v>663</v>
      </c>
      <c r="AQ52" s="392">
        <v>895</v>
      </c>
      <c r="AR52" s="565">
        <v>1558</v>
      </c>
      <c r="AS52" s="566">
        <v>575</v>
      </c>
      <c r="AT52" s="392">
        <v>639</v>
      </c>
      <c r="AU52" s="567">
        <v>1214</v>
      </c>
      <c r="AV52" s="564">
        <v>497</v>
      </c>
      <c r="AW52" s="392">
        <v>504</v>
      </c>
      <c r="AX52" s="565">
        <v>1001</v>
      </c>
    </row>
    <row r="53" spans="1:50" x14ac:dyDescent="0.3">
      <c r="A53" s="534" t="s">
        <v>113</v>
      </c>
      <c r="B53" s="535" t="s">
        <v>112</v>
      </c>
      <c r="C53" s="536">
        <v>7711</v>
      </c>
      <c r="D53" s="372">
        <v>7259</v>
      </c>
      <c r="E53" s="537">
        <v>14970</v>
      </c>
      <c r="F53" s="538">
        <v>10716</v>
      </c>
      <c r="G53" s="372">
        <v>10474</v>
      </c>
      <c r="H53" s="539">
        <v>21190</v>
      </c>
      <c r="I53" s="536">
        <v>11193</v>
      </c>
      <c r="J53" s="372">
        <v>10452</v>
      </c>
      <c r="K53" s="537">
        <v>21645</v>
      </c>
      <c r="L53" s="538">
        <v>10650</v>
      </c>
      <c r="M53" s="372">
        <v>10152</v>
      </c>
      <c r="N53" s="539">
        <v>20802</v>
      </c>
      <c r="O53" s="536">
        <v>10560</v>
      </c>
      <c r="P53" s="372">
        <v>9810</v>
      </c>
      <c r="Q53" s="537">
        <v>20370</v>
      </c>
      <c r="R53" s="538">
        <v>10162</v>
      </c>
      <c r="S53" s="372">
        <v>10253</v>
      </c>
      <c r="T53" s="539">
        <v>20415</v>
      </c>
      <c r="U53" s="536">
        <v>9879</v>
      </c>
      <c r="V53" s="372">
        <v>10142</v>
      </c>
      <c r="W53" s="537">
        <v>20021</v>
      </c>
      <c r="X53" s="538">
        <v>9084</v>
      </c>
      <c r="Y53" s="372">
        <v>9569</v>
      </c>
      <c r="Z53" s="539">
        <v>18653</v>
      </c>
      <c r="AA53" s="536">
        <v>9652</v>
      </c>
      <c r="AB53" s="372">
        <v>10098</v>
      </c>
      <c r="AC53" s="537">
        <v>19750</v>
      </c>
      <c r="AD53" s="536">
        <v>9041</v>
      </c>
      <c r="AE53" s="372">
        <v>9620</v>
      </c>
      <c r="AF53" s="537">
        <v>18661</v>
      </c>
      <c r="AG53" s="538">
        <v>8246</v>
      </c>
      <c r="AH53" s="372">
        <v>8724</v>
      </c>
      <c r="AI53" s="539">
        <v>16970</v>
      </c>
      <c r="AJ53" s="536">
        <v>6915</v>
      </c>
      <c r="AK53" s="372">
        <v>7038</v>
      </c>
      <c r="AL53" s="537">
        <v>13953</v>
      </c>
      <c r="AM53" s="538">
        <v>5044</v>
      </c>
      <c r="AN53" s="372">
        <v>5362</v>
      </c>
      <c r="AO53" s="539">
        <v>10406</v>
      </c>
      <c r="AP53" s="536">
        <v>3353</v>
      </c>
      <c r="AQ53" s="372">
        <v>3569</v>
      </c>
      <c r="AR53" s="537">
        <v>6922</v>
      </c>
      <c r="AS53" s="538">
        <v>1977</v>
      </c>
      <c r="AT53" s="372">
        <v>2176</v>
      </c>
      <c r="AU53" s="539">
        <v>4153</v>
      </c>
      <c r="AV53" s="536">
        <v>1767</v>
      </c>
      <c r="AW53" s="372">
        <v>2342</v>
      </c>
      <c r="AX53" s="537">
        <v>4109</v>
      </c>
    </row>
    <row r="54" spans="1:50" x14ac:dyDescent="0.3">
      <c r="A54" s="541" t="s">
        <v>115</v>
      </c>
      <c r="B54" s="431" t="s">
        <v>110</v>
      </c>
      <c r="C54" s="542">
        <v>1328</v>
      </c>
      <c r="D54" s="376">
        <v>1195</v>
      </c>
      <c r="E54" s="543">
        <v>2523</v>
      </c>
      <c r="F54" s="544">
        <v>1737</v>
      </c>
      <c r="G54" s="376">
        <v>1705</v>
      </c>
      <c r="H54" s="545">
        <v>3442</v>
      </c>
      <c r="I54" s="542">
        <v>1856</v>
      </c>
      <c r="J54" s="376">
        <v>1724</v>
      </c>
      <c r="K54" s="543">
        <v>3580</v>
      </c>
      <c r="L54" s="544">
        <v>1707</v>
      </c>
      <c r="M54" s="376">
        <v>1671</v>
      </c>
      <c r="N54" s="545">
        <v>3378</v>
      </c>
      <c r="O54" s="542">
        <v>1708</v>
      </c>
      <c r="P54" s="376">
        <v>1635</v>
      </c>
      <c r="Q54" s="543">
        <v>3343</v>
      </c>
      <c r="R54" s="544">
        <v>1728</v>
      </c>
      <c r="S54" s="376">
        <v>1697</v>
      </c>
      <c r="T54" s="545">
        <v>3425</v>
      </c>
      <c r="U54" s="542">
        <v>1687</v>
      </c>
      <c r="V54" s="376">
        <v>1650</v>
      </c>
      <c r="W54" s="543">
        <v>3337</v>
      </c>
      <c r="X54" s="544">
        <v>1547</v>
      </c>
      <c r="Y54" s="376">
        <v>1632</v>
      </c>
      <c r="Z54" s="545">
        <v>3179</v>
      </c>
      <c r="AA54" s="542">
        <v>1641</v>
      </c>
      <c r="AB54" s="376">
        <v>1643</v>
      </c>
      <c r="AC54" s="543">
        <v>3284</v>
      </c>
      <c r="AD54" s="542">
        <v>1440</v>
      </c>
      <c r="AE54" s="376">
        <v>1510</v>
      </c>
      <c r="AF54" s="543">
        <v>2950</v>
      </c>
      <c r="AG54" s="544">
        <v>1351</v>
      </c>
      <c r="AH54" s="376">
        <v>1424</v>
      </c>
      <c r="AI54" s="545">
        <v>2775</v>
      </c>
      <c r="AJ54" s="542">
        <v>1155</v>
      </c>
      <c r="AK54" s="376">
        <v>1212</v>
      </c>
      <c r="AL54" s="543">
        <v>2367</v>
      </c>
      <c r="AM54" s="544">
        <v>845</v>
      </c>
      <c r="AN54" s="376">
        <v>927</v>
      </c>
      <c r="AO54" s="545">
        <v>1772</v>
      </c>
      <c r="AP54" s="542">
        <v>611</v>
      </c>
      <c r="AQ54" s="376">
        <v>683</v>
      </c>
      <c r="AR54" s="543">
        <v>1294</v>
      </c>
      <c r="AS54" s="544">
        <v>380</v>
      </c>
      <c r="AT54" s="376">
        <v>390</v>
      </c>
      <c r="AU54" s="545">
        <v>770</v>
      </c>
      <c r="AV54" s="542">
        <v>332</v>
      </c>
      <c r="AW54" s="376">
        <v>425</v>
      </c>
      <c r="AX54" s="543">
        <v>757</v>
      </c>
    </row>
    <row r="55" spans="1:50" x14ac:dyDescent="0.3">
      <c r="A55" s="541" t="s">
        <v>117</v>
      </c>
      <c r="B55" s="431" t="s">
        <v>112</v>
      </c>
      <c r="C55" s="542">
        <v>1132</v>
      </c>
      <c r="D55" s="376">
        <v>1035</v>
      </c>
      <c r="E55" s="543">
        <v>2167</v>
      </c>
      <c r="F55" s="544">
        <v>1618</v>
      </c>
      <c r="G55" s="376">
        <v>1622</v>
      </c>
      <c r="H55" s="545">
        <v>3240</v>
      </c>
      <c r="I55" s="542">
        <v>1714</v>
      </c>
      <c r="J55" s="376">
        <v>1603</v>
      </c>
      <c r="K55" s="543">
        <v>3317</v>
      </c>
      <c r="L55" s="544">
        <v>1618</v>
      </c>
      <c r="M55" s="376">
        <v>1548</v>
      </c>
      <c r="N55" s="545">
        <v>3166</v>
      </c>
      <c r="O55" s="542">
        <v>1643</v>
      </c>
      <c r="P55" s="376">
        <v>1467</v>
      </c>
      <c r="Q55" s="543">
        <v>3110</v>
      </c>
      <c r="R55" s="544">
        <v>1560</v>
      </c>
      <c r="S55" s="376">
        <v>1518</v>
      </c>
      <c r="T55" s="545">
        <v>3078</v>
      </c>
      <c r="U55" s="542">
        <v>1571</v>
      </c>
      <c r="V55" s="376">
        <v>1522</v>
      </c>
      <c r="W55" s="543">
        <v>3093</v>
      </c>
      <c r="X55" s="544">
        <v>1447</v>
      </c>
      <c r="Y55" s="376">
        <v>1501</v>
      </c>
      <c r="Z55" s="545">
        <v>2948</v>
      </c>
      <c r="AA55" s="542">
        <v>1580</v>
      </c>
      <c r="AB55" s="376">
        <v>1635</v>
      </c>
      <c r="AC55" s="543">
        <v>3215</v>
      </c>
      <c r="AD55" s="542">
        <v>1422</v>
      </c>
      <c r="AE55" s="376">
        <v>1525</v>
      </c>
      <c r="AF55" s="543">
        <v>2947</v>
      </c>
      <c r="AG55" s="544">
        <v>1194</v>
      </c>
      <c r="AH55" s="376">
        <v>1241</v>
      </c>
      <c r="AI55" s="545">
        <v>2435</v>
      </c>
      <c r="AJ55" s="542">
        <v>1013</v>
      </c>
      <c r="AK55" s="376">
        <v>1060</v>
      </c>
      <c r="AL55" s="543">
        <v>2073</v>
      </c>
      <c r="AM55" s="544">
        <v>770</v>
      </c>
      <c r="AN55" s="376">
        <v>840</v>
      </c>
      <c r="AO55" s="545">
        <v>1610</v>
      </c>
      <c r="AP55" s="542">
        <v>484</v>
      </c>
      <c r="AQ55" s="376">
        <v>605</v>
      </c>
      <c r="AR55" s="543">
        <v>1089</v>
      </c>
      <c r="AS55" s="544">
        <v>344</v>
      </c>
      <c r="AT55" s="376">
        <v>396</v>
      </c>
      <c r="AU55" s="545">
        <v>740</v>
      </c>
      <c r="AV55" s="542">
        <v>265</v>
      </c>
      <c r="AW55" s="376">
        <v>350</v>
      </c>
      <c r="AX55" s="543">
        <v>615</v>
      </c>
    </row>
    <row r="56" spans="1:50" x14ac:dyDescent="0.3">
      <c r="A56" s="541" t="s">
        <v>119</v>
      </c>
      <c r="B56" s="431" t="s">
        <v>114</v>
      </c>
      <c r="C56" s="542">
        <v>1488</v>
      </c>
      <c r="D56" s="376">
        <v>1388</v>
      </c>
      <c r="E56" s="543">
        <v>2876</v>
      </c>
      <c r="F56" s="544">
        <v>2107</v>
      </c>
      <c r="G56" s="376">
        <v>2055</v>
      </c>
      <c r="H56" s="545">
        <v>4162</v>
      </c>
      <c r="I56" s="542">
        <v>2021</v>
      </c>
      <c r="J56" s="376">
        <v>1928</v>
      </c>
      <c r="K56" s="543">
        <v>3949</v>
      </c>
      <c r="L56" s="544">
        <v>1912</v>
      </c>
      <c r="M56" s="376">
        <v>1784</v>
      </c>
      <c r="N56" s="545">
        <v>3696</v>
      </c>
      <c r="O56" s="542">
        <v>1814</v>
      </c>
      <c r="P56" s="376">
        <v>1691</v>
      </c>
      <c r="Q56" s="543">
        <v>3505</v>
      </c>
      <c r="R56" s="544">
        <v>1806</v>
      </c>
      <c r="S56" s="376">
        <v>1827</v>
      </c>
      <c r="T56" s="545">
        <v>3633</v>
      </c>
      <c r="U56" s="542">
        <v>1918</v>
      </c>
      <c r="V56" s="376">
        <v>1985</v>
      </c>
      <c r="W56" s="543">
        <v>3903</v>
      </c>
      <c r="X56" s="544">
        <v>1878</v>
      </c>
      <c r="Y56" s="376">
        <v>1989</v>
      </c>
      <c r="Z56" s="545">
        <v>3867</v>
      </c>
      <c r="AA56" s="542">
        <v>1980</v>
      </c>
      <c r="AB56" s="376">
        <v>2018</v>
      </c>
      <c r="AC56" s="543">
        <v>3998</v>
      </c>
      <c r="AD56" s="542">
        <v>1748</v>
      </c>
      <c r="AE56" s="376">
        <v>1767</v>
      </c>
      <c r="AF56" s="543">
        <v>3515</v>
      </c>
      <c r="AG56" s="544">
        <v>1415</v>
      </c>
      <c r="AH56" s="376">
        <v>1508</v>
      </c>
      <c r="AI56" s="545">
        <v>2923</v>
      </c>
      <c r="AJ56" s="542">
        <v>1143</v>
      </c>
      <c r="AK56" s="376">
        <v>1228</v>
      </c>
      <c r="AL56" s="543">
        <v>2371</v>
      </c>
      <c r="AM56" s="544">
        <v>914</v>
      </c>
      <c r="AN56" s="376">
        <v>1132</v>
      </c>
      <c r="AO56" s="545">
        <v>2046</v>
      </c>
      <c r="AP56" s="542">
        <v>758</v>
      </c>
      <c r="AQ56" s="376">
        <v>807</v>
      </c>
      <c r="AR56" s="543">
        <v>1565</v>
      </c>
      <c r="AS56" s="544">
        <v>426</v>
      </c>
      <c r="AT56" s="376">
        <v>493</v>
      </c>
      <c r="AU56" s="545">
        <v>919</v>
      </c>
      <c r="AV56" s="542">
        <v>350</v>
      </c>
      <c r="AW56" s="376">
        <v>399</v>
      </c>
      <c r="AX56" s="543">
        <v>749</v>
      </c>
    </row>
    <row r="57" spans="1:50" x14ac:dyDescent="0.3">
      <c r="A57" s="541" t="s">
        <v>121</v>
      </c>
      <c r="B57" s="431" t="s">
        <v>116</v>
      </c>
      <c r="C57" s="542">
        <v>1329</v>
      </c>
      <c r="D57" s="376">
        <v>1193</v>
      </c>
      <c r="E57" s="543">
        <v>2522</v>
      </c>
      <c r="F57" s="544">
        <v>1731</v>
      </c>
      <c r="G57" s="376">
        <v>1640</v>
      </c>
      <c r="H57" s="545">
        <v>3371</v>
      </c>
      <c r="I57" s="542">
        <v>1745</v>
      </c>
      <c r="J57" s="376">
        <v>1658</v>
      </c>
      <c r="K57" s="543">
        <v>3403</v>
      </c>
      <c r="L57" s="544">
        <v>1679</v>
      </c>
      <c r="M57" s="376">
        <v>1595</v>
      </c>
      <c r="N57" s="545">
        <v>3274</v>
      </c>
      <c r="O57" s="542">
        <v>1718</v>
      </c>
      <c r="P57" s="376">
        <v>1563</v>
      </c>
      <c r="Q57" s="543">
        <v>3281</v>
      </c>
      <c r="R57" s="544">
        <v>1876</v>
      </c>
      <c r="S57" s="376">
        <v>1897</v>
      </c>
      <c r="T57" s="545">
        <v>3773</v>
      </c>
      <c r="U57" s="542">
        <v>1788</v>
      </c>
      <c r="V57" s="376">
        <v>1837</v>
      </c>
      <c r="W57" s="543">
        <v>3625</v>
      </c>
      <c r="X57" s="544">
        <v>1553</v>
      </c>
      <c r="Y57" s="376">
        <v>1529</v>
      </c>
      <c r="Z57" s="545">
        <v>3082</v>
      </c>
      <c r="AA57" s="542">
        <v>1524</v>
      </c>
      <c r="AB57" s="376">
        <v>1581</v>
      </c>
      <c r="AC57" s="543">
        <v>3105</v>
      </c>
      <c r="AD57" s="542">
        <v>1397</v>
      </c>
      <c r="AE57" s="376">
        <v>1476</v>
      </c>
      <c r="AF57" s="543">
        <v>2873</v>
      </c>
      <c r="AG57" s="544">
        <v>1219</v>
      </c>
      <c r="AH57" s="376">
        <v>1375</v>
      </c>
      <c r="AI57" s="545">
        <v>2594</v>
      </c>
      <c r="AJ57" s="542">
        <v>1117</v>
      </c>
      <c r="AK57" s="376">
        <v>1352</v>
      </c>
      <c r="AL57" s="543">
        <v>2469</v>
      </c>
      <c r="AM57" s="544">
        <v>1083</v>
      </c>
      <c r="AN57" s="376">
        <v>1170</v>
      </c>
      <c r="AO57" s="545">
        <v>2253</v>
      </c>
      <c r="AP57" s="542">
        <v>701</v>
      </c>
      <c r="AQ57" s="376">
        <v>629</v>
      </c>
      <c r="AR57" s="543">
        <v>1330</v>
      </c>
      <c r="AS57" s="544">
        <v>352</v>
      </c>
      <c r="AT57" s="376">
        <v>333</v>
      </c>
      <c r="AU57" s="545">
        <v>685</v>
      </c>
      <c r="AV57" s="542">
        <v>252</v>
      </c>
      <c r="AW57" s="376">
        <v>340</v>
      </c>
      <c r="AX57" s="543">
        <v>592</v>
      </c>
    </row>
    <row r="58" spans="1:50" x14ac:dyDescent="0.3">
      <c r="A58" s="541" t="s">
        <v>122</v>
      </c>
      <c r="B58" s="431" t="s">
        <v>118</v>
      </c>
      <c r="C58" s="542">
        <v>1217</v>
      </c>
      <c r="D58" s="376">
        <v>1223</v>
      </c>
      <c r="E58" s="543">
        <v>2440</v>
      </c>
      <c r="F58" s="544">
        <v>1727</v>
      </c>
      <c r="G58" s="376">
        <v>1726</v>
      </c>
      <c r="H58" s="545">
        <v>3453</v>
      </c>
      <c r="I58" s="542">
        <v>1805</v>
      </c>
      <c r="J58" s="376">
        <v>1694</v>
      </c>
      <c r="K58" s="543">
        <v>3499</v>
      </c>
      <c r="L58" s="544">
        <v>1621</v>
      </c>
      <c r="M58" s="376">
        <v>1570</v>
      </c>
      <c r="N58" s="545">
        <v>3191</v>
      </c>
      <c r="O58" s="542">
        <v>1589</v>
      </c>
      <c r="P58" s="376">
        <v>1540</v>
      </c>
      <c r="Q58" s="543">
        <v>3129</v>
      </c>
      <c r="R58" s="544">
        <v>1413</v>
      </c>
      <c r="S58" s="376">
        <v>1555</v>
      </c>
      <c r="T58" s="545">
        <v>2968</v>
      </c>
      <c r="U58" s="542">
        <v>1441</v>
      </c>
      <c r="V58" s="376">
        <v>1549</v>
      </c>
      <c r="W58" s="543">
        <v>2990</v>
      </c>
      <c r="X58" s="544">
        <v>1328</v>
      </c>
      <c r="Y58" s="376">
        <v>1423</v>
      </c>
      <c r="Z58" s="545">
        <v>2751</v>
      </c>
      <c r="AA58" s="542">
        <v>1422</v>
      </c>
      <c r="AB58" s="376">
        <v>1506</v>
      </c>
      <c r="AC58" s="543">
        <v>2928</v>
      </c>
      <c r="AD58" s="542">
        <v>1376</v>
      </c>
      <c r="AE58" s="376">
        <v>1464</v>
      </c>
      <c r="AF58" s="543">
        <v>2840</v>
      </c>
      <c r="AG58" s="544">
        <v>1223</v>
      </c>
      <c r="AH58" s="376">
        <v>1255</v>
      </c>
      <c r="AI58" s="545">
        <v>2478</v>
      </c>
      <c r="AJ58" s="542">
        <v>995</v>
      </c>
      <c r="AK58" s="376">
        <v>883</v>
      </c>
      <c r="AL58" s="543">
        <v>1878</v>
      </c>
      <c r="AM58" s="544">
        <v>638</v>
      </c>
      <c r="AN58" s="376">
        <v>636</v>
      </c>
      <c r="AO58" s="545">
        <v>1274</v>
      </c>
      <c r="AP58" s="542">
        <v>391</v>
      </c>
      <c r="AQ58" s="376">
        <v>413</v>
      </c>
      <c r="AR58" s="543">
        <v>804</v>
      </c>
      <c r="AS58" s="544">
        <v>253</v>
      </c>
      <c r="AT58" s="376">
        <v>253</v>
      </c>
      <c r="AU58" s="545">
        <v>506</v>
      </c>
      <c r="AV58" s="542">
        <v>234</v>
      </c>
      <c r="AW58" s="376">
        <v>292</v>
      </c>
      <c r="AX58" s="543">
        <v>526</v>
      </c>
    </row>
    <row r="59" spans="1:50" ht="14.5" thickBot="1" x14ac:dyDescent="0.35">
      <c r="A59" s="546" t="s">
        <v>124</v>
      </c>
      <c r="B59" s="547" t="s">
        <v>120</v>
      </c>
      <c r="C59" s="548">
        <v>1217</v>
      </c>
      <c r="D59" s="380">
        <v>1225</v>
      </c>
      <c r="E59" s="549">
        <v>2442</v>
      </c>
      <c r="F59" s="550">
        <v>1796</v>
      </c>
      <c r="G59" s="380">
        <v>1726</v>
      </c>
      <c r="H59" s="551">
        <v>3522</v>
      </c>
      <c r="I59" s="548">
        <v>2052</v>
      </c>
      <c r="J59" s="380">
        <v>1845</v>
      </c>
      <c r="K59" s="549">
        <v>3897</v>
      </c>
      <c r="L59" s="550">
        <v>2113</v>
      </c>
      <c r="M59" s="380">
        <v>1984</v>
      </c>
      <c r="N59" s="551">
        <v>4097</v>
      </c>
      <c r="O59" s="548">
        <v>2088</v>
      </c>
      <c r="P59" s="380">
        <v>1914</v>
      </c>
      <c r="Q59" s="549">
        <v>4002</v>
      </c>
      <c r="R59" s="550">
        <v>1779</v>
      </c>
      <c r="S59" s="380">
        <v>1759</v>
      </c>
      <c r="T59" s="551">
        <v>3538</v>
      </c>
      <c r="U59" s="548">
        <v>1474</v>
      </c>
      <c r="V59" s="380">
        <v>1599</v>
      </c>
      <c r="W59" s="549">
        <v>3073</v>
      </c>
      <c r="X59" s="550">
        <v>1331</v>
      </c>
      <c r="Y59" s="380">
        <v>1495</v>
      </c>
      <c r="Z59" s="551">
        <v>2826</v>
      </c>
      <c r="AA59" s="548">
        <v>1505</v>
      </c>
      <c r="AB59" s="380">
        <v>1715</v>
      </c>
      <c r="AC59" s="549">
        <v>3220</v>
      </c>
      <c r="AD59" s="548">
        <v>1658</v>
      </c>
      <c r="AE59" s="380">
        <v>1878</v>
      </c>
      <c r="AF59" s="549">
        <v>3536</v>
      </c>
      <c r="AG59" s="550">
        <v>1844</v>
      </c>
      <c r="AH59" s="380">
        <v>1921</v>
      </c>
      <c r="AI59" s="551">
        <v>3765</v>
      </c>
      <c r="AJ59" s="548">
        <v>1492</v>
      </c>
      <c r="AK59" s="380">
        <v>1303</v>
      </c>
      <c r="AL59" s="549">
        <v>2795</v>
      </c>
      <c r="AM59" s="550">
        <v>794</v>
      </c>
      <c r="AN59" s="380">
        <v>657</v>
      </c>
      <c r="AO59" s="551">
        <v>1451</v>
      </c>
      <c r="AP59" s="548">
        <v>408</v>
      </c>
      <c r="AQ59" s="380">
        <v>432</v>
      </c>
      <c r="AR59" s="549">
        <v>840</v>
      </c>
      <c r="AS59" s="550">
        <v>222</v>
      </c>
      <c r="AT59" s="380">
        <v>311</v>
      </c>
      <c r="AU59" s="551">
        <v>533</v>
      </c>
      <c r="AV59" s="548">
        <v>334</v>
      </c>
      <c r="AW59" s="380">
        <v>536</v>
      </c>
      <c r="AX59" s="549">
        <v>870</v>
      </c>
    </row>
    <row r="60" spans="1:50" x14ac:dyDescent="0.3">
      <c r="A60" s="552" t="s">
        <v>126</v>
      </c>
      <c r="B60" s="553" t="s">
        <v>123</v>
      </c>
      <c r="C60" s="554">
        <v>3806</v>
      </c>
      <c r="D60" s="384">
        <v>3652</v>
      </c>
      <c r="E60" s="555">
        <v>7458</v>
      </c>
      <c r="F60" s="556">
        <v>5387</v>
      </c>
      <c r="G60" s="384">
        <v>5159</v>
      </c>
      <c r="H60" s="557">
        <v>10546</v>
      </c>
      <c r="I60" s="554">
        <v>5292</v>
      </c>
      <c r="J60" s="384">
        <v>5186</v>
      </c>
      <c r="K60" s="555">
        <v>10478</v>
      </c>
      <c r="L60" s="556">
        <v>5167</v>
      </c>
      <c r="M60" s="384">
        <v>4937</v>
      </c>
      <c r="N60" s="557">
        <v>10104</v>
      </c>
      <c r="O60" s="554">
        <v>5173</v>
      </c>
      <c r="P60" s="384">
        <v>4948</v>
      </c>
      <c r="Q60" s="555">
        <v>10121</v>
      </c>
      <c r="R60" s="556">
        <v>5073</v>
      </c>
      <c r="S60" s="384">
        <v>5173</v>
      </c>
      <c r="T60" s="557">
        <v>10246</v>
      </c>
      <c r="U60" s="554">
        <v>5058</v>
      </c>
      <c r="V60" s="384">
        <v>5381</v>
      </c>
      <c r="W60" s="555">
        <v>10439</v>
      </c>
      <c r="X60" s="556">
        <v>4470</v>
      </c>
      <c r="Y60" s="384">
        <v>4603</v>
      </c>
      <c r="Z60" s="557">
        <v>9073</v>
      </c>
      <c r="AA60" s="554">
        <v>4685</v>
      </c>
      <c r="AB60" s="384">
        <v>5043</v>
      </c>
      <c r="AC60" s="555">
        <v>9728</v>
      </c>
      <c r="AD60" s="554">
        <v>4489</v>
      </c>
      <c r="AE60" s="384">
        <v>4691</v>
      </c>
      <c r="AF60" s="555">
        <v>9180</v>
      </c>
      <c r="AG60" s="556">
        <v>3904</v>
      </c>
      <c r="AH60" s="384">
        <v>4208</v>
      </c>
      <c r="AI60" s="557">
        <v>8112</v>
      </c>
      <c r="AJ60" s="554">
        <v>3266</v>
      </c>
      <c r="AK60" s="384">
        <v>3443</v>
      </c>
      <c r="AL60" s="555">
        <v>6709</v>
      </c>
      <c r="AM60" s="556">
        <v>2551</v>
      </c>
      <c r="AN60" s="384">
        <v>2581</v>
      </c>
      <c r="AO60" s="557">
        <v>5132</v>
      </c>
      <c r="AP60" s="554">
        <v>1660</v>
      </c>
      <c r="AQ60" s="384">
        <v>1615</v>
      </c>
      <c r="AR60" s="555">
        <v>3275</v>
      </c>
      <c r="AS60" s="556">
        <v>893</v>
      </c>
      <c r="AT60" s="384">
        <v>854</v>
      </c>
      <c r="AU60" s="557">
        <v>1747</v>
      </c>
      <c r="AV60" s="554">
        <v>736</v>
      </c>
      <c r="AW60" s="384">
        <v>981</v>
      </c>
      <c r="AX60" s="555">
        <v>1717</v>
      </c>
    </row>
    <row r="61" spans="1:50" x14ac:dyDescent="0.3">
      <c r="A61" s="558" t="s">
        <v>128</v>
      </c>
      <c r="B61" s="440" t="s">
        <v>123</v>
      </c>
      <c r="C61" s="559">
        <v>985</v>
      </c>
      <c r="D61" s="388">
        <v>925</v>
      </c>
      <c r="E61" s="560">
        <v>1910</v>
      </c>
      <c r="F61" s="561">
        <v>1359</v>
      </c>
      <c r="G61" s="388">
        <v>1253</v>
      </c>
      <c r="H61" s="562">
        <v>2612</v>
      </c>
      <c r="I61" s="559">
        <v>1286</v>
      </c>
      <c r="J61" s="388">
        <v>1293</v>
      </c>
      <c r="K61" s="560">
        <v>2579</v>
      </c>
      <c r="L61" s="561">
        <v>1198</v>
      </c>
      <c r="M61" s="388">
        <v>1182</v>
      </c>
      <c r="N61" s="562">
        <v>2380</v>
      </c>
      <c r="O61" s="559">
        <v>1295</v>
      </c>
      <c r="P61" s="388">
        <v>1237</v>
      </c>
      <c r="Q61" s="560">
        <v>2532</v>
      </c>
      <c r="R61" s="561">
        <v>1401</v>
      </c>
      <c r="S61" s="388">
        <v>1408</v>
      </c>
      <c r="T61" s="562">
        <v>2809</v>
      </c>
      <c r="U61" s="559">
        <v>1515</v>
      </c>
      <c r="V61" s="388">
        <v>1546</v>
      </c>
      <c r="W61" s="560">
        <v>3061</v>
      </c>
      <c r="X61" s="561">
        <v>1238</v>
      </c>
      <c r="Y61" s="388">
        <v>1274</v>
      </c>
      <c r="Z61" s="562">
        <v>2512</v>
      </c>
      <c r="AA61" s="559">
        <v>1099</v>
      </c>
      <c r="AB61" s="388">
        <v>1219</v>
      </c>
      <c r="AC61" s="560">
        <v>2318</v>
      </c>
      <c r="AD61" s="559">
        <v>1046</v>
      </c>
      <c r="AE61" s="388">
        <v>1055</v>
      </c>
      <c r="AF61" s="560">
        <v>2101</v>
      </c>
      <c r="AG61" s="561">
        <v>853</v>
      </c>
      <c r="AH61" s="388">
        <v>995</v>
      </c>
      <c r="AI61" s="562">
        <v>1848</v>
      </c>
      <c r="AJ61" s="559">
        <v>779</v>
      </c>
      <c r="AK61" s="388">
        <v>1004</v>
      </c>
      <c r="AL61" s="560">
        <v>1783</v>
      </c>
      <c r="AM61" s="561">
        <v>850</v>
      </c>
      <c r="AN61" s="388">
        <v>1001</v>
      </c>
      <c r="AO61" s="562">
        <v>1851</v>
      </c>
      <c r="AP61" s="559">
        <v>644</v>
      </c>
      <c r="AQ61" s="388">
        <v>502</v>
      </c>
      <c r="AR61" s="560">
        <v>1146</v>
      </c>
      <c r="AS61" s="561">
        <v>271</v>
      </c>
      <c r="AT61" s="388">
        <v>215</v>
      </c>
      <c r="AU61" s="562">
        <v>486</v>
      </c>
      <c r="AV61" s="559">
        <v>171</v>
      </c>
      <c r="AW61" s="388">
        <v>240</v>
      </c>
      <c r="AX61" s="560">
        <v>411</v>
      </c>
    </row>
    <row r="62" spans="1:50" x14ac:dyDescent="0.3">
      <c r="A62" s="558" t="s">
        <v>130</v>
      </c>
      <c r="B62" s="440" t="s">
        <v>125</v>
      </c>
      <c r="C62" s="559">
        <v>442</v>
      </c>
      <c r="D62" s="388">
        <v>417</v>
      </c>
      <c r="E62" s="560">
        <v>859</v>
      </c>
      <c r="F62" s="561">
        <v>638</v>
      </c>
      <c r="G62" s="388">
        <v>656</v>
      </c>
      <c r="H62" s="562">
        <v>1294</v>
      </c>
      <c r="I62" s="559">
        <v>691</v>
      </c>
      <c r="J62" s="388">
        <v>748</v>
      </c>
      <c r="K62" s="560">
        <v>1439</v>
      </c>
      <c r="L62" s="561">
        <v>750</v>
      </c>
      <c r="M62" s="388">
        <v>758</v>
      </c>
      <c r="N62" s="562">
        <v>1508</v>
      </c>
      <c r="O62" s="559">
        <v>715</v>
      </c>
      <c r="P62" s="388">
        <v>711</v>
      </c>
      <c r="Q62" s="560">
        <v>1426</v>
      </c>
      <c r="R62" s="561">
        <v>657</v>
      </c>
      <c r="S62" s="388">
        <v>690</v>
      </c>
      <c r="T62" s="562">
        <v>1347</v>
      </c>
      <c r="U62" s="559">
        <v>636</v>
      </c>
      <c r="V62" s="388">
        <v>647</v>
      </c>
      <c r="W62" s="560">
        <v>1283</v>
      </c>
      <c r="X62" s="561">
        <v>528</v>
      </c>
      <c r="Y62" s="388">
        <v>594</v>
      </c>
      <c r="Z62" s="562">
        <v>1122</v>
      </c>
      <c r="AA62" s="559">
        <v>603</v>
      </c>
      <c r="AB62" s="388">
        <v>723</v>
      </c>
      <c r="AC62" s="560">
        <v>1326</v>
      </c>
      <c r="AD62" s="559">
        <v>714</v>
      </c>
      <c r="AE62" s="388">
        <v>783</v>
      </c>
      <c r="AF62" s="560">
        <v>1497</v>
      </c>
      <c r="AG62" s="561">
        <v>658</v>
      </c>
      <c r="AH62" s="388">
        <v>718</v>
      </c>
      <c r="AI62" s="562">
        <v>1376</v>
      </c>
      <c r="AJ62" s="559">
        <v>519</v>
      </c>
      <c r="AK62" s="388">
        <v>528</v>
      </c>
      <c r="AL62" s="560">
        <v>1047</v>
      </c>
      <c r="AM62" s="561">
        <v>342</v>
      </c>
      <c r="AN62" s="388">
        <v>313</v>
      </c>
      <c r="AO62" s="562">
        <v>655</v>
      </c>
      <c r="AP62" s="559">
        <v>202</v>
      </c>
      <c r="AQ62" s="388">
        <v>224</v>
      </c>
      <c r="AR62" s="560">
        <v>426</v>
      </c>
      <c r="AS62" s="561">
        <v>129</v>
      </c>
      <c r="AT62" s="388">
        <v>134</v>
      </c>
      <c r="AU62" s="562">
        <v>263</v>
      </c>
      <c r="AV62" s="559">
        <v>101</v>
      </c>
      <c r="AW62" s="388">
        <v>204</v>
      </c>
      <c r="AX62" s="560">
        <v>305</v>
      </c>
    </row>
    <row r="63" spans="1:50" x14ac:dyDescent="0.3">
      <c r="A63" s="558" t="s">
        <v>132</v>
      </c>
      <c r="B63" s="440" t="s">
        <v>127</v>
      </c>
      <c r="C63" s="559">
        <v>889</v>
      </c>
      <c r="D63" s="388">
        <v>873</v>
      </c>
      <c r="E63" s="560">
        <v>1762</v>
      </c>
      <c r="F63" s="561">
        <v>1244</v>
      </c>
      <c r="G63" s="388">
        <v>1209</v>
      </c>
      <c r="H63" s="562">
        <v>2453</v>
      </c>
      <c r="I63" s="559">
        <v>1322</v>
      </c>
      <c r="J63" s="388">
        <v>1255</v>
      </c>
      <c r="K63" s="560">
        <v>2577</v>
      </c>
      <c r="L63" s="561">
        <v>1372</v>
      </c>
      <c r="M63" s="388">
        <v>1277</v>
      </c>
      <c r="N63" s="562">
        <v>2649</v>
      </c>
      <c r="O63" s="559">
        <v>1369</v>
      </c>
      <c r="P63" s="388">
        <v>1288</v>
      </c>
      <c r="Q63" s="560">
        <v>2657</v>
      </c>
      <c r="R63" s="561">
        <v>1269</v>
      </c>
      <c r="S63" s="388">
        <v>1234</v>
      </c>
      <c r="T63" s="562">
        <v>2503</v>
      </c>
      <c r="U63" s="559">
        <v>1070</v>
      </c>
      <c r="V63" s="388">
        <v>1210</v>
      </c>
      <c r="W63" s="560">
        <v>2280</v>
      </c>
      <c r="X63" s="561">
        <v>1004</v>
      </c>
      <c r="Y63" s="388">
        <v>1025</v>
      </c>
      <c r="Z63" s="562">
        <v>2029</v>
      </c>
      <c r="AA63" s="559">
        <v>1183</v>
      </c>
      <c r="AB63" s="388">
        <v>1242</v>
      </c>
      <c r="AC63" s="560">
        <v>2425</v>
      </c>
      <c r="AD63" s="559">
        <v>1134</v>
      </c>
      <c r="AE63" s="388">
        <v>1264</v>
      </c>
      <c r="AF63" s="560">
        <v>2398</v>
      </c>
      <c r="AG63" s="561">
        <v>1077</v>
      </c>
      <c r="AH63" s="388">
        <v>1132</v>
      </c>
      <c r="AI63" s="562">
        <v>2209</v>
      </c>
      <c r="AJ63" s="559">
        <v>946</v>
      </c>
      <c r="AK63" s="388">
        <v>878</v>
      </c>
      <c r="AL63" s="560">
        <v>1824</v>
      </c>
      <c r="AM63" s="561">
        <v>600</v>
      </c>
      <c r="AN63" s="388">
        <v>537</v>
      </c>
      <c r="AO63" s="562">
        <v>1137</v>
      </c>
      <c r="AP63" s="559">
        <v>335</v>
      </c>
      <c r="AQ63" s="388">
        <v>408</v>
      </c>
      <c r="AR63" s="560">
        <v>743</v>
      </c>
      <c r="AS63" s="561">
        <v>205</v>
      </c>
      <c r="AT63" s="388">
        <v>211</v>
      </c>
      <c r="AU63" s="562">
        <v>416</v>
      </c>
      <c r="AV63" s="559">
        <v>187</v>
      </c>
      <c r="AW63" s="388">
        <v>215</v>
      </c>
      <c r="AX63" s="560">
        <v>402</v>
      </c>
    </row>
    <row r="64" spans="1:50" x14ac:dyDescent="0.3">
      <c r="A64" s="558" t="s">
        <v>133</v>
      </c>
      <c r="B64" s="440" t="s">
        <v>129</v>
      </c>
      <c r="C64" s="559">
        <v>728</v>
      </c>
      <c r="D64" s="388">
        <v>684</v>
      </c>
      <c r="E64" s="560">
        <v>1412</v>
      </c>
      <c r="F64" s="561">
        <v>989</v>
      </c>
      <c r="G64" s="388">
        <v>920</v>
      </c>
      <c r="H64" s="562">
        <v>1909</v>
      </c>
      <c r="I64" s="559">
        <v>903</v>
      </c>
      <c r="J64" s="388">
        <v>816</v>
      </c>
      <c r="K64" s="560">
        <v>1719</v>
      </c>
      <c r="L64" s="561">
        <v>768</v>
      </c>
      <c r="M64" s="388">
        <v>802</v>
      </c>
      <c r="N64" s="562">
        <v>1570</v>
      </c>
      <c r="O64" s="559">
        <v>806</v>
      </c>
      <c r="P64" s="388">
        <v>749</v>
      </c>
      <c r="Q64" s="560">
        <v>1555</v>
      </c>
      <c r="R64" s="561">
        <v>835</v>
      </c>
      <c r="S64" s="388">
        <v>914</v>
      </c>
      <c r="T64" s="562">
        <v>1749</v>
      </c>
      <c r="U64" s="559">
        <v>926</v>
      </c>
      <c r="V64" s="388">
        <v>971</v>
      </c>
      <c r="W64" s="560">
        <v>1897</v>
      </c>
      <c r="X64" s="561">
        <v>834</v>
      </c>
      <c r="Y64" s="388">
        <v>833</v>
      </c>
      <c r="Z64" s="562">
        <v>1667</v>
      </c>
      <c r="AA64" s="559">
        <v>843</v>
      </c>
      <c r="AB64" s="388">
        <v>852</v>
      </c>
      <c r="AC64" s="560">
        <v>1695</v>
      </c>
      <c r="AD64" s="559">
        <v>698</v>
      </c>
      <c r="AE64" s="388">
        <v>745</v>
      </c>
      <c r="AF64" s="560">
        <v>1443</v>
      </c>
      <c r="AG64" s="561">
        <v>618</v>
      </c>
      <c r="AH64" s="388">
        <v>633</v>
      </c>
      <c r="AI64" s="562">
        <v>1251</v>
      </c>
      <c r="AJ64" s="559">
        <v>451</v>
      </c>
      <c r="AK64" s="388">
        <v>458</v>
      </c>
      <c r="AL64" s="560">
        <v>909</v>
      </c>
      <c r="AM64" s="561">
        <v>353</v>
      </c>
      <c r="AN64" s="388">
        <v>345</v>
      </c>
      <c r="AO64" s="562">
        <v>698</v>
      </c>
      <c r="AP64" s="559">
        <v>219</v>
      </c>
      <c r="AQ64" s="388">
        <v>222</v>
      </c>
      <c r="AR64" s="560">
        <v>441</v>
      </c>
      <c r="AS64" s="561">
        <v>138</v>
      </c>
      <c r="AT64" s="388">
        <v>130</v>
      </c>
      <c r="AU64" s="562">
        <v>268</v>
      </c>
      <c r="AV64" s="559">
        <v>125</v>
      </c>
      <c r="AW64" s="388">
        <v>134</v>
      </c>
      <c r="AX64" s="560">
        <v>259</v>
      </c>
    </row>
    <row r="65" spans="1:50" ht="14.5" thickBot="1" x14ac:dyDescent="0.35">
      <c r="A65" s="563" t="s">
        <v>135</v>
      </c>
      <c r="B65" s="446" t="s">
        <v>131</v>
      </c>
      <c r="C65" s="564">
        <v>762</v>
      </c>
      <c r="D65" s="392">
        <v>753</v>
      </c>
      <c r="E65" s="565">
        <v>1515</v>
      </c>
      <c r="F65" s="566">
        <v>1157</v>
      </c>
      <c r="G65" s="392">
        <v>1121</v>
      </c>
      <c r="H65" s="567">
        <v>2278</v>
      </c>
      <c r="I65" s="564">
        <v>1090</v>
      </c>
      <c r="J65" s="392">
        <v>1074</v>
      </c>
      <c r="K65" s="565">
        <v>2164</v>
      </c>
      <c r="L65" s="566">
        <v>1079</v>
      </c>
      <c r="M65" s="392">
        <v>918</v>
      </c>
      <c r="N65" s="567">
        <v>1997</v>
      </c>
      <c r="O65" s="564">
        <v>988</v>
      </c>
      <c r="P65" s="392">
        <v>963</v>
      </c>
      <c r="Q65" s="565">
        <v>1951</v>
      </c>
      <c r="R65" s="566">
        <v>911</v>
      </c>
      <c r="S65" s="392">
        <v>927</v>
      </c>
      <c r="T65" s="567">
        <v>1838</v>
      </c>
      <c r="U65" s="564">
        <v>911</v>
      </c>
      <c r="V65" s="392">
        <v>1007</v>
      </c>
      <c r="W65" s="565">
        <v>1918</v>
      </c>
      <c r="X65" s="566">
        <v>866</v>
      </c>
      <c r="Y65" s="392">
        <v>877</v>
      </c>
      <c r="Z65" s="567">
        <v>1743</v>
      </c>
      <c r="AA65" s="564">
        <v>957</v>
      </c>
      <c r="AB65" s="392">
        <v>1007</v>
      </c>
      <c r="AC65" s="565">
        <v>1964</v>
      </c>
      <c r="AD65" s="564">
        <v>897</v>
      </c>
      <c r="AE65" s="392">
        <v>844</v>
      </c>
      <c r="AF65" s="565">
        <v>1741</v>
      </c>
      <c r="AG65" s="566">
        <v>698</v>
      </c>
      <c r="AH65" s="392">
        <v>730</v>
      </c>
      <c r="AI65" s="567">
        <v>1428</v>
      </c>
      <c r="AJ65" s="564">
        <v>571</v>
      </c>
      <c r="AK65" s="392">
        <v>575</v>
      </c>
      <c r="AL65" s="565">
        <v>1146</v>
      </c>
      <c r="AM65" s="566">
        <v>406</v>
      </c>
      <c r="AN65" s="392">
        <v>385</v>
      </c>
      <c r="AO65" s="567">
        <v>791</v>
      </c>
      <c r="AP65" s="564">
        <v>260</v>
      </c>
      <c r="AQ65" s="392">
        <v>259</v>
      </c>
      <c r="AR65" s="565">
        <v>519</v>
      </c>
      <c r="AS65" s="566">
        <v>150</v>
      </c>
      <c r="AT65" s="392">
        <v>164</v>
      </c>
      <c r="AU65" s="567">
        <v>314</v>
      </c>
      <c r="AV65" s="564">
        <v>152</v>
      </c>
      <c r="AW65" s="392">
        <v>188</v>
      </c>
      <c r="AX65" s="565">
        <v>340</v>
      </c>
    </row>
    <row r="66" spans="1:50" x14ac:dyDescent="0.3">
      <c r="A66" s="534" t="s">
        <v>137</v>
      </c>
      <c r="B66" s="535" t="s">
        <v>138</v>
      </c>
      <c r="C66" s="536">
        <v>7154</v>
      </c>
      <c r="D66" s="372">
        <v>6705</v>
      </c>
      <c r="E66" s="537">
        <v>13859</v>
      </c>
      <c r="F66" s="538">
        <v>10234</v>
      </c>
      <c r="G66" s="372">
        <v>9631</v>
      </c>
      <c r="H66" s="539">
        <v>19865</v>
      </c>
      <c r="I66" s="536">
        <v>10816</v>
      </c>
      <c r="J66" s="372">
        <v>10090</v>
      </c>
      <c r="K66" s="537">
        <v>20906</v>
      </c>
      <c r="L66" s="538">
        <v>10529</v>
      </c>
      <c r="M66" s="372">
        <v>10059</v>
      </c>
      <c r="N66" s="539">
        <v>20588</v>
      </c>
      <c r="O66" s="536">
        <v>10240</v>
      </c>
      <c r="P66" s="372">
        <v>9579</v>
      </c>
      <c r="Q66" s="537">
        <v>19819</v>
      </c>
      <c r="R66" s="538">
        <v>9124</v>
      </c>
      <c r="S66" s="372">
        <v>9110</v>
      </c>
      <c r="T66" s="539">
        <v>18234</v>
      </c>
      <c r="U66" s="536">
        <v>8707</v>
      </c>
      <c r="V66" s="372">
        <v>9230</v>
      </c>
      <c r="W66" s="537">
        <v>17937</v>
      </c>
      <c r="X66" s="538">
        <v>7949</v>
      </c>
      <c r="Y66" s="372">
        <v>8379</v>
      </c>
      <c r="Z66" s="539">
        <v>16328</v>
      </c>
      <c r="AA66" s="536">
        <v>8784</v>
      </c>
      <c r="AB66" s="372">
        <v>9542</v>
      </c>
      <c r="AC66" s="537">
        <v>18326</v>
      </c>
      <c r="AD66" s="536">
        <v>8838</v>
      </c>
      <c r="AE66" s="372">
        <v>9771</v>
      </c>
      <c r="AF66" s="537">
        <v>18609</v>
      </c>
      <c r="AG66" s="538">
        <v>8259</v>
      </c>
      <c r="AH66" s="372">
        <v>8611</v>
      </c>
      <c r="AI66" s="539">
        <v>16870</v>
      </c>
      <c r="AJ66" s="536">
        <v>6672</v>
      </c>
      <c r="AK66" s="372">
        <v>6241</v>
      </c>
      <c r="AL66" s="537">
        <v>12913</v>
      </c>
      <c r="AM66" s="538">
        <v>4041</v>
      </c>
      <c r="AN66" s="372">
        <v>3680</v>
      </c>
      <c r="AO66" s="539">
        <v>7721</v>
      </c>
      <c r="AP66" s="536">
        <v>2349</v>
      </c>
      <c r="AQ66" s="372">
        <v>2270</v>
      </c>
      <c r="AR66" s="537">
        <v>4619</v>
      </c>
      <c r="AS66" s="538">
        <v>1216</v>
      </c>
      <c r="AT66" s="372">
        <v>1336</v>
      </c>
      <c r="AU66" s="539">
        <v>2552</v>
      </c>
      <c r="AV66" s="536">
        <v>1032</v>
      </c>
      <c r="AW66" s="372">
        <v>1422</v>
      </c>
      <c r="AX66" s="537">
        <v>2454</v>
      </c>
    </row>
    <row r="67" spans="1:50" x14ac:dyDescent="0.3">
      <c r="A67" s="541" t="s">
        <v>139</v>
      </c>
      <c r="B67" s="431" t="s">
        <v>134</v>
      </c>
      <c r="C67" s="542">
        <v>1944</v>
      </c>
      <c r="D67" s="376">
        <v>1839</v>
      </c>
      <c r="E67" s="543">
        <v>3783</v>
      </c>
      <c r="F67" s="544">
        <v>2876</v>
      </c>
      <c r="G67" s="376">
        <v>2650</v>
      </c>
      <c r="H67" s="545">
        <v>5526</v>
      </c>
      <c r="I67" s="542">
        <v>3017</v>
      </c>
      <c r="J67" s="376">
        <v>2819</v>
      </c>
      <c r="K67" s="543">
        <v>5836</v>
      </c>
      <c r="L67" s="544">
        <v>2790</v>
      </c>
      <c r="M67" s="376">
        <v>2614</v>
      </c>
      <c r="N67" s="545">
        <v>5404</v>
      </c>
      <c r="O67" s="542">
        <v>2564</v>
      </c>
      <c r="P67" s="376">
        <v>2332</v>
      </c>
      <c r="Q67" s="543">
        <v>4896</v>
      </c>
      <c r="R67" s="544">
        <v>2291</v>
      </c>
      <c r="S67" s="376">
        <v>2265</v>
      </c>
      <c r="T67" s="545">
        <v>4556</v>
      </c>
      <c r="U67" s="542">
        <v>2280</v>
      </c>
      <c r="V67" s="376">
        <v>2438</v>
      </c>
      <c r="W67" s="543">
        <v>4718</v>
      </c>
      <c r="X67" s="544">
        <v>2186</v>
      </c>
      <c r="Y67" s="376">
        <v>2273</v>
      </c>
      <c r="Z67" s="545">
        <v>4459</v>
      </c>
      <c r="AA67" s="542">
        <v>2452</v>
      </c>
      <c r="AB67" s="376">
        <v>2660</v>
      </c>
      <c r="AC67" s="543">
        <v>5112</v>
      </c>
      <c r="AD67" s="542">
        <v>2418</v>
      </c>
      <c r="AE67" s="376">
        <v>2602</v>
      </c>
      <c r="AF67" s="543">
        <v>5020</v>
      </c>
      <c r="AG67" s="544">
        <v>2096</v>
      </c>
      <c r="AH67" s="376">
        <v>2077</v>
      </c>
      <c r="AI67" s="545">
        <v>4173</v>
      </c>
      <c r="AJ67" s="542">
        <v>1661</v>
      </c>
      <c r="AK67" s="376">
        <v>1503</v>
      </c>
      <c r="AL67" s="543">
        <v>3164</v>
      </c>
      <c r="AM67" s="544">
        <v>960</v>
      </c>
      <c r="AN67" s="376">
        <v>847</v>
      </c>
      <c r="AO67" s="545">
        <v>1807</v>
      </c>
      <c r="AP67" s="542">
        <v>568</v>
      </c>
      <c r="AQ67" s="376">
        <v>606</v>
      </c>
      <c r="AR67" s="543">
        <v>1174</v>
      </c>
      <c r="AS67" s="544">
        <v>333</v>
      </c>
      <c r="AT67" s="376">
        <v>339</v>
      </c>
      <c r="AU67" s="545">
        <v>672</v>
      </c>
      <c r="AV67" s="542">
        <v>254</v>
      </c>
      <c r="AW67" s="376">
        <v>352</v>
      </c>
      <c r="AX67" s="543">
        <v>606</v>
      </c>
    </row>
    <row r="68" spans="1:50" x14ac:dyDescent="0.3">
      <c r="A68" s="541" t="s">
        <v>141</v>
      </c>
      <c r="B68" s="431" t="s">
        <v>136</v>
      </c>
      <c r="C68" s="542">
        <v>1407</v>
      </c>
      <c r="D68" s="376">
        <v>1372</v>
      </c>
      <c r="E68" s="543">
        <v>2779</v>
      </c>
      <c r="F68" s="544">
        <v>2134</v>
      </c>
      <c r="G68" s="376">
        <v>2147</v>
      </c>
      <c r="H68" s="545">
        <v>4281</v>
      </c>
      <c r="I68" s="542">
        <v>2305</v>
      </c>
      <c r="J68" s="376">
        <v>2160</v>
      </c>
      <c r="K68" s="543">
        <v>4465</v>
      </c>
      <c r="L68" s="544">
        <v>2250</v>
      </c>
      <c r="M68" s="376">
        <v>2120</v>
      </c>
      <c r="N68" s="545">
        <v>4370</v>
      </c>
      <c r="O68" s="542">
        <v>2041</v>
      </c>
      <c r="P68" s="376">
        <v>1967</v>
      </c>
      <c r="Q68" s="543">
        <v>4008</v>
      </c>
      <c r="R68" s="544">
        <v>1717</v>
      </c>
      <c r="S68" s="376">
        <v>1843</v>
      </c>
      <c r="T68" s="545">
        <v>3560</v>
      </c>
      <c r="U68" s="542">
        <v>1698</v>
      </c>
      <c r="V68" s="376">
        <v>1764</v>
      </c>
      <c r="W68" s="543">
        <v>3462</v>
      </c>
      <c r="X68" s="544">
        <v>1543</v>
      </c>
      <c r="Y68" s="376">
        <v>1783</v>
      </c>
      <c r="Z68" s="545">
        <v>3326</v>
      </c>
      <c r="AA68" s="542">
        <v>1970</v>
      </c>
      <c r="AB68" s="376">
        <v>2040</v>
      </c>
      <c r="AC68" s="543">
        <v>4010</v>
      </c>
      <c r="AD68" s="542">
        <v>1838</v>
      </c>
      <c r="AE68" s="376">
        <v>2070</v>
      </c>
      <c r="AF68" s="543">
        <v>3908</v>
      </c>
      <c r="AG68" s="544">
        <v>1752</v>
      </c>
      <c r="AH68" s="376">
        <v>1729</v>
      </c>
      <c r="AI68" s="545">
        <v>3481</v>
      </c>
      <c r="AJ68" s="542">
        <v>1379</v>
      </c>
      <c r="AK68" s="376">
        <v>1199</v>
      </c>
      <c r="AL68" s="543">
        <v>2578</v>
      </c>
      <c r="AM68" s="544">
        <v>774</v>
      </c>
      <c r="AN68" s="376">
        <v>683</v>
      </c>
      <c r="AO68" s="545">
        <v>1457</v>
      </c>
      <c r="AP68" s="542">
        <v>404</v>
      </c>
      <c r="AQ68" s="376">
        <v>400</v>
      </c>
      <c r="AR68" s="543">
        <v>804</v>
      </c>
      <c r="AS68" s="544">
        <v>216</v>
      </c>
      <c r="AT68" s="376">
        <v>278</v>
      </c>
      <c r="AU68" s="545">
        <v>494</v>
      </c>
      <c r="AV68" s="542">
        <v>224</v>
      </c>
      <c r="AW68" s="376">
        <v>308</v>
      </c>
      <c r="AX68" s="543">
        <v>532</v>
      </c>
    </row>
    <row r="69" spans="1:50" x14ac:dyDescent="0.3">
      <c r="A69" s="541" t="s">
        <v>143</v>
      </c>
      <c r="B69" s="431" t="s">
        <v>138</v>
      </c>
      <c r="C69" s="542">
        <v>2415</v>
      </c>
      <c r="D69" s="376">
        <v>2230</v>
      </c>
      <c r="E69" s="543">
        <v>4645</v>
      </c>
      <c r="F69" s="544">
        <v>3378</v>
      </c>
      <c r="G69" s="376">
        <v>3195</v>
      </c>
      <c r="H69" s="545">
        <v>6573</v>
      </c>
      <c r="I69" s="542">
        <v>3675</v>
      </c>
      <c r="J69" s="376">
        <v>3430</v>
      </c>
      <c r="K69" s="543">
        <v>7105</v>
      </c>
      <c r="L69" s="544">
        <v>3797</v>
      </c>
      <c r="M69" s="376">
        <v>3664</v>
      </c>
      <c r="N69" s="545">
        <v>7461</v>
      </c>
      <c r="O69" s="542">
        <v>3865</v>
      </c>
      <c r="P69" s="376">
        <v>3627</v>
      </c>
      <c r="Q69" s="543">
        <v>7492</v>
      </c>
      <c r="R69" s="544">
        <v>3443</v>
      </c>
      <c r="S69" s="376">
        <v>3340</v>
      </c>
      <c r="T69" s="545">
        <v>6783</v>
      </c>
      <c r="U69" s="542">
        <v>2991</v>
      </c>
      <c r="V69" s="376">
        <v>3182</v>
      </c>
      <c r="W69" s="543">
        <v>6173</v>
      </c>
      <c r="X69" s="544">
        <v>2686</v>
      </c>
      <c r="Y69" s="376">
        <v>2778</v>
      </c>
      <c r="Z69" s="545">
        <v>5464</v>
      </c>
      <c r="AA69" s="542">
        <v>2794</v>
      </c>
      <c r="AB69" s="376">
        <v>3203</v>
      </c>
      <c r="AC69" s="543">
        <v>5997</v>
      </c>
      <c r="AD69" s="542">
        <v>3063</v>
      </c>
      <c r="AE69" s="376">
        <v>3537</v>
      </c>
      <c r="AF69" s="543">
        <v>6600</v>
      </c>
      <c r="AG69" s="544">
        <v>3090</v>
      </c>
      <c r="AH69" s="376">
        <v>3303</v>
      </c>
      <c r="AI69" s="545">
        <v>6393</v>
      </c>
      <c r="AJ69" s="542">
        <v>2447</v>
      </c>
      <c r="AK69" s="376">
        <v>2400</v>
      </c>
      <c r="AL69" s="543">
        <v>4847</v>
      </c>
      <c r="AM69" s="544">
        <v>1515</v>
      </c>
      <c r="AN69" s="376">
        <v>1419</v>
      </c>
      <c r="AO69" s="545">
        <v>2934</v>
      </c>
      <c r="AP69" s="542">
        <v>924</v>
      </c>
      <c r="AQ69" s="376">
        <v>827</v>
      </c>
      <c r="AR69" s="543">
        <v>1751</v>
      </c>
      <c r="AS69" s="544">
        <v>414</v>
      </c>
      <c r="AT69" s="376">
        <v>481</v>
      </c>
      <c r="AU69" s="545">
        <v>895</v>
      </c>
      <c r="AV69" s="542">
        <v>346</v>
      </c>
      <c r="AW69" s="376">
        <v>515</v>
      </c>
      <c r="AX69" s="543">
        <v>861</v>
      </c>
    </row>
    <row r="70" spans="1:50" ht="14.5" thickBot="1" x14ac:dyDescent="0.35">
      <c r="A70" s="546" t="s">
        <v>145</v>
      </c>
      <c r="B70" s="547" t="s">
        <v>140</v>
      </c>
      <c r="C70" s="548">
        <v>1388</v>
      </c>
      <c r="D70" s="380">
        <v>1264</v>
      </c>
      <c r="E70" s="549">
        <v>2652</v>
      </c>
      <c r="F70" s="550">
        <v>1846</v>
      </c>
      <c r="G70" s="380">
        <v>1639</v>
      </c>
      <c r="H70" s="551">
        <v>3485</v>
      </c>
      <c r="I70" s="548">
        <v>1819</v>
      </c>
      <c r="J70" s="380">
        <v>1681</v>
      </c>
      <c r="K70" s="549">
        <v>3500</v>
      </c>
      <c r="L70" s="550">
        <v>1692</v>
      </c>
      <c r="M70" s="380">
        <v>1661</v>
      </c>
      <c r="N70" s="551">
        <v>3353</v>
      </c>
      <c r="O70" s="548">
        <v>1770</v>
      </c>
      <c r="P70" s="380">
        <v>1653</v>
      </c>
      <c r="Q70" s="549">
        <v>3423</v>
      </c>
      <c r="R70" s="550">
        <v>1673</v>
      </c>
      <c r="S70" s="380">
        <v>1662</v>
      </c>
      <c r="T70" s="551">
        <v>3335</v>
      </c>
      <c r="U70" s="548">
        <v>1738</v>
      </c>
      <c r="V70" s="380">
        <v>1846</v>
      </c>
      <c r="W70" s="549">
        <v>3584</v>
      </c>
      <c r="X70" s="550">
        <v>1534</v>
      </c>
      <c r="Y70" s="380">
        <v>1545</v>
      </c>
      <c r="Z70" s="551">
        <v>3079</v>
      </c>
      <c r="AA70" s="548">
        <v>1568</v>
      </c>
      <c r="AB70" s="380">
        <v>1639</v>
      </c>
      <c r="AC70" s="549">
        <v>3207</v>
      </c>
      <c r="AD70" s="548">
        <v>1519</v>
      </c>
      <c r="AE70" s="380">
        <v>1562</v>
      </c>
      <c r="AF70" s="549">
        <v>3081</v>
      </c>
      <c r="AG70" s="550">
        <v>1321</v>
      </c>
      <c r="AH70" s="380">
        <v>1502</v>
      </c>
      <c r="AI70" s="551">
        <v>2823</v>
      </c>
      <c r="AJ70" s="548">
        <v>1185</v>
      </c>
      <c r="AK70" s="380">
        <v>1139</v>
      </c>
      <c r="AL70" s="549">
        <v>2324</v>
      </c>
      <c r="AM70" s="550">
        <v>792</v>
      </c>
      <c r="AN70" s="380">
        <v>731</v>
      </c>
      <c r="AO70" s="551">
        <v>1523</v>
      </c>
      <c r="AP70" s="548">
        <v>453</v>
      </c>
      <c r="AQ70" s="380">
        <v>437</v>
      </c>
      <c r="AR70" s="549">
        <v>890</v>
      </c>
      <c r="AS70" s="550">
        <v>253</v>
      </c>
      <c r="AT70" s="380">
        <v>238</v>
      </c>
      <c r="AU70" s="551">
        <v>491</v>
      </c>
      <c r="AV70" s="548">
        <v>208</v>
      </c>
      <c r="AW70" s="380">
        <v>247</v>
      </c>
      <c r="AX70" s="549">
        <v>455</v>
      </c>
    </row>
    <row r="71" spans="1:50" x14ac:dyDescent="0.3">
      <c r="A71" s="552" t="s">
        <v>147</v>
      </c>
      <c r="B71" s="553" t="s">
        <v>148</v>
      </c>
      <c r="C71" s="570">
        <v>3709</v>
      </c>
      <c r="D71" s="571">
        <v>3457</v>
      </c>
      <c r="E71" s="572">
        <v>7166</v>
      </c>
      <c r="F71" s="573">
        <v>5306</v>
      </c>
      <c r="G71" s="571">
        <v>5065</v>
      </c>
      <c r="H71" s="574">
        <v>10371</v>
      </c>
      <c r="I71" s="570">
        <v>5518</v>
      </c>
      <c r="J71" s="571">
        <v>5132</v>
      </c>
      <c r="K71" s="572">
        <v>10650</v>
      </c>
      <c r="L71" s="573">
        <v>5573</v>
      </c>
      <c r="M71" s="571">
        <v>5059</v>
      </c>
      <c r="N71" s="574">
        <v>10632</v>
      </c>
      <c r="O71" s="570">
        <v>5433</v>
      </c>
      <c r="P71" s="571">
        <v>5123</v>
      </c>
      <c r="Q71" s="572">
        <v>10556</v>
      </c>
      <c r="R71" s="573">
        <v>5300</v>
      </c>
      <c r="S71" s="571">
        <v>5195</v>
      </c>
      <c r="T71" s="574">
        <v>10495</v>
      </c>
      <c r="U71" s="570">
        <v>5051</v>
      </c>
      <c r="V71" s="571">
        <v>5085</v>
      </c>
      <c r="W71" s="572">
        <v>10136</v>
      </c>
      <c r="X71" s="573">
        <v>4652</v>
      </c>
      <c r="Y71" s="571">
        <v>4895</v>
      </c>
      <c r="Z71" s="574">
        <v>9547</v>
      </c>
      <c r="AA71" s="570">
        <v>5240</v>
      </c>
      <c r="AB71" s="571">
        <v>5368</v>
      </c>
      <c r="AC71" s="572">
        <v>10608</v>
      </c>
      <c r="AD71" s="570">
        <v>4973</v>
      </c>
      <c r="AE71" s="571">
        <v>5242</v>
      </c>
      <c r="AF71" s="572">
        <v>10215</v>
      </c>
      <c r="AG71" s="573">
        <v>4527</v>
      </c>
      <c r="AH71" s="571">
        <v>4813</v>
      </c>
      <c r="AI71" s="574">
        <v>9340</v>
      </c>
      <c r="AJ71" s="570">
        <v>3817</v>
      </c>
      <c r="AK71" s="571">
        <v>3874</v>
      </c>
      <c r="AL71" s="572">
        <v>7691</v>
      </c>
      <c r="AM71" s="573">
        <v>2844</v>
      </c>
      <c r="AN71" s="571">
        <v>3219</v>
      </c>
      <c r="AO71" s="574">
        <v>6063</v>
      </c>
      <c r="AP71" s="570">
        <v>2066</v>
      </c>
      <c r="AQ71" s="571">
        <v>2487</v>
      </c>
      <c r="AR71" s="572">
        <v>4553</v>
      </c>
      <c r="AS71" s="573">
        <v>1527</v>
      </c>
      <c r="AT71" s="571">
        <v>1661</v>
      </c>
      <c r="AU71" s="574">
        <v>3188</v>
      </c>
      <c r="AV71" s="570">
        <v>1223</v>
      </c>
      <c r="AW71" s="571">
        <v>1530</v>
      </c>
      <c r="AX71" s="572">
        <v>2753</v>
      </c>
    </row>
    <row r="72" spans="1:50" x14ac:dyDescent="0.3">
      <c r="A72" s="558" t="s">
        <v>150</v>
      </c>
      <c r="B72" s="440" t="s">
        <v>144</v>
      </c>
      <c r="C72" s="559">
        <v>1605</v>
      </c>
      <c r="D72" s="388">
        <v>1466</v>
      </c>
      <c r="E72" s="560">
        <v>3071</v>
      </c>
      <c r="F72" s="561">
        <v>2344</v>
      </c>
      <c r="G72" s="388">
        <v>2196</v>
      </c>
      <c r="H72" s="562">
        <v>4540</v>
      </c>
      <c r="I72" s="559">
        <v>2465</v>
      </c>
      <c r="J72" s="388">
        <v>2280</v>
      </c>
      <c r="K72" s="560">
        <v>4745</v>
      </c>
      <c r="L72" s="561">
        <v>2340</v>
      </c>
      <c r="M72" s="388">
        <v>2114</v>
      </c>
      <c r="N72" s="562">
        <v>4454</v>
      </c>
      <c r="O72" s="559">
        <v>2236</v>
      </c>
      <c r="P72" s="388">
        <v>2111</v>
      </c>
      <c r="Q72" s="560">
        <v>4347</v>
      </c>
      <c r="R72" s="561">
        <v>2258</v>
      </c>
      <c r="S72" s="388">
        <v>2146</v>
      </c>
      <c r="T72" s="562">
        <v>4404</v>
      </c>
      <c r="U72" s="559">
        <v>2123</v>
      </c>
      <c r="V72" s="388">
        <v>2213</v>
      </c>
      <c r="W72" s="560">
        <v>4336</v>
      </c>
      <c r="X72" s="561">
        <v>2166</v>
      </c>
      <c r="Y72" s="388">
        <v>2221</v>
      </c>
      <c r="Z72" s="562">
        <v>4387</v>
      </c>
      <c r="AA72" s="559">
        <v>2447</v>
      </c>
      <c r="AB72" s="388">
        <v>2496</v>
      </c>
      <c r="AC72" s="560">
        <v>4943</v>
      </c>
      <c r="AD72" s="559">
        <v>2228</v>
      </c>
      <c r="AE72" s="388">
        <v>2266</v>
      </c>
      <c r="AF72" s="560">
        <v>4494</v>
      </c>
      <c r="AG72" s="561">
        <v>1889</v>
      </c>
      <c r="AH72" s="388">
        <v>1995</v>
      </c>
      <c r="AI72" s="562">
        <v>3884</v>
      </c>
      <c r="AJ72" s="559">
        <v>1533</v>
      </c>
      <c r="AK72" s="388">
        <v>1636</v>
      </c>
      <c r="AL72" s="560">
        <v>3169</v>
      </c>
      <c r="AM72" s="561">
        <v>1189</v>
      </c>
      <c r="AN72" s="388">
        <v>1470</v>
      </c>
      <c r="AO72" s="562">
        <v>2659</v>
      </c>
      <c r="AP72" s="559">
        <v>964</v>
      </c>
      <c r="AQ72" s="388">
        <v>1303</v>
      </c>
      <c r="AR72" s="560">
        <v>2267</v>
      </c>
      <c r="AS72" s="561">
        <v>843</v>
      </c>
      <c r="AT72" s="388">
        <v>924</v>
      </c>
      <c r="AU72" s="562">
        <v>1767</v>
      </c>
      <c r="AV72" s="559">
        <v>649</v>
      </c>
      <c r="AW72" s="388">
        <v>783</v>
      </c>
      <c r="AX72" s="560">
        <v>1432</v>
      </c>
    </row>
    <row r="73" spans="1:50" x14ac:dyDescent="0.3">
      <c r="A73" s="558" t="s">
        <v>152</v>
      </c>
      <c r="B73" s="440" t="s">
        <v>146</v>
      </c>
      <c r="C73" s="559">
        <v>651</v>
      </c>
      <c r="D73" s="388">
        <v>617</v>
      </c>
      <c r="E73" s="560">
        <v>1268</v>
      </c>
      <c r="F73" s="561">
        <v>933</v>
      </c>
      <c r="G73" s="388">
        <v>906</v>
      </c>
      <c r="H73" s="562">
        <v>1839</v>
      </c>
      <c r="I73" s="559">
        <v>946</v>
      </c>
      <c r="J73" s="388">
        <v>925</v>
      </c>
      <c r="K73" s="560">
        <v>1871</v>
      </c>
      <c r="L73" s="561">
        <v>1010</v>
      </c>
      <c r="M73" s="388">
        <v>895</v>
      </c>
      <c r="N73" s="562">
        <v>1905</v>
      </c>
      <c r="O73" s="559">
        <v>961</v>
      </c>
      <c r="P73" s="388">
        <v>941</v>
      </c>
      <c r="Q73" s="560">
        <v>1902</v>
      </c>
      <c r="R73" s="561">
        <v>964</v>
      </c>
      <c r="S73" s="388">
        <v>938</v>
      </c>
      <c r="T73" s="562">
        <v>1902</v>
      </c>
      <c r="U73" s="559">
        <v>911</v>
      </c>
      <c r="V73" s="388">
        <v>890</v>
      </c>
      <c r="W73" s="560">
        <v>1801</v>
      </c>
      <c r="X73" s="561">
        <v>822</v>
      </c>
      <c r="Y73" s="388">
        <v>870</v>
      </c>
      <c r="Z73" s="562">
        <v>1692</v>
      </c>
      <c r="AA73" s="559">
        <v>924</v>
      </c>
      <c r="AB73" s="388">
        <v>922</v>
      </c>
      <c r="AC73" s="560">
        <v>1846</v>
      </c>
      <c r="AD73" s="559">
        <v>891</v>
      </c>
      <c r="AE73" s="388">
        <v>962</v>
      </c>
      <c r="AF73" s="560">
        <v>1853</v>
      </c>
      <c r="AG73" s="561">
        <v>765</v>
      </c>
      <c r="AH73" s="388">
        <v>850</v>
      </c>
      <c r="AI73" s="562">
        <v>1615</v>
      </c>
      <c r="AJ73" s="559">
        <v>677</v>
      </c>
      <c r="AK73" s="388">
        <v>687</v>
      </c>
      <c r="AL73" s="560">
        <v>1364</v>
      </c>
      <c r="AM73" s="561">
        <v>521</v>
      </c>
      <c r="AN73" s="388">
        <v>642</v>
      </c>
      <c r="AO73" s="562">
        <v>1163</v>
      </c>
      <c r="AP73" s="559">
        <v>418</v>
      </c>
      <c r="AQ73" s="388">
        <v>456</v>
      </c>
      <c r="AR73" s="560">
        <v>874</v>
      </c>
      <c r="AS73" s="561">
        <v>220</v>
      </c>
      <c r="AT73" s="388">
        <v>261</v>
      </c>
      <c r="AU73" s="562">
        <v>481</v>
      </c>
      <c r="AV73" s="559">
        <v>193</v>
      </c>
      <c r="AW73" s="388">
        <v>235</v>
      </c>
      <c r="AX73" s="560">
        <v>428</v>
      </c>
    </row>
    <row r="74" spans="1:50" x14ac:dyDescent="0.3">
      <c r="A74" s="558" t="s">
        <v>154</v>
      </c>
      <c r="B74" s="440" t="s">
        <v>149</v>
      </c>
      <c r="C74" s="559">
        <v>586</v>
      </c>
      <c r="D74" s="388">
        <v>553</v>
      </c>
      <c r="E74" s="560">
        <v>1139</v>
      </c>
      <c r="F74" s="561">
        <v>807</v>
      </c>
      <c r="G74" s="388">
        <v>743</v>
      </c>
      <c r="H74" s="562">
        <v>1550</v>
      </c>
      <c r="I74" s="559">
        <v>920</v>
      </c>
      <c r="J74" s="388">
        <v>869</v>
      </c>
      <c r="K74" s="560">
        <v>1789</v>
      </c>
      <c r="L74" s="561">
        <v>1042</v>
      </c>
      <c r="M74" s="388">
        <v>938</v>
      </c>
      <c r="N74" s="562">
        <v>1980</v>
      </c>
      <c r="O74" s="559">
        <v>1105</v>
      </c>
      <c r="P74" s="388">
        <v>995</v>
      </c>
      <c r="Q74" s="560">
        <v>2100</v>
      </c>
      <c r="R74" s="561">
        <v>937</v>
      </c>
      <c r="S74" s="388">
        <v>931</v>
      </c>
      <c r="T74" s="562">
        <v>1868</v>
      </c>
      <c r="U74" s="559">
        <v>833</v>
      </c>
      <c r="V74" s="388">
        <v>808</v>
      </c>
      <c r="W74" s="560">
        <v>1641</v>
      </c>
      <c r="X74" s="561">
        <v>639</v>
      </c>
      <c r="Y74" s="388">
        <v>733</v>
      </c>
      <c r="Z74" s="562">
        <v>1372</v>
      </c>
      <c r="AA74" s="559">
        <v>749</v>
      </c>
      <c r="AB74" s="388">
        <v>815</v>
      </c>
      <c r="AC74" s="560">
        <v>1564</v>
      </c>
      <c r="AD74" s="559">
        <v>818</v>
      </c>
      <c r="AE74" s="388">
        <v>960</v>
      </c>
      <c r="AF74" s="560">
        <v>1778</v>
      </c>
      <c r="AG74" s="561">
        <v>935</v>
      </c>
      <c r="AH74" s="388">
        <v>1014</v>
      </c>
      <c r="AI74" s="562">
        <v>1949</v>
      </c>
      <c r="AJ74" s="559">
        <v>833</v>
      </c>
      <c r="AK74" s="388">
        <v>747</v>
      </c>
      <c r="AL74" s="560">
        <v>1580</v>
      </c>
      <c r="AM74" s="561">
        <v>482</v>
      </c>
      <c r="AN74" s="388">
        <v>425</v>
      </c>
      <c r="AO74" s="562">
        <v>907</v>
      </c>
      <c r="AP74" s="559">
        <v>263</v>
      </c>
      <c r="AQ74" s="388">
        <v>296</v>
      </c>
      <c r="AR74" s="560">
        <v>559</v>
      </c>
      <c r="AS74" s="561">
        <v>195</v>
      </c>
      <c r="AT74" s="388">
        <v>193</v>
      </c>
      <c r="AU74" s="562">
        <v>388</v>
      </c>
      <c r="AV74" s="559">
        <v>173</v>
      </c>
      <c r="AW74" s="388">
        <v>239</v>
      </c>
      <c r="AX74" s="560">
        <v>412</v>
      </c>
    </row>
    <row r="75" spans="1:50" ht="14.5" thickBot="1" x14ac:dyDescent="0.35">
      <c r="A75" s="563" t="s">
        <v>155</v>
      </c>
      <c r="B75" s="446" t="s">
        <v>151</v>
      </c>
      <c r="C75" s="575">
        <v>867</v>
      </c>
      <c r="D75" s="396">
        <v>821</v>
      </c>
      <c r="E75" s="576">
        <v>1688</v>
      </c>
      <c r="F75" s="577">
        <v>1222</v>
      </c>
      <c r="G75" s="396">
        <v>1220</v>
      </c>
      <c r="H75" s="578">
        <v>2442</v>
      </c>
      <c r="I75" s="575">
        <v>1187</v>
      </c>
      <c r="J75" s="396">
        <v>1058</v>
      </c>
      <c r="K75" s="576">
        <v>2245</v>
      </c>
      <c r="L75" s="577">
        <v>1181</v>
      </c>
      <c r="M75" s="396">
        <v>1112</v>
      </c>
      <c r="N75" s="578">
        <v>2293</v>
      </c>
      <c r="O75" s="575">
        <v>1131</v>
      </c>
      <c r="P75" s="396">
        <v>1076</v>
      </c>
      <c r="Q75" s="576">
        <v>2207</v>
      </c>
      <c r="R75" s="577">
        <v>1141</v>
      </c>
      <c r="S75" s="396">
        <v>1180</v>
      </c>
      <c r="T75" s="578">
        <v>2321</v>
      </c>
      <c r="U75" s="575">
        <v>1184</v>
      </c>
      <c r="V75" s="396">
        <v>1174</v>
      </c>
      <c r="W75" s="576">
        <v>2358</v>
      </c>
      <c r="X75" s="577">
        <v>1025</v>
      </c>
      <c r="Y75" s="396">
        <v>1071</v>
      </c>
      <c r="Z75" s="578">
        <v>2096</v>
      </c>
      <c r="AA75" s="575">
        <v>1120</v>
      </c>
      <c r="AB75" s="396">
        <v>1135</v>
      </c>
      <c r="AC75" s="576">
        <v>2255</v>
      </c>
      <c r="AD75" s="575">
        <v>1036</v>
      </c>
      <c r="AE75" s="396">
        <v>1054</v>
      </c>
      <c r="AF75" s="576">
        <v>2090</v>
      </c>
      <c r="AG75" s="577">
        <v>938</v>
      </c>
      <c r="AH75" s="396">
        <v>954</v>
      </c>
      <c r="AI75" s="578">
        <v>1892</v>
      </c>
      <c r="AJ75" s="575">
        <v>774</v>
      </c>
      <c r="AK75" s="396">
        <v>804</v>
      </c>
      <c r="AL75" s="576">
        <v>1578</v>
      </c>
      <c r="AM75" s="577">
        <v>652</v>
      </c>
      <c r="AN75" s="396">
        <v>682</v>
      </c>
      <c r="AO75" s="578">
        <v>1334</v>
      </c>
      <c r="AP75" s="575">
        <v>421</v>
      </c>
      <c r="AQ75" s="396">
        <v>432</v>
      </c>
      <c r="AR75" s="576">
        <v>853</v>
      </c>
      <c r="AS75" s="577">
        <v>269</v>
      </c>
      <c r="AT75" s="396">
        <v>283</v>
      </c>
      <c r="AU75" s="578">
        <v>552</v>
      </c>
      <c r="AV75" s="575">
        <v>208</v>
      </c>
      <c r="AW75" s="396">
        <v>273</v>
      </c>
      <c r="AX75" s="576">
        <v>481</v>
      </c>
    </row>
  </sheetData>
  <mergeCells count="18">
    <mergeCell ref="AV5:AX5"/>
    <mergeCell ref="O5:Q5"/>
    <mergeCell ref="R5:T5"/>
    <mergeCell ref="U5:W5"/>
    <mergeCell ref="X5:Z5"/>
    <mergeCell ref="AA5:AC5"/>
    <mergeCell ref="AD5:AF5"/>
    <mergeCell ref="AG5:AI5"/>
    <mergeCell ref="AJ5:AL5"/>
    <mergeCell ref="AM5:AO5"/>
    <mergeCell ref="AP5:AR5"/>
    <mergeCell ref="AS5:AU5"/>
    <mergeCell ref="L5:N5"/>
    <mergeCell ref="A5:A6"/>
    <mergeCell ref="B5:B6"/>
    <mergeCell ref="C5:E5"/>
    <mergeCell ref="F5:H5"/>
    <mergeCell ref="I5:K5"/>
  </mergeCells>
  <pageMargins left="0.98425196850393704" right="0.59055118110236227" top="0.39370078740157483" bottom="0.39370078740157483" header="0.31496062992125984" footer="0.31496062992125984"/>
  <pageSetup paperSize="5" scale="44" orientation="landscape" horizontalDpi="360" verticalDpi="360" r:id="rId1"/>
  <colBreaks count="2" manualBreakCount="2">
    <brk id="31" max="74" man="1"/>
    <brk id="53" max="74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4E091-4D87-42AB-A30A-F5C40C067469}">
  <sheetPr>
    <tabColor rgb="FF00B050"/>
  </sheetPr>
  <dimension ref="A1:NJ77"/>
  <sheetViews>
    <sheetView view="pageBreakPreview" zoomScale="60" zoomScaleNormal="90" workbookViewId="0">
      <pane xSplit="2" ySplit="8" topLeftCell="MN9" activePane="bottomRight" state="frozen"/>
      <selection activeCell="H74" sqref="H74"/>
      <selection pane="topRight" activeCell="H74" sqref="H74"/>
      <selection pane="bottomLeft" activeCell="H74" sqref="H74"/>
      <selection pane="bottomRight" activeCell="H74" sqref="H74"/>
    </sheetView>
  </sheetViews>
  <sheetFormatPr defaultColWidth="8.7265625" defaultRowHeight="14" x14ac:dyDescent="0.3"/>
  <cols>
    <col min="1" max="1" width="11.453125" style="289" customWidth="1"/>
    <col min="2" max="2" width="23.81640625" style="289" bestFit="1" customWidth="1"/>
    <col min="3" max="3" width="14.26953125" style="289" customWidth="1"/>
    <col min="4" max="4" width="14.453125" style="289" customWidth="1"/>
    <col min="5" max="5" width="12" style="289" bestFit="1" customWidth="1"/>
    <col min="6" max="6" width="20.453125" style="289" bestFit="1" customWidth="1"/>
    <col min="7" max="7" width="14.1796875" style="289" bestFit="1" customWidth="1"/>
    <col min="8" max="8" width="16.81640625" style="289" bestFit="1" customWidth="1"/>
    <col min="9" max="9" width="11.54296875" style="289" bestFit="1" customWidth="1"/>
    <col min="10" max="10" width="9.7265625" style="289" bestFit="1" customWidth="1"/>
    <col min="11" max="11" width="11.1796875" style="289" bestFit="1" customWidth="1"/>
    <col min="12" max="12" width="13.1796875" style="289" bestFit="1" customWidth="1"/>
    <col min="13" max="13" width="10.1796875" style="289" bestFit="1" customWidth="1"/>
    <col min="14" max="14" width="11.1796875" style="289" bestFit="1" customWidth="1"/>
    <col min="15" max="15" width="10.1796875" style="289" bestFit="1" customWidth="1"/>
    <col min="16" max="16" width="10.453125" style="289" bestFit="1" customWidth="1"/>
    <col min="17" max="17" width="11.1796875" style="289" bestFit="1" customWidth="1"/>
    <col min="18" max="18" width="10.453125" style="289" bestFit="1" customWidth="1"/>
    <col min="19" max="19" width="10.1796875" style="289" bestFit="1" customWidth="1"/>
    <col min="20" max="20" width="11.1796875" style="289" bestFit="1" customWidth="1"/>
    <col min="21" max="22" width="10.1796875" style="289" bestFit="1" customWidth="1"/>
    <col min="23" max="23" width="11.1796875" style="289" bestFit="1" customWidth="1"/>
    <col min="24" max="24" width="9.7265625" style="289" bestFit="1" customWidth="1"/>
    <col min="25" max="25" width="10.1796875" style="289" bestFit="1" customWidth="1"/>
    <col min="26" max="26" width="11.1796875" style="289" bestFit="1" customWidth="1"/>
    <col min="27" max="28" width="10.1796875" style="289" bestFit="1" customWidth="1"/>
    <col min="29" max="29" width="11.1796875" style="289" bestFit="1" customWidth="1"/>
    <col min="30" max="30" width="10.1796875" style="289" bestFit="1" customWidth="1"/>
    <col min="31" max="31" width="10.453125" style="289" bestFit="1" customWidth="1"/>
    <col min="32" max="32" width="11.1796875" style="289" bestFit="1" customWidth="1"/>
    <col min="33" max="33" width="10.1796875" style="289" bestFit="1" customWidth="1"/>
    <col min="34" max="34" width="10.453125" style="289" bestFit="1" customWidth="1"/>
    <col min="35" max="35" width="11.1796875" style="289" bestFit="1" customWidth="1"/>
    <col min="36" max="36" width="10.1796875" style="289" bestFit="1" customWidth="1"/>
    <col min="37" max="37" width="10.453125" style="289" bestFit="1" customWidth="1"/>
    <col min="38" max="38" width="11.1796875" style="289" bestFit="1" customWidth="1"/>
    <col min="39" max="39" width="10.453125" style="289" bestFit="1" customWidth="1"/>
    <col min="40" max="40" width="10.1796875" style="289" bestFit="1" customWidth="1"/>
    <col min="41" max="41" width="11.1796875" style="289" bestFit="1" customWidth="1"/>
    <col min="42" max="42" width="9.7265625" style="289" bestFit="1" customWidth="1"/>
    <col min="43" max="43" width="10.453125" style="289" bestFit="1" customWidth="1"/>
    <col min="44" max="44" width="11.1796875" style="289" bestFit="1" customWidth="1"/>
    <col min="45" max="45" width="10.1796875" style="289" bestFit="1" customWidth="1"/>
    <col min="46" max="46" width="10.453125" style="289" bestFit="1" customWidth="1"/>
    <col min="47" max="47" width="11.1796875" style="289" bestFit="1" customWidth="1"/>
    <col min="48" max="48" width="9.7265625" style="289" bestFit="1" customWidth="1"/>
    <col min="49" max="49" width="10.453125" style="289" bestFit="1" customWidth="1"/>
    <col min="50" max="50" width="11.1796875" style="289" bestFit="1" customWidth="1"/>
    <col min="51" max="51" width="10.1796875" style="289" bestFit="1" customWidth="1"/>
    <col min="52" max="52" width="9.7265625" style="289" bestFit="1" customWidth="1"/>
    <col min="53" max="53" width="11.1796875" style="289" bestFit="1" customWidth="1"/>
    <col min="54" max="55" width="10.1796875" style="289" bestFit="1" customWidth="1"/>
    <col min="56" max="56" width="11.1796875" style="289" bestFit="1" customWidth="1"/>
    <col min="57" max="58" width="9.7265625" style="289" bestFit="1" customWidth="1"/>
    <col min="59" max="59" width="11.1796875" style="289" bestFit="1" customWidth="1"/>
    <col min="60" max="61" width="10.1796875" style="289" bestFit="1" customWidth="1"/>
    <col min="62" max="62" width="11.1796875" style="289" bestFit="1" customWidth="1"/>
    <col min="63" max="63" width="10.453125" style="289" bestFit="1" customWidth="1"/>
    <col min="64" max="64" width="10.1796875" style="289" bestFit="1" customWidth="1"/>
    <col min="65" max="65" width="11.1796875" style="289" bestFit="1" customWidth="1"/>
    <col min="66" max="67" width="10.1796875" style="289" bestFit="1" customWidth="1"/>
    <col min="68" max="68" width="11.1796875" style="289" bestFit="1" customWidth="1"/>
    <col min="69" max="69" width="10.453125" style="289" bestFit="1" customWidth="1"/>
    <col min="70" max="70" width="10.1796875" style="289" bestFit="1" customWidth="1"/>
    <col min="71" max="71" width="11.1796875" style="289" bestFit="1" customWidth="1"/>
    <col min="72" max="72" width="9.7265625" style="289" bestFit="1" customWidth="1"/>
    <col min="73" max="73" width="10.1796875" style="289" bestFit="1" customWidth="1"/>
    <col min="74" max="74" width="11.1796875" style="289" bestFit="1" customWidth="1"/>
    <col min="75" max="76" width="10.1796875" style="289" bestFit="1" customWidth="1"/>
    <col min="77" max="77" width="11.1796875" style="289" bestFit="1" customWidth="1"/>
    <col min="78" max="78" width="9.7265625" style="289" bestFit="1" customWidth="1"/>
    <col min="79" max="79" width="10.1796875" style="289" bestFit="1" customWidth="1"/>
    <col min="80" max="80" width="11.1796875" style="289" bestFit="1" customWidth="1"/>
    <col min="81" max="81" width="10.1796875" style="289" bestFit="1" customWidth="1"/>
    <col min="82" max="82" width="10.453125" style="289" bestFit="1" customWidth="1"/>
    <col min="83" max="83" width="11.1796875" style="289" bestFit="1" customWidth="1"/>
    <col min="84" max="84" width="10.1796875" style="289" bestFit="1" customWidth="1"/>
    <col min="85" max="85" width="9.7265625" style="289" bestFit="1" customWidth="1"/>
    <col min="86" max="86" width="11.1796875" style="289" bestFit="1" customWidth="1"/>
    <col min="87" max="87" width="9.7265625" style="289" bestFit="1" customWidth="1"/>
    <col min="88" max="88" width="10.1796875" style="289" bestFit="1" customWidth="1"/>
    <col min="89" max="89" width="11.1796875" style="289" bestFit="1" customWidth="1"/>
    <col min="90" max="90" width="10.453125" style="289" bestFit="1" customWidth="1"/>
    <col min="91" max="91" width="10.1796875" style="289" bestFit="1" customWidth="1"/>
    <col min="92" max="92" width="11.1796875" style="289" bestFit="1" customWidth="1"/>
    <col min="93" max="93" width="10.453125" style="289" bestFit="1" customWidth="1"/>
    <col min="94" max="94" width="9.453125" style="289" bestFit="1" customWidth="1"/>
    <col min="95" max="95" width="11.1796875" style="289" bestFit="1" customWidth="1"/>
    <col min="96" max="96" width="10.1796875" style="289" bestFit="1" customWidth="1"/>
    <col min="97" max="97" width="9.7265625" style="289" bestFit="1" customWidth="1"/>
    <col min="98" max="98" width="11.1796875" style="289" bestFit="1" customWidth="1"/>
    <col min="99" max="99" width="10.1796875" style="289" bestFit="1" customWidth="1"/>
    <col min="100" max="100" width="10.453125" style="289" bestFit="1" customWidth="1"/>
    <col min="101" max="101" width="11.1796875" style="289" bestFit="1" customWidth="1"/>
    <col min="102" max="102" width="10.453125" style="289" bestFit="1" customWidth="1"/>
    <col min="103" max="103" width="10.1796875" style="289" bestFit="1" customWidth="1"/>
    <col min="104" max="104" width="11.1796875" style="289" bestFit="1" customWidth="1"/>
    <col min="105" max="106" width="10.453125" style="289" bestFit="1" customWidth="1"/>
    <col min="107" max="107" width="11.1796875" style="289" bestFit="1" customWidth="1"/>
    <col min="108" max="108" width="10.1796875" style="289" bestFit="1" customWidth="1"/>
    <col min="109" max="109" width="9.7265625" style="289" bestFit="1" customWidth="1"/>
    <col min="110" max="110" width="11.1796875" style="289" bestFit="1" customWidth="1"/>
    <col min="111" max="111" width="9.7265625" style="289" bestFit="1" customWidth="1"/>
    <col min="112" max="112" width="10.1796875" style="289" bestFit="1" customWidth="1"/>
    <col min="113" max="113" width="11.1796875" style="289" bestFit="1" customWidth="1"/>
    <col min="114" max="114" width="10.453125" style="289" bestFit="1" customWidth="1"/>
    <col min="115" max="115" width="10.1796875" style="289" bestFit="1" customWidth="1"/>
    <col min="116" max="116" width="11.1796875" style="289" bestFit="1" customWidth="1"/>
    <col min="117" max="118" width="10.453125" style="289" bestFit="1" customWidth="1"/>
    <col min="119" max="119" width="11.1796875" style="289" bestFit="1" customWidth="1"/>
    <col min="120" max="121" width="10.453125" style="289" bestFit="1" customWidth="1"/>
    <col min="122" max="122" width="11.1796875" style="289" bestFit="1" customWidth="1"/>
    <col min="123" max="123" width="10.1796875" style="289" bestFit="1" customWidth="1"/>
    <col min="124" max="124" width="10.453125" style="289" bestFit="1" customWidth="1"/>
    <col min="125" max="125" width="11.1796875" style="289" bestFit="1" customWidth="1"/>
    <col min="126" max="126" width="10.1796875" style="289" bestFit="1" customWidth="1"/>
    <col min="127" max="127" width="10.453125" style="289" bestFit="1" customWidth="1"/>
    <col min="128" max="128" width="11.1796875" style="289" bestFit="1" customWidth="1"/>
    <col min="129" max="129" width="10.1796875" style="289" bestFit="1" customWidth="1"/>
    <col min="130" max="130" width="10.453125" style="289" bestFit="1" customWidth="1"/>
    <col min="131" max="131" width="11.1796875" style="289" bestFit="1" customWidth="1"/>
    <col min="132" max="133" width="10.1796875" style="289" bestFit="1" customWidth="1"/>
    <col min="134" max="134" width="11.1796875" style="289" bestFit="1" customWidth="1"/>
    <col min="135" max="135" width="10.1796875" style="289" bestFit="1" customWidth="1"/>
    <col min="136" max="136" width="10.453125" style="289" bestFit="1" customWidth="1"/>
    <col min="137" max="137" width="11.1796875" style="289" bestFit="1" customWidth="1"/>
    <col min="138" max="138" width="9.7265625" style="289" bestFit="1" customWidth="1"/>
    <col min="139" max="139" width="10.1796875" style="289" bestFit="1" customWidth="1"/>
    <col min="140" max="140" width="11.1796875" style="289" bestFit="1" customWidth="1"/>
    <col min="141" max="142" width="10.1796875" style="289" bestFit="1" customWidth="1"/>
    <col min="143" max="143" width="11.1796875" style="289" bestFit="1" customWidth="1"/>
    <col min="144" max="145" width="9.7265625" style="289" bestFit="1" customWidth="1"/>
    <col min="146" max="146" width="11.1796875" style="289" bestFit="1" customWidth="1"/>
    <col min="147" max="147" width="10.1796875" style="289" bestFit="1" customWidth="1"/>
    <col min="148" max="148" width="9.7265625" style="289" bestFit="1" customWidth="1"/>
    <col min="149" max="149" width="11.1796875" style="289" bestFit="1" customWidth="1"/>
    <col min="150" max="151" width="10.1796875" style="289" bestFit="1" customWidth="1"/>
    <col min="152" max="152" width="11.1796875" style="289" bestFit="1" customWidth="1"/>
    <col min="153" max="154" width="10.1796875" style="289" bestFit="1" customWidth="1"/>
    <col min="155" max="155" width="11.1796875" style="289" bestFit="1" customWidth="1"/>
    <col min="156" max="156" width="10.1796875" style="289" bestFit="1" customWidth="1"/>
    <col min="157" max="157" width="9.7265625" style="289" bestFit="1" customWidth="1"/>
    <col min="158" max="158" width="11.1796875" style="289" bestFit="1" customWidth="1"/>
    <col min="159" max="159" width="9.7265625" style="289" bestFit="1" customWidth="1"/>
    <col min="160" max="160" width="10.1796875" style="289" bestFit="1" customWidth="1"/>
    <col min="161" max="161" width="11.1796875" style="289" bestFit="1" customWidth="1"/>
    <col min="162" max="163" width="10.1796875" style="289" bestFit="1" customWidth="1"/>
    <col min="164" max="164" width="11.1796875" style="289" bestFit="1" customWidth="1"/>
    <col min="165" max="165" width="10.1796875" style="289" bestFit="1" customWidth="1"/>
    <col min="166" max="166" width="9.7265625" style="289" bestFit="1" customWidth="1"/>
    <col min="167" max="167" width="11.1796875" style="289" bestFit="1" customWidth="1"/>
    <col min="168" max="168" width="9.7265625" style="289" bestFit="1" customWidth="1"/>
    <col min="169" max="169" width="10.1796875" style="289" bestFit="1" customWidth="1"/>
    <col min="170" max="170" width="11.1796875" style="289" bestFit="1" customWidth="1"/>
    <col min="171" max="171" width="9.7265625" style="289" bestFit="1" customWidth="1"/>
    <col min="172" max="172" width="10.1796875" style="289" bestFit="1" customWidth="1"/>
    <col min="173" max="173" width="11.1796875" style="289" bestFit="1" customWidth="1"/>
    <col min="174" max="175" width="9.7265625" style="289" bestFit="1" customWidth="1"/>
    <col min="176" max="176" width="11.1796875" style="289" bestFit="1" customWidth="1"/>
    <col min="177" max="177" width="9.7265625" style="289" bestFit="1" customWidth="1"/>
    <col min="178" max="178" width="10.1796875" style="289" bestFit="1" customWidth="1"/>
    <col min="179" max="179" width="11.1796875" style="289" bestFit="1" customWidth="1"/>
    <col min="180" max="181" width="10.1796875" style="289" bestFit="1" customWidth="1"/>
    <col min="182" max="182" width="11.1796875" style="289" bestFit="1" customWidth="1"/>
    <col min="183" max="183" width="10.1796875" style="289" bestFit="1" customWidth="1"/>
    <col min="184" max="184" width="9.453125" style="289" bestFit="1" customWidth="1"/>
    <col min="185" max="185" width="11.1796875" style="289" bestFit="1" customWidth="1"/>
    <col min="186" max="186" width="10.1796875" style="289" bestFit="1" customWidth="1"/>
    <col min="187" max="187" width="9.7265625" style="289" bestFit="1" customWidth="1"/>
    <col min="188" max="188" width="11.1796875" style="289" bestFit="1" customWidth="1"/>
    <col min="189" max="189" width="9.1796875" style="289" bestFit="1" customWidth="1"/>
    <col min="190" max="190" width="8.81640625" style="289" bestFit="1" customWidth="1"/>
    <col min="191" max="191" width="11.1796875" style="289" bestFit="1" customWidth="1"/>
    <col min="192" max="193" width="9.7265625" style="289" bestFit="1" customWidth="1"/>
    <col min="194" max="194" width="11.1796875" style="289" bestFit="1" customWidth="1"/>
    <col min="195" max="196" width="9.1796875" style="289" bestFit="1" customWidth="1"/>
    <col min="197" max="197" width="11.1796875" style="289" bestFit="1" customWidth="1"/>
    <col min="198" max="199" width="9.1796875" style="289" bestFit="1" customWidth="1"/>
    <col min="200" max="200" width="11.1796875" style="289" bestFit="1" customWidth="1"/>
    <col min="201" max="202" width="9.1796875" style="289" bestFit="1" customWidth="1"/>
    <col min="203" max="203" width="11.1796875" style="289" bestFit="1" customWidth="1"/>
    <col min="204" max="204" width="8.81640625" style="289" bestFit="1" customWidth="1"/>
    <col min="205" max="205" width="9.1796875" style="289" bestFit="1" customWidth="1"/>
    <col min="206" max="206" width="11.1796875" style="289" bestFit="1" customWidth="1"/>
    <col min="207" max="208" width="9.1796875" style="289" bestFit="1" customWidth="1"/>
    <col min="209" max="209" width="11.1796875" style="289" bestFit="1" customWidth="1"/>
    <col min="210" max="210" width="9.1796875" style="289" bestFit="1" customWidth="1"/>
    <col min="211" max="211" width="8.81640625" style="289" bestFit="1" customWidth="1"/>
    <col min="212" max="212" width="11.1796875" style="289" bestFit="1" customWidth="1"/>
    <col min="213" max="213" width="8.81640625" style="289" bestFit="1" customWidth="1"/>
    <col min="214" max="214" width="9.1796875" style="289" bestFit="1" customWidth="1"/>
    <col min="215" max="215" width="11.1796875" style="289" bestFit="1" customWidth="1"/>
    <col min="216" max="217" width="9.1796875" style="289" bestFit="1" customWidth="1"/>
    <col min="218" max="218" width="11.1796875" style="289" bestFit="1" customWidth="1"/>
    <col min="219" max="219" width="9.1796875" style="289" bestFit="1" customWidth="1"/>
    <col min="220" max="220" width="8.81640625" style="289" bestFit="1" customWidth="1"/>
    <col min="221" max="221" width="11.1796875" style="289" bestFit="1" customWidth="1"/>
    <col min="222" max="223" width="9.1796875" style="289" bestFit="1" customWidth="1"/>
    <col min="224" max="224" width="11.1796875" style="289" bestFit="1" customWidth="1"/>
    <col min="225" max="225" width="9.1796875" style="289" bestFit="1" customWidth="1"/>
    <col min="226" max="226" width="8.81640625" style="289" bestFit="1" customWidth="1"/>
    <col min="227" max="227" width="11.1796875" style="289" bestFit="1" customWidth="1"/>
    <col min="228" max="229" width="9.1796875" style="289" bestFit="1" customWidth="1"/>
    <col min="230" max="230" width="11.1796875" style="289" bestFit="1" customWidth="1"/>
    <col min="231" max="231" width="8.453125" style="289" bestFit="1" customWidth="1"/>
    <col min="232" max="232" width="8.81640625" style="289" bestFit="1" customWidth="1"/>
    <col min="233" max="233" width="11.1796875" style="289" bestFit="1" customWidth="1"/>
    <col min="234" max="235" width="8.81640625" style="289" bestFit="1" customWidth="1"/>
    <col min="236" max="236" width="11.1796875" style="289" bestFit="1" customWidth="1"/>
    <col min="237" max="238" width="8.81640625" style="289" bestFit="1" customWidth="1"/>
    <col min="239" max="239" width="11.1796875" style="289" bestFit="1" customWidth="1"/>
    <col min="240" max="241" width="8.81640625" style="289" bestFit="1" customWidth="1"/>
    <col min="242" max="242" width="11.1796875" style="289" bestFit="1" customWidth="1"/>
    <col min="243" max="243" width="8.81640625" style="289" bestFit="1" customWidth="1"/>
    <col min="244" max="244" width="8.453125" style="289" bestFit="1" customWidth="1"/>
    <col min="245" max="245" width="11.1796875" style="289" bestFit="1" customWidth="1"/>
    <col min="246" max="247" width="8.453125" style="289" bestFit="1" customWidth="1"/>
    <col min="248" max="248" width="11.1796875" style="289" bestFit="1" customWidth="1"/>
    <col min="249" max="249" width="7.1796875" style="289" bestFit="1" customWidth="1"/>
    <col min="250" max="250" width="8" style="289" bestFit="1" customWidth="1"/>
    <col min="251" max="251" width="11.1796875" style="289" bestFit="1" customWidth="1"/>
    <col min="252" max="252" width="7.1796875" style="289" bestFit="1" customWidth="1"/>
    <col min="253" max="253" width="8.81640625" style="289" bestFit="1" customWidth="1"/>
    <col min="254" max="254" width="11.1796875" style="289" bestFit="1" customWidth="1"/>
    <col min="255" max="256" width="7.1796875" style="289" bestFit="1" customWidth="1"/>
    <col min="257" max="257" width="11.1796875" style="289" bestFit="1" customWidth="1"/>
    <col min="258" max="259" width="7.1796875" style="289" bestFit="1" customWidth="1"/>
    <col min="260" max="260" width="11.1796875" style="289" bestFit="1" customWidth="1"/>
    <col min="261" max="262" width="7.1796875" style="289" bestFit="1" customWidth="1"/>
    <col min="263" max="263" width="11.1796875" style="289" bestFit="1" customWidth="1"/>
    <col min="264" max="264" width="6.81640625" style="289" bestFit="1" customWidth="1"/>
    <col min="265" max="265" width="7.1796875" style="289" bestFit="1" customWidth="1"/>
    <col min="266" max="266" width="11.1796875" style="289" bestFit="1" customWidth="1"/>
    <col min="267" max="268" width="7.1796875" style="289" bestFit="1" customWidth="1"/>
    <col min="269" max="269" width="11.1796875" style="289" bestFit="1" customWidth="1"/>
    <col min="270" max="270" width="6.453125" style="289" bestFit="1" customWidth="1"/>
    <col min="271" max="271" width="7.1796875" style="289" bestFit="1" customWidth="1"/>
    <col min="272" max="272" width="11.1796875" style="289" bestFit="1" customWidth="1"/>
    <col min="273" max="273" width="6.81640625" style="289" bestFit="1" customWidth="1"/>
    <col min="274" max="274" width="7.1796875" style="289" bestFit="1" customWidth="1"/>
    <col min="275" max="275" width="11.1796875" style="289" bestFit="1" customWidth="1"/>
    <col min="276" max="276" width="6.453125" style="289" bestFit="1" customWidth="1"/>
    <col min="277" max="277" width="6.81640625" style="289" bestFit="1" customWidth="1"/>
    <col min="278" max="278" width="11.1796875" style="289" bestFit="1" customWidth="1"/>
    <col min="279" max="279" width="6.26953125" style="289" bestFit="1" customWidth="1"/>
    <col min="280" max="280" width="6.453125" style="289" bestFit="1" customWidth="1"/>
    <col min="281" max="281" width="11.1796875" style="289" bestFit="1" customWidth="1"/>
    <col min="282" max="282" width="6.26953125" style="289" bestFit="1" customWidth="1"/>
    <col min="283" max="283" width="6.453125" style="289" bestFit="1" customWidth="1"/>
    <col min="284" max="284" width="11.1796875" style="289" bestFit="1" customWidth="1"/>
    <col min="285" max="285" width="6.26953125" style="289" bestFit="1" customWidth="1"/>
    <col min="286" max="286" width="6.453125" style="289" bestFit="1" customWidth="1"/>
    <col min="287" max="287" width="11.1796875" style="289" bestFit="1" customWidth="1"/>
    <col min="288" max="288" width="6.26953125" style="289" bestFit="1" customWidth="1"/>
    <col min="289" max="289" width="6.453125" style="289" bestFit="1" customWidth="1"/>
    <col min="290" max="290" width="11.1796875" style="289" bestFit="1" customWidth="1"/>
    <col min="291" max="291" width="6.26953125" style="289" bestFit="1" customWidth="1"/>
    <col min="292" max="292" width="6.453125" style="289" bestFit="1" customWidth="1"/>
    <col min="293" max="293" width="11.1796875" style="289" bestFit="1" customWidth="1"/>
    <col min="294" max="294" width="6.26953125" style="289" bestFit="1" customWidth="1"/>
    <col min="295" max="295" width="6.453125" style="289" bestFit="1" customWidth="1"/>
    <col min="296" max="296" width="11.1796875" style="289" bestFit="1" customWidth="1"/>
    <col min="297" max="297" width="6.26953125" style="289" bestFit="1" customWidth="1"/>
    <col min="298" max="298" width="6.453125" style="289" bestFit="1" customWidth="1"/>
    <col min="299" max="299" width="11.1796875" style="289" bestFit="1" customWidth="1"/>
    <col min="300" max="300" width="6.26953125" style="289" bestFit="1" customWidth="1"/>
    <col min="301" max="301" width="6.453125" style="289" bestFit="1" customWidth="1"/>
    <col min="302" max="302" width="11.1796875" style="289" bestFit="1" customWidth="1"/>
    <col min="303" max="303" width="7.1796875" style="289" bestFit="1" customWidth="1"/>
    <col min="304" max="304" width="7.453125" style="289" bestFit="1" customWidth="1"/>
    <col min="305" max="305" width="11.1796875" style="289" bestFit="1" customWidth="1"/>
    <col min="306" max="306" width="6.81640625" style="289" bestFit="1" customWidth="1"/>
    <col min="307" max="307" width="7" style="289" bestFit="1" customWidth="1"/>
    <col min="308" max="308" width="11.1796875" style="289" bestFit="1" customWidth="1"/>
    <col min="309" max="309" width="7.1796875" style="289" bestFit="1" customWidth="1"/>
    <col min="310" max="310" width="7.453125" style="289" bestFit="1" customWidth="1"/>
    <col min="311" max="311" width="11.1796875" style="289" bestFit="1" customWidth="1"/>
    <col min="312" max="312" width="7.1796875" style="289" bestFit="1" customWidth="1"/>
    <col min="313" max="313" width="7.453125" style="289" bestFit="1" customWidth="1"/>
    <col min="314" max="314" width="11.1796875" style="289" bestFit="1" customWidth="1"/>
    <col min="315" max="315" width="7.1796875" style="289" bestFit="1" customWidth="1"/>
    <col min="316" max="316" width="7.453125" style="289" bestFit="1" customWidth="1"/>
    <col min="317" max="317" width="11.1796875" style="289" bestFit="1" customWidth="1"/>
    <col min="318" max="318" width="7.1796875" style="289" bestFit="1" customWidth="1"/>
    <col min="319" max="319" width="7.453125" style="289" bestFit="1" customWidth="1"/>
    <col min="320" max="320" width="11.1796875" style="289" bestFit="1" customWidth="1"/>
    <col min="321" max="321" width="7.1796875" style="289" bestFit="1" customWidth="1"/>
    <col min="322" max="322" width="7.453125" style="289" bestFit="1" customWidth="1"/>
    <col min="323" max="323" width="11.1796875" style="289" bestFit="1" customWidth="1"/>
    <col min="324" max="324" width="7.1796875" style="289" bestFit="1" customWidth="1"/>
    <col min="325" max="325" width="7.453125" style="289" bestFit="1" customWidth="1"/>
    <col min="326" max="326" width="11.1796875" style="289" bestFit="1" customWidth="1"/>
    <col min="327" max="327" width="7.1796875" style="289" bestFit="1" customWidth="1"/>
    <col min="328" max="328" width="7.453125" style="289" bestFit="1" customWidth="1"/>
    <col min="329" max="329" width="11.1796875" style="289" bestFit="1" customWidth="1"/>
    <col min="330" max="330" width="7.1796875" style="289" bestFit="1" customWidth="1"/>
    <col min="331" max="331" width="7.453125" style="289" bestFit="1" customWidth="1"/>
    <col min="332" max="332" width="11.1796875" style="289" bestFit="1" customWidth="1"/>
    <col min="333" max="333" width="6.81640625" style="289" bestFit="1" customWidth="1"/>
    <col min="334" max="334" width="7" style="289" bestFit="1" customWidth="1"/>
    <col min="335" max="335" width="11.1796875" style="289" bestFit="1" customWidth="1"/>
    <col min="336" max="336" width="6.453125" style="289" bestFit="1" customWidth="1"/>
    <col min="337" max="337" width="6.54296875" style="289" bestFit="1" customWidth="1"/>
    <col min="338" max="338" width="11.1796875" style="289" bestFit="1" customWidth="1"/>
    <col min="339" max="339" width="6.81640625" style="289" bestFit="1" customWidth="1"/>
    <col min="340" max="340" width="7" style="289" bestFit="1" customWidth="1"/>
    <col min="341" max="341" width="11.1796875" style="289" bestFit="1" customWidth="1"/>
    <col min="342" max="342" width="6.81640625" style="289" bestFit="1" customWidth="1"/>
    <col min="343" max="343" width="7" style="289" bestFit="1" customWidth="1"/>
    <col min="344" max="344" width="11.1796875" style="289" bestFit="1" customWidth="1"/>
    <col min="345" max="345" width="6.81640625" style="289" bestFit="1" customWidth="1"/>
    <col min="346" max="346" width="7" style="289" bestFit="1" customWidth="1"/>
    <col min="347" max="347" width="11.1796875" style="289" bestFit="1" customWidth="1"/>
    <col min="348" max="348" width="6.81640625" style="289" bestFit="1" customWidth="1"/>
    <col min="349" max="349" width="7" style="289" bestFit="1" customWidth="1"/>
    <col min="350" max="350" width="11.1796875" style="289" bestFit="1" customWidth="1"/>
    <col min="351" max="351" width="6.81640625" style="289" bestFit="1" customWidth="1"/>
    <col min="352" max="352" width="7" style="289" bestFit="1" customWidth="1"/>
    <col min="353" max="353" width="11.1796875" style="289" bestFit="1" customWidth="1"/>
    <col min="354" max="354" width="6.81640625" style="289" bestFit="1" customWidth="1"/>
    <col min="355" max="355" width="7" style="289" bestFit="1" customWidth="1"/>
    <col min="356" max="356" width="11.1796875" style="289" bestFit="1" customWidth="1"/>
    <col min="357" max="357" width="6.81640625" style="289" bestFit="1" customWidth="1"/>
    <col min="358" max="358" width="7" style="289" bestFit="1" customWidth="1"/>
    <col min="359" max="359" width="11.1796875" style="289" bestFit="1" customWidth="1"/>
    <col min="360" max="360" width="6.81640625" style="289" bestFit="1" customWidth="1"/>
    <col min="361" max="361" width="7" style="289" bestFit="1" customWidth="1"/>
    <col min="362" max="362" width="11.1796875" style="289" bestFit="1" customWidth="1"/>
    <col min="363" max="363" width="7.1796875" style="289" bestFit="1" customWidth="1"/>
    <col min="364" max="364" width="7.453125" style="289" bestFit="1" customWidth="1"/>
    <col min="365" max="365" width="11.1796875" style="289" customWidth="1"/>
    <col min="366" max="366" width="7.54296875" style="289" customWidth="1"/>
    <col min="367" max="367" width="7.26953125" style="289" customWidth="1"/>
    <col min="368" max="368" width="11.1796875" style="289" customWidth="1"/>
    <col min="369" max="369" width="13" style="289" customWidth="1"/>
    <col min="370" max="370" width="13" style="289" bestFit="1" customWidth="1"/>
    <col min="371" max="372" width="13.453125" style="289" customWidth="1"/>
    <col min="373" max="374" width="13" style="289" customWidth="1"/>
    <col min="375" max="375" width="10.54296875" style="289" customWidth="1"/>
    <col min="376" max="376" width="8.81640625" style="289" customWidth="1"/>
    <col min="377" max="16384" width="8.7265625" style="289"/>
  </cols>
  <sheetData>
    <row r="1" spans="1:374" x14ac:dyDescent="0.3">
      <c r="A1" s="449" t="s">
        <v>486</v>
      </c>
    </row>
    <row r="2" spans="1:374" ht="14.5" thickBot="1" x14ac:dyDescent="0.35">
      <c r="A2" s="449" t="s">
        <v>344</v>
      </c>
    </row>
    <row r="3" spans="1:374" ht="14.5" thickBot="1" x14ac:dyDescent="0.35">
      <c r="NE3" s="665" t="s">
        <v>487</v>
      </c>
      <c r="NF3" s="666"/>
      <c r="NG3" s="667"/>
      <c r="NH3" s="665" t="s">
        <v>488</v>
      </c>
      <c r="NI3" s="666"/>
      <c r="NJ3" s="667"/>
    </row>
    <row r="4" spans="1:374" ht="14.5" thickBot="1" x14ac:dyDescent="0.35">
      <c r="A4" s="579"/>
      <c r="B4" s="580" t="s">
        <v>489</v>
      </c>
      <c r="C4" s="668" t="s">
        <v>490</v>
      </c>
      <c r="D4" s="669"/>
      <c r="E4" s="669"/>
      <c r="F4" s="670">
        <v>1</v>
      </c>
      <c r="G4" s="669"/>
      <c r="H4" s="669"/>
      <c r="I4" s="670">
        <v>2</v>
      </c>
      <c r="J4" s="669"/>
      <c r="K4" s="669"/>
      <c r="L4" s="670">
        <v>3</v>
      </c>
      <c r="M4" s="669"/>
      <c r="N4" s="669"/>
      <c r="O4" s="670">
        <v>4</v>
      </c>
      <c r="P4" s="669"/>
      <c r="Q4" s="669"/>
      <c r="R4" s="670">
        <v>5</v>
      </c>
      <c r="S4" s="669"/>
      <c r="T4" s="669"/>
      <c r="U4" s="670">
        <v>6</v>
      </c>
      <c r="V4" s="669"/>
      <c r="W4" s="669"/>
      <c r="X4" s="670">
        <v>7</v>
      </c>
      <c r="Y4" s="669"/>
      <c r="Z4" s="669"/>
      <c r="AA4" s="670">
        <v>8</v>
      </c>
      <c r="AB4" s="669"/>
      <c r="AC4" s="669"/>
      <c r="AD4" s="670">
        <v>9</v>
      </c>
      <c r="AE4" s="669"/>
      <c r="AF4" s="669"/>
      <c r="AG4" s="670">
        <v>10</v>
      </c>
      <c r="AH4" s="669"/>
      <c r="AI4" s="669"/>
      <c r="AJ4" s="670">
        <v>11</v>
      </c>
      <c r="AK4" s="669"/>
      <c r="AL4" s="669"/>
      <c r="AM4" s="670">
        <v>12</v>
      </c>
      <c r="AN4" s="669"/>
      <c r="AO4" s="669"/>
      <c r="AP4" s="670">
        <v>13</v>
      </c>
      <c r="AQ4" s="669"/>
      <c r="AR4" s="669"/>
      <c r="AS4" s="670">
        <v>14</v>
      </c>
      <c r="AT4" s="669"/>
      <c r="AU4" s="669"/>
      <c r="AV4" s="670">
        <v>15</v>
      </c>
      <c r="AW4" s="669"/>
      <c r="AX4" s="669"/>
      <c r="AY4" s="670">
        <v>16</v>
      </c>
      <c r="AZ4" s="669"/>
      <c r="BA4" s="669"/>
      <c r="BB4" s="670">
        <v>17</v>
      </c>
      <c r="BC4" s="669"/>
      <c r="BD4" s="669"/>
      <c r="BE4" s="670">
        <v>18</v>
      </c>
      <c r="BF4" s="669"/>
      <c r="BG4" s="669"/>
      <c r="BH4" s="670">
        <v>19</v>
      </c>
      <c r="BI4" s="669"/>
      <c r="BJ4" s="669"/>
      <c r="BK4" s="670">
        <v>20</v>
      </c>
      <c r="BL4" s="669"/>
      <c r="BM4" s="669"/>
      <c r="BN4" s="670">
        <v>21</v>
      </c>
      <c r="BO4" s="669"/>
      <c r="BP4" s="669"/>
      <c r="BQ4" s="670">
        <v>22</v>
      </c>
      <c r="BR4" s="669"/>
      <c r="BS4" s="669"/>
      <c r="BT4" s="670">
        <v>23</v>
      </c>
      <c r="BU4" s="669"/>
      <c r="BV4" s="669"/>
      <c r="BW4" s="670">
        <v>24</v>
      </c>
      <c r="BX4" s="669"/>
      <c r="BY4" s="669"/>
      <c r="BZ4" s="670">
        <v>25</v>
      </c>
      <c r="CA4" s="669"/>
      <c r="CB4" s="669"/>
      <c r="CC4" s="670">
        <v>26</v>
      </c>
      <c r="CD4" s="669"/>
      <c r="CE4" s="669"/>
      <c r="CF4" s="670">
        <v>27</v>
      </c>
      <c r="CG4" s="669"/>
      <c r="CH4" s="669"/>
      <c r="CI4" s="670">
        <v>28</v>
      </c>
      <c r="CJ4" s="669"/>
      <c r="CK4" s="669"/>
      <c r="CL4" s="670">
        <v>29</v>
      </c>
      <c r="CM4" s="669"/>
      <c r="CN4" s="669"/>
      <c r="CO4" s="670">
        <v>30</v>
      </c>
      <c r="CP4" s="669"/>
      <c r="CQ4" s="669"/>
      <c r="CR4" s="670">
        <v>31</v>
      </c>
      <c r="CS4" s="669"/>
      <c r="CT4" s="669"/>
      <c r="CU4" s="670">
        <v>32</v>
      </c>
      <c r="CV4" s="669"/>
      <c r="CW4" s="669"/>
      <c r="CX4" s="670">
        <v>33</v>
      </c>
      <c r="CY4" s="669"/>
      <c r="CZ4" s="669"/>
      <c r="DA4" s="670">
        <v>34</v>
      </c>
      <c r="DB4" s="669"/>
      <c r="DC4" s="669"/>
      <c r="DD4" s="670">
        <v>35</v>
      </c>
      <c r="DE4" s="669"/>
      <c r="DF4" s="669"/>
      <c r="DG4" s="670">
        <v>36</v>
      </c>
      <c r="DH4" s="669"/>
      <c r="DI4" s="669"/>
      <c r="DJ4" s="670">
        <v>37</v>
      </c>
      <c r="DK4" s="669"/>
      <c r="DL4" s="669"/>
      <c r="DM4" s="670">
        <v>38</v>
      </c>
      <c r="DN4" s="669"/>
      <c r="DO4" s="669"/>
      <c r="DP4" s="670">
        <v>39</v>
      </c>
      <c r="DQ4" s="669"/>
      <c r="DR4" s="669"/>
      <c r="DS4" s="670">
        <v>40</v>
      </c>
      <c r="DT4" s="669"/>
      <c r="DU4" s="669"/>
      <c r="DV4" s="670">
        <v>41</v>
      </c>
      <c r="DW4" s="669"/>
      <c r="DX4" s="669"/>
      <c r="DY4" s="670">
        <v>42</v>
      </c>
      <c r="DZ4" s="669"/>
      <c r="EA4" s="669"/>
      <c r="EB4" s="670">
        <v>43</v>
      </c>
      <c r="EC4" s="669"/>
      <c r="ED4" s="669"/>
      <c r="EE4" s="670">
        <v>44</v>
      </c>
      <c r="EF4" s="669"/>
      <c r="EG4" s="669"/>
      <c r="EH4" s="670">
        <v>45</v>
      </c>
      <c r="EI4" s="669"/>
      <c r="EJ4" s="669"/>
      <c r="EK4" s="670">
        <v>46</v>
      </c>
      <c r="EL4" s="669"/>
      <c r="EM4" s="669"/>
      <c r="EN4" s="670">
        <v>47</v>
      </c>
      <c r="EO4" s="669"/>
      <c r="EP4" s="669"/>
      <c r="EQ4" s="670">
        <v>48</v>
      </c>
      <c r="ER4" s="669"/>
      <c r="ES4" s="669"/>
      <c r="ET4" s="670">
        <v>49</v>
      </c>
      <c r="EU4" s="669"/>
      <c r="EV4" s="669"/>
      <c r="EW4" s="670">
        <v>50</v>
      </c>
      <c r="EX4" s="669"/>
      <c r="EY4" s="669"/>
      <c r="EZ4" s="670">
        <v>51</v>
      </c>
      <c r="FA4" s="669"/>
      <c r="FB4" s="669"/>
      <c r="FC4" s="670">
        <v>52</v>
      </c>
      <c r="FD4" s="669"/>
      <c r="FE4" s="669"/>
      <c r="FF4" s="670">
        <v>53</v>
      </c>
      <c r="FG4" s="669"/>
      <c r="FH4" s="669"/>
      <c r="FI4" s="670">
        <v>54</v>
      </c>
      <c r="FJ4" s="669"/>
      <c r="FK4" s="669"/>
      <c r="FL4" s="670">
        <v>55</v>
      </c>
      <c r="FM4" s="669"/>
      <c r="FN4" s="669"/>
      <c r="FO4" s="670">
        <v>56</v>
      </c>
      <c r="FP4" s="669"/>
      <c r="FQ4" s="669"/>
      <c r="FR4" s="670">
        <v>57</v>
      </c>
      <c r="FS4" s="669"/>
      <c r="FT4" s="669"/>
      <c r="FU4" s="670">
        <v>58</v>
      </c>
      <c r="FV4" s="669"/>
      <c r="FW4" s="669"/>
      <c r="FX4" s="670">
        <v>59</v>
      </c>
      <c r="FY4" s="669"/>
      <c r="FZ4" s="669"/>
      <c r="GA4" s="670">
        <v>60</v>
      </c>
      <c r="GB4" s="669"/>
      <c r="GC4" s="669"/>
      <c r="GD4" s="670">
        <v>61</v>
      </c>
      <c r="GE4" s="669"/>
      <c r="GF4" s="669"/>
      <c r="GG4" s="670">
        <v>62</v>
      </c>
      <c r="GH4" s="669"/>
      <c r="GI4" s="669"/>
      <c r="GJ4" s="670">
        <v>63</v>
      </c>
      <c r="GK4" s="669"/>
      <c r="GL4" s="669"/>
      <c r="GM4" s="670">
        <v>64</v>
      </c>
      <c r="GN4" s="669"/>
      <c r="GO4" s="669"/>
      <c r="GP4" s="670">
        <v>65</v>
      </c>
      <c r="GQ4" s="669"/>
      <c r="GR4" s="669"/>
      <c r="GS4" s="670">
        <v>66</v>
      </c>
      <c r="GT4" s="669"/>
      <c r="GU4" s="669"/>
      <c r="GV4" s="670">
        <v>67</v>
      </c>
      <c r="GW4" s="669"/>
      <c r="GX4" s="669"/>
      <c r="GY4" s="670">
        <v>68</v>
      </c>
      <c r="GZ4" s="669"/>
      <c r="HA4" s="669"/>
      <c r="HB4" s="670">
        <v>69</v>
      </c>
      <c r="HC4" s="669"/>
      <c r="HD4" s="669"/>
      <c r="HE4" s="670">
        <v>70</v>
      </c>
      <c r="HF4" s="669"/>
      <c r="HG4" s="669"/>
      <c r="HH4" s="670">
        <v>71</v>
      </c>
      <c r="HI4" s="669"/>
      <c r="HJ4" s="669"/>
      <c r="HK4" s="670">
        <v>72</v>
      </c>
      <c r="HL4" s="669"/>
      <c r="HM4" s="669"/>
      <c r="HN4" s="670">
        <v>73</v>
      </c>
      <c r="HO4" s="669"/>
      <c r="HP4" s="669"/>
      <c r="HQ4" s="670">
        <v>74</v>
      </c>
      <c r="HR4" s="669"/>
      <c r="HS4" s="669"/>
      <c r="HT4" s="670">
        <v>75</v>
      </c>
      <c r="HU4" s="669"/>
      <c r="HV4" s="669"/>
      <c r="HW4" s="670">
        <v>76</v>
      </c>
      <c r="HX4" s="669"/>
      <c r="HY4" s="669"/>
      <c r="HZ4" s="670">
        <v>77</v>
      </c>
      <c r="IA4" s="669"/>
      <c r="IB4" s="669"/>
      <c r="IC4" s="670">
        <v>78</v>
      </c>
      <c r="ID4" s="669"/>
      <c r="IE4" s="669"/>
      <c r="IF4" s="670">
        <v>79</v>
      </c>
      <c r="IG4" s="669"/>
      <c r="IH4" s="669"/>
      <c r="II4" s="670">
        <v>80</v>
      </c>
      <c r="IJ4" s="669"/>
      <c r="IK4" s="669"/>
      <c r="IL4" s="670">
        <v>81</v>
      </c>
      <c r="IM4" s="669"/>
      <c r="IN4" s="669"/>
      <c r="IO4" s="670">
        <v>82</v>
      </c>
      <c r="IP4" s="669"/>
      <c r="IQ4" s="669"/>
      <c r="IR4" s="670">
        <v>83</v>
      </c>
      <c r="IS4" s="669"/>
      <c r="IT4" s="669"/>
      <c r="IU4" s="670">
        <v>84</v>
      </c>
      <c r="IV4" s="669"/>
      <c r="IW4" s="669"/>
      <c r="IX4" s="670">
        <v>85</v>
      </c>
      <c r="IY4" s="669"/>
      <c r="IZ4" s="669"/>
      <c r="JA4" s="670">
        <v>86</v>
      </c>
      <c r="JB4" s="669"/>
      <c r="JC4" s="669"/>
      <c r="JD4" s="670">
        <v>87</v>
      </c>
      <c r="JE4" s="669"/>
      <c r="JF4" s="669"/>
      <c r="JG4" s="670">
        <v>88</v>
      </c>
      <c r="JH4" s="669"/>
      <c r="JI4" s="669"/>
      <c r="JJ4" s="670">
        <v>89</v>
      </c>
      <c r="JK4" s="669"/>
      <c r="JL4" s="669"/>
      <c r="JM4" s="670">
        <v>90</v>
      </c>
      <c r="JN4" s="669"/>
      <c r="JO4" s="669"/>
      <c r="JP4" s="670">
        <v>91</v>
      </c>
      <c r="JQ4" s="669"/>
      <c r="JR4" s="669"/>
      <c r="JS4" s="670">
        <v>92</v>
      </c>
      <c r="JT4" s="669"/>
      <c r="JU4" s="669"/>
      <c r="JV4" s="670">
        <v>93</v>
      </c>
      <c r="JW4" s="669"/>
      <c r="JX4" s="669"/>
      <c r="JY4" s="670">
        <v>94</v>
      </c>
      <c r="JZ4" s="669"/>
      <c r="KA4" s="669"/>
      <c r="KB4" s="670">
        <v>95</v>
      </c>
      <c r="KC4" s="669"/>
      <c r="KD4" s="669"/>
      <c r="KE4" s="670">
        <v>96</v>
      </c>
      <c r="KF4" s="669"/>
      <c r="KG4" s="669"/>
      <c r="KH4" s="670">
        <v>97</v>
      </c>
      <c r="KI4" s="669"/>
      <c r="KJ4" s="669"/>
      <c r="KK4" s="670">
        <v>98</v>
      </c>
      <c r="KL4" s="669"/>
      <c r="KM4" s="669"/>
      <c r="KN4" s="670">
        <v>99</v>
      </c>
      <c r="KO4" s="669"/>
      <c r="KP4" s="669"/>
      <c r="KQ4" s="670">
        <v>100</v>
      </c>
      <c r="KR4" s="669"/>
      <c r="KS4" s="669"/>
      <c r="KT4" s="670">
        <v>101</v>
      </c>
      <c r="KU4" s="669"/>
      <c r="KV4" s="669"/>
      <c r="KW4" s="670">
        <v>102</v>
      </c>
      <c r="KX4" s="669"/>
      <c r="KY4" s="669"/>
      <c r="KZ4" s="670">
        <v>103</v>
      </c>
      <c r="LA4" s="669"/>
      <c r="LB4" s="669"/>
      <c r="LC4" s="670">
        <v>104</v>
      </c>
      <c r="LD4" s="669"/>
      <c r="LE4" s="669"/>
      <c r="LF4" s="670">
        <v>105</v>
      </c>
      <c r="LG4" s="669"/>
      <c r="LH4" s="669"/>
      <c r="LI4" s="670">
        <v>106</v>
      </c>
      <c r="LJ4" s="669"/>
      <c r="LK4" s="669"/>
      <c r="LL4" s="670">
        <v>107</v>
      </c>
      <c r="LM4" s="669"/>
      <c r="LN4" s="669"/>
      <c r="LO4" s="670">
        <v>108</v>
      </c>
      <c r="LP4" s="669"/>
      <c r="LQ4" s="669"/>
      <c r="LR4" s="670">
        <v>109</v>
      </c>
      <c r="LS4" s="669"/>
      <c r="LT4" s="669"/>
      <c r="LU4" s="670">
        <v>110</v>
      </c>
      <c r="LV4" s="669"/>
      <c r="LW4" s="669"/>
      <c r="LX4" s="670">
        <v>111</v>
      </c>
      <c r="LY4" s="669"/>
      <c r="LZ4" s="669"/>
      <c r="MA4" s="670">
        <v>112</v>
      </c>
      <c r="MB4" s="669"/>
      <c r="MC4" s="669"/>
      <c r="MD4" s="670">
        <v>113</v>
      </c>
      <c r="ME4" s="669"/>
      <c r="MF4" s="669"/>
      <c r="MG4" s="670">
        <v>114</v>
      </c>
      <c r="MH4" s="669"/>
      <c r="MI4" s="669"/>
      <c r="MJ4" s="670">
        <v>115</v>
      </c>
      <c r="MK4" s="669"/>
      <c r="ML4" s="669"/>
      <c r="MM4" s="670">
        <v>116</v>
      </c>
      <c r="MN4" s="669"/>
      <c r="MO4" s="669"/>
      <c r="MP4" s="670">
        <v>117</v>
      </c>
      <c r="MQ4" s="669"/>
      <c r="MR4" s="669"/>
      <c r="MS4" s="670">
        <v>118</v>
      </c>
      <c r="MT4" s="669"/>
      <c r="MU4" s="669"/>
      <c r="MV4" s="670">
        <v>119</v>
      </c>
      <c r="MW4" s="669"/>
      <c r="MX4" s="669"/>
      <c r="MY4" s="670">
        <v>120</v>
      </c>
      <c r="MZ4" s="669"/>
      <c r="NA4" s="669"/>
      <c r="NB4" s="674">
        <v>121</v>
      </c>
      <c r="NC4" s="675"/>
      <c r="ND4" s="676"/>
      <c r="NE4" s="671"/>
      <c r="NF4" s="672"/>
      <c r="NG4" s="673"/>
      <c r="NH4" s="671"/>
      <c r="NI4" s="672"/>
      <c r="NJ4" s="673"/>
    </row>
    <row r="5" spans="1:374" ht="14.5" thickBot="1" x14ac:dyDescent="0.35">
      <c r="A5" s="579"/>
      <c r="B5" s="580" t="s">
        <v>31</v>
      </c>
      <c r="C5" s="670">
        <f>E9</f>
        <v>20900</v>
      </c>
      <c r="D5" s="669"/>
      <c r="E5" s="669"/>
      <c r="F5" s="670">
        <f>H9</f>
        <v>26838</v>
      </c>
      <c r="G5" s="669"/>
      <c r="H5" s="669"/>
      <c r="I5" s="670">
        <f>K9</f>
        <v>31942</v>
      </c>
      <c r="J5" s="669"/>
      <c r="K5" s="669"/>
      <c r="L5" s="670">
        <f t="shared" ref="L5" si="0">N9</f>
        <v>35603</v>
      </c>
      <c r="M5" s="669"/>
      <c r="N5" s="669"/>
      <c r="O5" s="670">
        <f t="shared" ref="O5" si="1">Q9</f>
        <v>38555</v>
      </c>
      <c r="P5" s="669"/>
      <c r="Q5" s="669"/>
      <c r="R5" s="670">
        <f t="shared" ref="R5" si="2">T9</f>
        <v>40781</v>
      </c>
      <c r="S5" s="669"/>
      <c r="T5" s="669"/>
      <c r="U5" s="670">
        <f t="shared" ref="U5" si="3">W9</f>
        <v>44581</v>
      </c>
      <c r="V5" s="669"/>
      <c r="W5" s="669"/>
      <c r="X5" s="670">
        <f t="shared" ref="X5" si="4">Z9</f>
        <v>45856</v>
      </c>
      <c r="Y5" s="669"/>
      <c r="Z5" s="669"/>
      <c r="AA5" s="670">
        <f t="shared" ref="AA5" si="5">AC9</f>
        <v>43971</v>
      </c>
      <c r="AB5" s="669"/>
      <c r="AC5" s="669"/>
      <c r="AD5" s="670">
        <f t="shared" ref="AD5" si="6">AF9</f>
        <v>42089</v>
      </c>
      <c r="AE5" s="669"/>
      <c r="AF5" s="669"/>
      <c r="AG5" s="670">
        <f t="shared" ref="AG5" si="7">AI9</f>
        <v>43434</v>
      </c>
      <c r="AH5" s="669"/>
      <c r="AI5" s="669"/>
      <c r="AJ5" s="670">
        <f t="shared" ref="AJ5" si="8">AL9</f>
        <v>42831</v>
      </c>
      <c r="AK5" s="669"/>
      <c r="AL5" s="669"/>
      <c r="AM5" s="670">
        <f t="shared" ref="AM5" si="9">AO9</f>
        <v>42605</v>
      </c>
      <c r="AN5" s="669"/>
      <c r="AO5" s="669"/>
      <c r="AP5" s="670">
        <f t="shared" ref="AP5" si="10">AR9</f>
        <v>43073</v>
      </c>
      <c r="AQ5" s="669"/>
      <c r="AR5" s="669"/>
      <c r="AS5" s="670">
        <f t="shared" ref="AS5" si="11">AU9</f>
        <v>44805</v>
      </c>
      <c r="AT5" s="669"/>
      <c r="AU5" s="669"/>
      <c r="AV5" s="670">
        <f t="shared" ref="AV5" si="12">AX9</f>
        <v>42239</v>
      </c>
      <c r="AW5" s="669"/>
      <c r="AX5" s="669"/>
      <c r="AY5" s="670">
        <f t="shared" ref="AY5" si="13">BA9</f>
        <v>41856</v>
      </c>
      <c r="AZ5" s="669"/>
      <c r="BA5" s="669"/>
      <c r="BB5" s="670">
        <f t="shared" ref="BB5" si="14">BD9</f>
        <v>38145</v>
      </c>
      <c r="BC5" s="669"/>
      <c r="BD5" s="669"/>
      <c r="BE5" s="670">
        <f t="shared" ref="BE5" si="15">BG9</f>
        <v>39817</v>
      </c>
      <c r="BF5" s="669"/>
      <c r="BG5" s="669"/>
      <c r="BH5" s="670">
        <f t="shared" ref="BH5" si="16">BJ9</f>
        <v>41764</v>
      </c>
      <c r="BI5" s="669"/>
      <c r="BJ5" s="669"/>
      <c r="BK5" s="670">
        <f t="shared" ref="BK5" si="17">BM9</f>
        <v>39141</v>
      </c>
      <c r="BL5" s="669"/>
      <c r="BM5" s="669"/>
      <c r="BN5" s="670">
        <f t="shared" ref="BN5" si="18">BP9</f>
        <v>39288</v>
      </c>
      <c r="BO5" s="669"/>
      <c r="BP5" s="669"/>
      <c r="BQ5" s="670">
        <f t="shared" ref="BQ5" si="19">BS9</f>
        <v>40920</v>
      </c>
      <c r="BR5" s="669"/>
      <c r="BS5" s="669"/>
      <c r="BT5" s="670">
        <f t="shared" ref="BT5" si="20">BV9</f>
        <v>42657</v>
      </c>
      <c r="BU5" s="669"/>
      <c r="BV5" s="669"/>
      <c r="BW5" s="670">
        <f t="shared" ref="BW5" si="21">BY9</f>
        <v>40930</v>
      </c>
      <c r="BX5" s="669"/>
      <c r="BY5" s="669"/>
      <c r="BZ5" s="670">
        <f t="shared" ref="BZ5" si="22">CB9</f>
        <v>43125</v>
      </c>
      <c r="CA5" s="669"/>
      <c r="CB5" s="669"/>
      <c r="CC5" s="670">
        <f t="shared" ref="CC5" si="23">CE9</f>
        <v>43815</v>
      </c>
      <c r="CD5" s="669"/>
      <c r="CE5" s="669"/>
      <c r="CF5" s="670">
        <f t="shared" ref="CF5" si="24">CH9</f>
        <v>38246</v>
      </c>
      <c r="CG5" s="669"/>
      <c r="CH5" s="669"/>
      <c r="CI5" s="670">
        <f t="shared" ref="CI5" si="25">CK9</f>
        <v>42274</v>
      </c>
      <c r="CJ5" s="669"/>
      <c r="CK5" s="669"/>
      <c r="CL5" s="670">
        <f t="shared" ref="CL5" si="26">CN9</f>
        <v>41355</v>
      </c>
      <c r="CM5" s="669"/>
      <c r="CN5" s="669"/>
      <c r="CO5" s="670">
        <f t="shared" ref="CO5" si="27">CQ9</f>
        <v>42957</v>
      </c>
      <c r="CP5" s="669"/>
      <c r="CQ5" s="669"/>
      <c r="CR5" s="670">
        <f t="shared" ref="CR5" si="28">CT9</f>
        <v>43770</v>
      </c>
      <c r="CS5" s="669"/>
      <c r="CT5" s="669"/>
      <c r="CU5" s="670">
        <f t="shared" ref="CU5" si="29">CW9</f>
        <v>42290</v>
      </c>
      <c r="CV5" s="669"/>
      <c r="CW5" s="669"/>
      <c r="CX5" s="670">
        <f t="shared" ref="CX5" si="30">CZ9</f>
        <v>42184</v>
      </c>
      <c r="CY5" s="669"/>
      <c r="CZ5" s="669"/>
      <c r="DA5" s="670">
        <f t="shared" ref="DA5" si="31">DC9</f>
        <v>42439</v>
      </c>
      <c r="DB5" s="669"/>
      <c r="DC5" s="669"/>
      <c r="DD5" s="670">
        <f t="shared" ref="DD5" si="32">DF9</f>
        <v>41199</v>
      </c>
      <c r="DE5" s="669"/>
      <c r="DF5" s="669"/>
      <c r="DG5" s="670">
        <f t="shared" ref="DG5" si="33">DI9</f>
        <v>41995</v>
      </c>
      <c r="DH5" s="669"/>
      <c r="DI5" s="669"/>
      <c r="DJ5" s="670">
        <f t="shared" ref="DJ5" si="34">DL9</f>
        <v>39137</v>
      </c>
      <c r="DK5" s="669"/>
      <c r="DL5" s="669"/>
      <c r="DM5" s="670">
        <f t="shared" ref="DM5" si="35">DO9</f>
        <v>38310</v>
      </c>
      <c r="DN5" s="669"/>
      <c r="DO5" s="669"/>
      <c r="DP5" s="670">
        <f t="shared" ref="DP5" si="36">DR9</f>
        <v>39050</v>
      </c>
      <c r="DQ5" s="669"/>
      <c r="DR5" s="669"/>
      <c r="DS5" s="670">
        <f t="shared" ref="DS5" si="37">DU9</f>
        <v>40574</v>
      </c>
      <c r="DT5" s="669"/>
      <c r="DU5" s="669"/>
      <c r="DV5" s="670">
        <f t="shared" ref="DV5" si="38">DX9</f>
        <v>41349</v>
      </c>
      <c r="DW5" s="669"/>
      <c r="DX5" s="669"/>
      <c r="DY5" s="670">
        <f t="shared" ref="DY5" si="39">EA9</f>
        <v>40417</v>
      </c>
      <c r="DZ5" s="669"/>
      <c r="EA5" s="669"/>
      <c r="EB5" s="670">
        <f t="shared" ref="EB5" si="40">ED9</f>
        <v>43423</v>
      </c>
      <c r="EC5" s="669"/>
      <c r="ED5" s="669"/>
      <c r="EE5" s="670">
        <f t="shared" ref="EE5" si="41">EG9</f>
        <v>42377</v>
      </c>
      <c r="EF5" s="669"/>
      <c r="EG5" s="669"/>
      <c r="EH5" s="670">
        <f t="shared" ref="EH5" si="42">EJ9</f>
        <v>39985</v>
      </c>
      <c r="EI5" s="669"/>
      <c r="EJ5" s="669"/>
      <c r="EK5" s="670">
        <f t="shared" ref="EK5" si="43">EM9</f>
        <v>40599</v>
      </c>
      <c r="EL5" s="669"/>
      <c r="EM5" s="669"/>
      <c r="EN5" s="670">
        <f t="shared" ref="EN5" si="44">EP9</f>
        <v>38341</v>
      </c>
      <c r="EO5" s="669"/>
      <c r="EP5" s="669"/>
      <c r="EQ5" s="670">
        <f t="shared" ref="EQ5" si="45">ES9</f>
        <v>36638</v>
      </c>
      <c r="ER5" s="669"/>
      <c r="ES5" s="669"/>
      <c r="ET5" s="670">
        <f t="shared" ref="ET5" si="46">EV9</f>
        <v>36066</v>
      </c>
      <c r="EU5" s="669"/>
      <c r="EV5" s="669"/>
      <c r="EW5" s="670">
        <f t="shared" ref="EW5" si="47">EY9</f>
        <v>36197</v>
      </c>
      <c r="EX5" s="669"/>
      <c r="EY5" s="669"/>
      <c r="EZ5" s="670">
        <f t="shared" ref="EZ5" si="48">FB9</f>
        <v>34704</v>
      </c>
      <c r="FA5" s="669"/>
      <c r="FB5" s="669"/>
      <c r="FC5" s="670">
        <f t="shared" ref="FC5" si="49">FE9</f>
        <v>31831</v>
      </c>
      <c r="FD5" s="669"/>
      <c r="FE5" s="669"/>
      <c r="FF5" s="670">
        <f t="shared" ref="FF5" si="50">FH9</f>
        <v>33558</v>
      </c>
      <c r="FG5" s="669"/>
      <c r="FH5" s="669"/>
      <c r="FI5" s="670">
        <f t="shared" ref="FI5" si="51">FK9</f>
        <v>31736</v>
      </c>
      <c r="FJ5" s="669"/>
      <c r="FK5" s="669"/>
      <c r="FL5" s="670">
        <f t="shared" ref="FL5" si="52">FN9</f>
        <v>30110</v>
      </c>
      <c r="FM5" s="669"/>
      <c r="FN5" s="669"/>
      <c r="FO5" s="670">
        <f t="shared" ref="FO5" si="53">FQ9</f>
        <v>31437</v>
      </c>
      <c r="FP5" s="669"/>
      <c r="FQ5" s="669"/>
      <c r="FR5" s="670">
        <f t="shared" ref="FR5" si="54">FT9</f>
        <v>28745</v>
      </c>
      <c r="FS5" s="669"/>
      <c r="FT5" s="669"/>
      <c r="FU5" s="670">
        <f t="shared" ref="FU5" si="55">FW9</f>
        <v>27095</v>
      </c>
      <c r="FV5" s="669"/>
      <c r="FW5" s="669"/>
      <c r="FX5" s="670">
        <f t="shared" ref="FX5" si="56">FZ9</f>
        <v>23858</v>
      </c>
      <c r="FY5" s="669"/>
      <c r="FZ5" s="669"/>
      <c r="GA5" s="670">
        <f t="shared" ref="GA5" si="57">GC9</f>
        <v>25503</v>
      </c>
      <c r="GB5" s="669"/>
      <c r="GC5" s="669"/>
      <c r="GD5" s="670">
        <f t="shared" ref="GD5" si="58">GF9</f>
        <v>24142</v>
      </c>
      <c r="GE5" s="669"/>
      <c r="GF5" s="669"/>
      <c r="GG5" s="670">
        <f t="shared" ref="GG5" si="59">GI9</f>
        <v>22200</v>
      </c>
      <c r="GH5" s="669"/>
      <c r="GI5" s="669"/>
      <c r="GJ5" s="670">
        <f t="shared" ref="GJ5" si="60">GL9</f>
        <v>21514</v>
      </c>
      <c r="GK5" s="669"/>
      <c r="GL5" s="669"/>
      <c r="GM5" s="670">
        <f t="shared" ref="GM5" si="61">GO9</f>
        <v>19425</v>
      </c>
      <c r="GN5" s="669"/>
      <c r="GO5" s="669"/>
      <c r="GP5" s="670">
        <f t="shared" ref="GP5" si="62">GR9</f>
        <v>18741</v>
      </c>
      <c r="GQ5" s="669"/>
      <c r="GR5" s="669"/>
      <c r="GS5" s="670">
        <f t="shared" ref="GS5" si="63">GU9</f>
        <v>19036</v>
      </c>
      <c r="GT5" s="669"/>
      <c r="GU5" s="669"/>
      <c r="GV5" s="670">
        <f t="shared" ref="GV5" si="64">GX9</f>
        <v>16598</v>
      </c>
      <c r="GW5" s="669"/>
      <c r="GX5" s="669"/>
      <c r="GY5" s="670">
        <f t="shared" ref="GY5" si="65">HA9</f>
        <v>15310</v>
      </c>
      <c r="GZ5" s="669"/>
      <c r="HA5" s="669"/>
      <c r="HB5" s="670">
        <f t="shared" ref="HB5" si="66">HD9</f>
        <v>12529</v>
      </c>
      <c r="HC5" s="669"/>
      <c r="HD5" s="669"/>
      <c r="HE5" s="670">
        <f t="shared" ref="HE5" si="67">HG9</f>
        <v>11926</v>
      </c>
      <c r="HF5" s="669"/>
      <c r="HG5" s="669"/>
      <c r="HH5" s="670">
        <f t="shared" ref="HH5" si="68">HJ9</f>
        <v>11229</v>
      </c>
      <c r="HI5" s="669"/>
      <c r="HJ5" s="669"/>
      <c r="HK5" s="670">
        <f t="shared" ref="HK5" si="69">HM9</f>
        <v>9595</v>
      </c>
      <c r="HL5" s="669"/>
      <c r="HM5" s="669"/>
      <c r="HN5" s="670">
        <f t="shared" ref="HN5" si="70">HP9</f>
        <v>8468</v>
      </c>
      <c r="HO5" s="669"/>
      <c r="HP5" s="669"/>
      <c r="HQ5" s="670">
        <f t="shared" ref="HQ5" si="71">HS9</f>
        <v>6853</v>
      </c>
      <c r="HR5" s="669"/>
      <c r="HS5" s="669"/>
      <c r="HT5" s="670">
        <f t="shared" ref="HT5" si="72">HV9</f>
        <v>6141</v>
      </c>
      <c r="HU5" s="669"/>
      <c r="HV5" s="669"/>
      <c r="HW5" s="670">
        <f t="shared" ref="HW5" si="73">HY9</f>
        <v>5474</v>
      </c>
      <c r="HX5" s="669"/>
      <c r="HY5" s="669"/>
      <c r="HZ5" s="670">
        <f t="shared" ref="HZ5" si="74">IB9</f>
        <v>4119</v>
      </c>
      <c r="IA5" s="669"/>
      <c r="IB5" s="669"/>
      <c r="IC5" s="670">
        <f t="shared" ref="IC5" si="75">IE9</f>
        <v>3399</v>
      </c>
      <c r="ID5" s="669"/>
      <c r="IE5" s="669"/>
      <c r="IF5" s="670">
        <f t="shared" ref="IF5" si="76">IH9</f>
        <v>2734</v>
      </c>
      <c r="IG5" s="669"/>
      <c r="IH5" s="669"/>
      <c r="II5" s="670">
        <f t="shared" ref="II5" si="77">IK9</f>
        <v>2736</v>
      </c>
      <c r="IJ5" s="669"/>
      <c r="IK5" s="669"/>
      <c r="IL5" s="670">
        <f t="shared" ref="IL5" si="78">IN9</f>
        <v>2393</v>
      </c>
      <c r="IM5" s="669"/>
      <c r="IN5" s="669"/>
      <c r="IO5" s="670">
        <f t="shared" ref="IO5" si="79">IQ9</f>
        <v>1869</v>
      </c>
      <c r="IP5" s="669"/>
      <c r="IQ5" s="669"/>
      <c r="IR5" s="670">
        <f t="shared" ref="IR5" si="80">IT9</f>
        <v>1906</v>
      </c>
      <c r="IS5" s="669"/>
      <c r="IT5" s="669"/>
      <c r="IU5" s="670">
        <f t="shared" ref="IU5" si="81">IW9</f>
        <v>1493</v>
      </c>
      <c r="IV5" s="669"/>
      <c r="IW5" s="669"/>
      <c r="IX5" s="670">
        <f t="shared" ref="IX5" si="82">IZ9</f>
        <v>1198</v>
      </c>
      <c r="IY5" s="669"/>
      <c r="IZ5" s="669"/>
      <c r="JA5" s="670">
        <f t="shared" ref="JA5" si="83">JC9</f>
        <v>1234</v>
      </c>
      <c r="JB5" s="669"/>
      <c r="JC5" s="669"/>
      <c r="JD5" s="670">
        <f t="shared" ref="JD5" si="84">JF9</f>
        <v>754</v>
      </c>
      <c r="JE5" s="669"/>
      <c r="JF5" s="669"/>
      <c r="JG5" s="670">
        <f t="shared" ref="JG5" si="85">JI9</f>
        <v>667</v>
      </c>
      <c r="JH5" s="669"/>
      <c r="JI5" s="669"/>
      <c r="JJ5" s="670">
        <f t="shared" ref="JJ5" si="86">JL9</f>
        <v>493</v>
      </c>
      <c r="JK5" s="669"/>
      <c r="JL5" s="669"/>
      <c r="JM5" s="670">
        <f t="shared" ref="JM5" si="87">JO9</f>
        <v>425</v>
      </c>
      <c r="JN5" s="669"/>
      <c r="JO5" s="669"/>
      <c r="JP5" s="670">
        <f t="shared" ref="JP5" si="88">JR9</f>
        <v>399</v>
      </c>
      <c r="JQ5" s="669"/>
      <c r="JR5" s="669"/>
      <c r="JS5" s="670">
        <f t="shared" ref="JS5" si="89">JU9</f>
        <v>269</v>
      </c>
      <c r="JT5" s="669"/>
      <c r="JU5" s="669"/>
      <c r="JV5" s="670">
        <f t="shared" ref="JV5" si="90">JX9</f>
        <v>284</v>
      </c>
      <c r="JW5" s="669"/>
      <c r="JX5" s="669"/>
      <c r="JY5" s="670">
        <f t="shared" ref="JY5" si="91">KA9</f>
        <v>126</v>
      </c>
      <c r="JZ5" s="669"/>
      <c r="KA5" s="669"/>
      <c r="KB5" s="670">
        <f t="shared" ref="KB5" si="92">KD9</f>
        <v>72</v>
      </c>
      <c r="KC5" s="669"/>
      <c r="KD5" s="669"/>
      <c r="KE5" s="670">
        <f t="shared" ref="KE5" si="93">KG9</f>
        <v>77</v>
      </c>
      <c r="KF5" s="669"/>
      <c r="KG5" s="669"/>
      <c r="KH5" s="670">
        <f t="shared" ref="KH5" si="94">KJ9</f>
        <v>31</v>
      </c>
      <c r="KI5" s="669"/>
      <c r="KJ5" s="669"/>
      <c r="KK5" s="670">
        <f t="shared" ref="KK5" si="95">KM9</f>
        <v>27</v>
      </c>
      <c r="KL5" s="669"/>
      <c r="KM5" s="669"/>
      <c r="KN5" s="670">
        <f t="shared" ref="KN5" si="96">KP9</f>
        <v>23</v>
      </c>
      <c r="KO5" s="669"/>
      <c r="KP5" s="669"/>
      <c r="KQ5" s="670">
        <f t="shared" ref="KQ5" si="97">KS9</f>
        <v>16</v>
      </c>
      <c r="KR5" s="669"/>
      <c r="KS5" s="669"/>
      <c r="KT5" s="670">
        <f t="shared" ref="KT5" si="98">KV9</f>
        <v>13</v>
      </c>
      <c r="KU5" s="669"/>
      <c r="KV5" s="669"/>
      <c r="KW5" s="670">
        <f t="shared" ref="KW5" si="99">KY9</f>
        <v>0</v>
      </c>
      <c r="KX5" s="669"/>
      <c r="KY5" s="669"/>
      <c r="KZ5" s="670">
        <f t="shared" ref="KZ5" si="100">LB9</f>
        <v>0</v>
      </c>
      <c r="LA5" s="669"/>
      <c r="LB5" s="669"/>
      <c r="LC5" s="670">
        <f t="shared" ref="LC5" si="101">LE9</f>
        <v>0</v>
      </c>
      <c r="LD5" s="669"/>
      <c r="LE5" s="669"/>
      <c r="LF5" s="670">
        <f t="shared" ref="LF5" si="102">LH9</f>
        <v>0</v>
      </c>
      <c r="LG5" s="669"/>
      <c r="LH5" s="669"/>
      <c r="LI5" s="670">
        <f t="shared" ref="LI5" si="103">LK9</f>
        <v>0</v>
      </c>
      <c r="LJ5" s="669"/>
      <c r="LK5" s="669"/>
      <c r="LL5" s="670">
        <f t="shared" ref="LL5" si="104">LN9</f>
        <v>0</v>
      </c>
      <c r="LM5" s="669"/>
      <c r="LN5" s="669"/>
      <c r="LO5" s="670">
        <f t="shared" ref="LO5" si="105">LQ9</f>
        <v>0</v>
      </c>
      <c r="LP5" s="669"/>
      <c r="LQ5" s="669"/>
      <c r="LR5" s="670">
        <f t="shared" ref="LR5" si="106">LT9</f>
        <v>0</v>
      </c>
      <c r="LS5" s="669"/>
      <c r="LT5" s="669"/>
      <c r="LU5" s="670">
        <f t="shared" ref="LU5" si="107">LW9</f>
        <v>0</v>
      </c>
      <c r="LV5" s="669"/>
      <c r="LW5" s="669"/>
      <c r="LX5" s="670">
        <f t="shared" ref="LX5" si="108">LZ9</f>
        <v>0</v>
      </c>
      <c r="LY5" s="669"/>
      <c r="LZ5" s="669"/>
      <c r="MA5" s="670">
        <f t="shared" ref="MA5" si="109">MC9</f>
        <v>0</v>
      </c>
      <c r="MB5" s="669"/>
      <c r="MC5" s="669"/>
      <c r="MD5" s="670">
        <f t="shared" ref="MD5" si="110">MF9</f>
        <v>0</v>
      </c>
      <c r="ME5" s="669"/>
      <c r="MF5" s="669"/>
      <c r="MG5" s="670">
        <f t="shared" ref="MG5" si="111">MI9</f>
        <v>0</v>
      </c>
      <c r="MH5" s="669"/>
      <c r="MI5" s="669"/>
      <c r="MJ5" s="670">
        <f t="shared" ref="MJ5" si="112">ML9</f>
        <v>0</v>
      </c>
      <c r="MK5" s="669"/>
      <c r="ML5" s="669"/>
      <c r="MM5" s="670">
        <f t="shared" ref="MM5" si="113">MO9</f>
        <v>0</v>
      </c>
      <c r="MN5" s="669"/>
      <c r="MO5" s="669"/>
      <c r="MP5" s="670">
        <f t="shared" ref="MP5" si="114">MR9</f>
        <v>0</v>
      </c>
      <c r="MQ5" s="669"/>
      <c r="MR5" s="669"/>
      <c r="MS5" s="670">
        <f t="shared" ref="MS5" si="115">MU9</f>
        <v>0</v>
      </c>
      <c r="MT5" s="669"/>
      <c r="MU5" s="669"/>
      <c r="MV5" s="670">
        <f t="shared" ref="MV5" si="116">MX9</f>
        <v>0</v>
      </c>
      <c r="MW5" s="669"/>
      <c r="MX5" s="669"/>
      <c r="MY5" s="670">
        <f t="shared" ref="MY5" si="117">NA9</f>
        <v>0</v>
      </c>
      <c r="MZ5" s="669"/>
      <c r="NA5" s="669"/>
      <c r="NB5" s="670">
        <f t="shared" ref="NB5" si="118">ND9</f>
        <v>0</v>
      </c>
      <c r="NC5" s="669"/>
      <c r="ND5" s="669"/>
      <c r="NE5" s="671">
        <f>SUM(C5:NA5)</f>
        <v>2607248</v>
      </c>
      <c r="NF5" s="672"/>
      <c r="NG5" s="673"/>
      <c r="NH5" s="671">
        <f>SUM(NH6:NJ7)</f>
        <v>194619</v>
      </c>
      <c r="NI5" s="672"/>
      <c r="NJ5" s="673"/>
    </row>
    <row r="6" spans="1:374" ht="14.5" thickBot="1" x14ac:dyDescent="0.35">
      <c r="A6" s="579"/>
      <c r="B6" s="580" t="s">
        <v>491</v>
      </c>
      <c r="C6" s="670">
        <f>C9</f>
        <v>10803</v>
      </c>
      <c r="D6" s="669"/>
      <c r="E6" s="669"/>
      <c r="F6" s="670">
        <f>F9</f>
        <v>13753</v>
      </c>
      <c r="G6" s="669"/>
      <c r="H6" s="669"/>
      <c r="I6" s="670">
        <f>I9</f>
        <v>16594</v>
      </c>
      <c r="J6" s="669"/>
      <c r="K6" s="669"/>
      <c r="L6" s="670">
        <f t="shared" ref="L6" si="119">L9</f>
        <v>18396</v>
      </c>
      <c r="M6" s="669"/>
      <c r="N6" s="669"/>
      <c r="O6" s="670">
        <f t="shared" ref="O6" si="120">O9</f>
        <v>19884</v>
      </c>
      <c r="P6" s="669"/>
      <c r="Q6" s="669"/>
      <c r="R6" s="670">
        <f t="shared" ref="R6" si="121">R9</f>
        <v>21132</v>
      </c>
      <c r="S6" s="669"/>
      <c r="T6" s="669"/>
      <c r="U6" s="670">
        <f t="shared" ref="U6" si="122">U9</f>
        <v>22894</v>
      </c>
      <c r="V6" s="669"/>
      <c r="W6" s="669"/>
      <c r="X6" s="670">
        <f t="shared" ref="X6" si="123">X9</f>
        <v>23646</v>
      </c>
      <c r="Y6" s="669"/>
      <c r="Z6" s="669"/>
      <c r="AA6" s="670">
        <f t="shared" ref="AA6" si="124">AA9</f>
        <v>22674</v>
      </c>
      <c r="AB6" s="669"/>
      <c r="AC6" s="669"/>
      <c r="AD6" s="670">
        <f t="shared" ref="AD6" si="125">AD9</f>
        <v>21739</v>
      </c>
      <c r="AE6" s="669"/>
      <c r="AF6" s="669"/>
      <c r="AG6" s="670">
        <f t="shared" ref="AG6" si="126">AG9</f>
        <v>22623</v>
      </c>
      <c r="AH6" s="669"/>
      <c r="AI6" s="669"/>
      <c r="AJ6" s="670">
        <f t="shared" ref="AJ6" si="127">AJ9</f>
        <v>22160</v>
      </c>
      <c r="AK6" s="669"/>
      <c r="AL6" s="669"/>
      <c r="AM6" s="670">
        <f t="shared" ref="AM6" si="128">AM9</f>
        <v>22047</v>
      </c>
      <c r="AN6" s="669"/>
      <c r="AO6" s="669"/>
      <c r="AP6" s="670">
        <f t="shared" ref="AP6" si="129">AP9</f>
        <v>22221</v>
      </c>
      <c r="AQ6" s="669"/>
      <c r="AR6" s="669"/>
      <c r="AS6" s="670">
        <f t="shared" ref="AS6" si="130">AS9</f>
        <v>23030</v>
      </c>
      <c r="AT6" s="669"/>
      <c r="AU6" s="669"/>
      <c r="AV6" s="670">
        <f t="shared" ref="AV6" si="131">AV9</f>
        <v>21770</v>
      </c>
      <c r="AW6" s="669"/>
      <c r="AX6" s="669"/>
      <c r="AY6" s="670">
        <f t="shared" ref="AY6" si="132">AY9</f>
        <v>21668</v>
      </c>
      <c r="AZ6" s="669"/>
      <c r="BA6" s="669"/>
      <c r="BB6" s="670">
        <f t="shared" ref="BB6" si="133">BB9</f>
        <v>19587</v>
      </c>
      <c r="BC6" s="669"/>
      <c r="BD6" s="669"/>
      <c r="BE6" s="670">
        <f t="shared" ref="BE6" si="134">BE9</f>
        <v>20445</v>
      </c>
      <c r="BF6" s="669"/>
      <c r="BG6" s="669"/>
      <c r="BH6" s="670">
        <f t="shared" ref="BH6" si="135">BH9</f>
        <v>21387</v>
      </c>
      <c r="BI6" s="669"/>
      <c r="BJ6" s="669"/>
      <c r="BK6" s="670">
        <f t="shared" ref="BK6" si="136">BK9</f>
        <v>20194</v>
      </c>
      <c r="BL6" s="669"/>
      <c r="BM6" s="669"/>
      <c r="BN6" s="670">
        <f t="shared" ref="BN6" si="137">BN9</f>
        <v>20137</v>
      </c>
      <c r="BO6" s="669"/>
      <c r="BP6" s="669"/>
      <c r="BQ6" s="670">
        <f t="shared" ref="BQ6" si="138">BQ9</f>
        <v>21034</v>
      </c>
      <c r="BR6" s="669"/>
      <c r="BS6" s="669"/>
      <c r="BT6" s="670">
        <f t="shared" ref="BT6" si="139">BT9</f>
        <v>22048</v>
      </c>
      <c r="BU6" s="669"/>
      <c r="BV6" s="669"/>
      <c r="BW6" s="670">
        <f t="shared" ref="BW6" si="140">BW9</f>
        <v>20902</v>
      </c>
      <c r="BX6" s="669"/>
      <c r="BY6" s="669"/>
      <c r="BZ6" s="670">
        <f t="shared" ref="BZ6" si="141">BZ9</f>
        <v>21782</v>
      </c>
      <c r="CA6" s="669"/>
      <c r="CB6" s="669"/>
      <c r="CC6" s="670">
        <f t="shared" ref="CC6" si="142">CC9</f>
        <v>21986</v>
      </c>
      <c r="CD6" s="669"/>
      <c r="CE6" s="669"/>
      <c r="CF6" s="670">
        <f t="shared" ref="CF6" si="143">CF9</f>
        <v>19249</v>
      </c>
      <c r="CG6" s="669"/>
      <c r="CH6" s="669"/>
      <c r="CI6" s="670">
        <f t="shared" ref="CI6" si="144">CI9</f>
        <v>21266</v>
      </c>
      <c r="CJ6" s="669"/>
      <c r="CK6" s="669"/>
      <c r="CL6" s="670">
        <f t="shared" ref="CL6" si="145">CL9</f>
        <v>20537</v>
      </c>
      <c r="CM6" s="669"/>
      <c r="CN6" s="669"/>
      <c r="CO6" s="670">
        <f t="shared" ref="CO6" si="146">CO9</f>
        <v>21200</v>
      </c>
      <c r="CP6" s="669"/>
      <c r="CQ6" s="669"/>
      <c r="CR6" s="670">
        <f t="shared" ref="CR6" si="147">CR9</f>
        <v>21333</v>
      </c>
      <c r="CS6" s="669"/>
      <c r="CT6" s="669"/>
      <c r="CU6" s="670">
        <f t="shared" ref="CU6" si="148">CU9</f>
        <v>20839</v>
      </c>
      <c r="CV6" s="669"/>
      <c r="CW6" s="669"/>
      <c r="CX6" s="670">
        <f t="shared" ref="CX6" si="149">CX9</f>
        <v>20793</v>
      </c>
      <c r="CY6" s="669"/>
      <c r="CZ6" s="669"/>
      <c r="DA6" s="670">
        <f t="shared" ref="DA6" si="150">DA9</f>
        <v>20993</v>
      </c>
      <c r="DB6" s="669"/>
      <c r="DC6" s="669"/>
      <c r="DD6" s="670">
        <f t="shared" ref="DD6" si="151">DD9</f>
        <v>20435</v>
      </c>
      <c r="DE6" s="669"/>
      <c r="DF6" s="669"/>
      <c r="DG6" s="670">
        <f t="shared" ref="DG6" si="152">DG9</f>
        <v>20668</v>
      </c>
      <c r="DH6" s="669"/>
      <c r="DI6" s="669"/>
      <c r="DJ6" s="670">
        <f t="shared" ref="DJ6" si="153">DJ9</f>
        <v>19490</v>
      </c>
      <c r="DK6" s="669"/>
      <c r="DL6" s="669"/>
      <c r="DM6" s="670">
        <f t="shared" ref="DM6" si="154">DM9</f>
        <v>19169</v>
      </c>
      <c r="DN6" s="669"/>
      <c r="DO6" s="669"/>
      <c r="DP6" s="670">
        <f t="shared" ref="DP6" si="155">DP9</f>
        <v>19560</v>
      </c>
      <c r="DQ6" s="669"/>
      <c r="DR6" s="669"/>
      <c r="DS6" s="670">
        <f t="shared" ref="DS6" si="156">DS9</f>
        <v>20252</v>
      </c>
      <c r="DT6" s="669"/>
      <c r="DU6" s="669"/>
      <c r="DV6" s="670">
        <f t="shared" ref="DV6" si="157">DV9</f>
        <v>20618</v>
      </c>
      <c r="DW6" s="669"/>
      <c r="DX6" s="669"/>
      <c r="DY6" s="670">
        <f t="shared" ref="DY6" si="158">DY9</f>
        <v>19892</v>
      </c>
      <c r="DZ6" s="669"/>
      <c r="EA6" s="669"/>
      <c r="EB6" s="670">
        <f t="shared" ref="EB6" si="159">EB9</f>
        <v>21144</v>
      </c>
      <c r="EC6" s="669"/>
      <c r="ED6" s="669"/>
      <c r="EE6" s="670">
        <f t="shared" ref="EE6" si="160">EE9</f>
        <v>20848</v>
      </c>
      <c r="EF6" s="669"/>
      <c r="EG6" s="669"/>
      <c r="EH6" s="670">
        <f t="shared" ref="EH6" si="161">EH9</f>
        <v>19508</v>
      </c>
      <c r="EI6" s="669"/>
      <c r="EJ6" s="669"/>
      <c r="EK6" s="670">
        <f t="shared" ref="EK6" si="162">EK9</f>
        <v>19701</v>
      </c>
      <c r="EL6" s="669"/>
      <c r="EM6" s="669"/>
      <c r="EN6" s="670">
        <f t="shared" ref="EN6" si="163">EN9</f>
        <v>18723</v>
      </c>
      <c r="EO6" s="669"/>
      <c r="EP6" s="669"/>
      <c r="EQ6" s="670">
        <f t="shared" ref="EQ6" si="164">EQ9</f>
        <v>17808</v>
      </c>
      <c r="ER6" s="669"/>
      <c r="ES6" s="669"/>
      <c r="ET6" s="670">
        <f t="shared" ref="ET6" si="165">ET9</f>
        <v>17400</v>
      </c>
      <c r="EU6" s="669"/>
      <c r="EV6" s="669"/>
      <c r="EW6" s="670">
        <f t="shared" ref="EW6" si="166">EW9</f>
        <v>17473</v>
      </c>
      <c r="EX6" s="669"/>
      <c r="EY6" s="669"/>
      <c r="EZ6" s="670">
        <f t="shared" ref="EZ6" si="167">EZ9</f>
        <v>16650</v>
      </c>
      <c r="FA6" s="669"/>
      <c r="FB6" s="669"/>
      <c r="FC6" s="670">
        <f t="shared" ref="FC6" si="168">FC9</f>
        <v>15412</v>
      </c>
      <c r="FD6" s="669"/>
      <c r="FE6" s="669"/>
      <c r="FF6" s="670">
        <f t="shared" ref="FF6" si="169">FF9</f>
        <v>16074</v>
      </c>
      <c r="FG6" s="669"/>
      <c r="FH6" s="669"/>
      <c r="FI6" s="670">
        <f t="shared" ref="FI6" si="170">FI9</f>
        <v>15472</v>
      </c>
      <c r="FJ6" s="669"/>
      <c r="FK6" s="669"/>
      <c r="FL6" s="670">
        <f t="shared" ref="FL6" si="171">FL9</f>
        <v>14756</v>
      </c>
      <c r="FM6" s="669"/>
      <c r="FN6" s="669"/>
      <c r="FO6" s="670">
        <f t="shared" ref="FO6" si="172">FO9</f>
        <v>15365</v>
      </c>
      <c r="FP6" s="669"/>
      <c r="FQ6" s="669"/>
      <c r="FR6" s="670">
        <f t="shared" ref="FR6" si="173">FR9</f>
        <v>13878</v>
      </c>
      <c r="FS6" s="669"/>
      <c r="FT6" s="669"/>
      <c r="FU6" s="670">
        <f t="shared" ref="FU6" si="174">FU9</f>
        <v>12948</v>
      </c>
      <c r="FV6" s="669"/>
      <c r="FW6" s="669"/>
      <c r="FX6" s="670">
        <f t="shared" ref="FX6" si="175">FX9</f>
        <v>11191</v>
      </c>
      <c r="FY6" s="669"/>
      <c r="FZ6" s="669"/>
      <c r="GA6" s="670">
        <f t="shared" ref="GA6" si="176">GA9</f>
        <v>11892</v>
      </c>
      <c r="GB6" s="669"/>
      <c r="GC6" s="669"/>
      <c r="GD6" s="670">
        <f t="shared" ref="GD6" si="177">GD9</f>
        <v>11035</v>
      </c>
      <c r="GE6" s="669"/>
      <c r="GF6" s="669"/>
      <c r="GG6" s="670">
        <f t="shared" ref="GG6" si="178">GG9</f>
        <v>10314</v>
      </c>
      <c r="GH6" s="669"/>
      <c r="GI6" s="669"/>
      <c r="GJ6" s="670">
        <f t="shared" ref="GJ6" si="179">GJ9</f>
        <v>9974</v>
      </c>
      <c r="GK6" s="669"/>
      <c r="GL6" s="669"/>
      <c r="GM6" s="670">
        <f t="shared" ref="GM6" si="180">GM9</f>
        <v>9100</v>
      </c>
      <c r="GN6" s="669"/>
      <c r="GO6" s="669"/>
      <c r="GP6" s="670">
        <f t="shared" ref="GP6" si="181">GP9</f>
        <v>8722</v>
      </c>
      <c r="GQ6" s="669"/>
      <c r="GR6" s="669"/>
      <c r="GS6" s="670">
        <f t="shared" ref="GS6" si="182">GS9</f>
        <v>9113</v>
      </c>
      <c r="GT6" s="669"/>
      <c r="GU6" s="669"/>
      <c r="GV6" s="670">
        <f t="shared" ref="GV6" si="183">GV9</f>
        <v>7897</v>
      </c>
      <c r="GW6" s="669"/>
      <c r="GX6" s="669"/>
      <c r="GY6" s="670">
        <f t="shared" ref="GY6" si="184">GY9</f>
        <v>7434</v>
      </c>
      <c r="GZ6" s="669"/>
      <c r="HA6" s="669"/>
      <c r="HB6" s="670">
        <f t="shared" ref="HB6" si="185">HB9</f>
        <v>6190</v>
      </c>
      <c r="HC6" s="669"/>
      <c r="HD6" s="669"/>
      <c r="HE6" s="670">
        <f t="shared" ref="HE6" si="186">HE9</f>
        <v>5840</v>
      </c>
      <c r="HF6" s="669"/>
      <c r="HG6" s="669"/>
      <c r="HH6" s="670">
        <f t="shared" ref="HH6" si="187">HH9</f>
        <v>5657</v>
      </c>
      <c r="HI6" s="669"/>
      <c r="HJ6" s="669"/>
      <c r="HK6" s="670">
        <f t="shared" ref="HK6" si="188">HK9</f>
        <v>4976</v>
      </c>
      <c r="HL6" s="669"/>
      <c r="HM6" s="669"/>
      <c r="HN6" s="670">
        <f t="shared" ref="HN6" si="189">HN9</f>
        <v>4414</v>
      </c>
      <c r="HO6" s="669"/>
      <c r="HP6" s="669"/>
      <c r="HQ6" s="670">
        <f t="shared" ref="HQ6" si="190">HQ9</f>
        <v>3569</v>
      </c>
      <c r="HR6" s="669"/>
      <c r="HS6" s="669"/>
      <c r="HT6" s="670">
        <f t="shared" ref="HT6" si="191">HT9</f>
        <v>3057</v>
      </c>
      <c r="HU6" s="669"/>
      <c r="HV6" s="669"/>
      <c r="HW6" s="670">
        <f t="shared" ref="HW6" si="192">HW9</f>
        <v>2636</v>
      </c>
      <c r="HX6" s="669"/>
      <c r="HY6" s="669"/>
      <c r="HZ6" s="670">
        <f t="shared" ref="HZ6" si="193">HZ9</f>
        <v>2009</v>
      </c>
      <c r="IA6" s="669"/>
      <c r="IB6" s="669"/>
      <c r="IC6" s="670">
        <f t="shared" ref="IC6" si="194">IC9</f>
        <v>1549</v>
      </c>
      <c r="ID6" s="669"/>
      <c r="IE6" s="669"/>
      <c r="IF6" s="670">
        <f t="shared" ref="IF6" si="195">IF9</f>
        <v>1227</v>
      </c>
      <c r="IG6" s="669"/>
      <c r="IH6" s="669"/>
      <c r="II6" s="670">
        <f t="shared" ref="II6" si="196">II9</f>
        <v>1176</v>
      </c>
      <c r="IJ6" s="669"/>
      <c r="IK6" s="669"/>
      <c r="IL6" s="670">
        <f t="shared" ref="IL6" si="197">IL9</f>
        <v>1084</v>
      </c>
      <c r="IM6" s="669"/>
      <c r="IN6" s="669"/>
      <c r="IO6" s="670">
        <f t="shared" ref="IO6" si="198">IO9</f>
        <v>869</v>
      </c>
      <c r="IP6" s="669"/>
      <c r="IQ6" s="669"/>
      <c r="IR6" s="670">
        <f t="shared" ref="IR6" si="199">IR9</f>
        <v>854</v>
      </c>
      <c r="IS6" s="669"/>
      <c r="IT6" s="669"/>
      <c r="IU6" s="670">
        <f t="shared" ref="IU6" si="200">IU9</f>
        <v>694</v>
      </c>
      <c r="IV6" s="669"/>
      <c r="IW6" s="669"/>
      <c r="IX6" s="670">
        <f t="shared" ref="IX6" si="201">IX9</f>
        <v>495</v>
      </c>
      <c r="IY6" s="669"/>
      <c r="IZ6" s="669"/>
      <c r="JA6" s="670">
        <f t="shared" ref="JA6" si="202">JA9</f>
        <v>496</v>
      </c>
      <c r="JB6" s="669"/>
      <c r="JC6" s="669"/>
      <c r="JD6" s="670">
        <f t="shared" ref="JD6" si="203">JD9</f>
        <v>284</v>
      </c>
      <c r="JE6" s="669"/>
      <c r="JF6" s="669"/>
      <c r="JG6" s="670">
        <f t="shared" ref="JG6" si="204">JG9</f>
        <v>243</v>
      </c>
      <c r="JH6" s="669"/>
      <c r="JI6" s="669"/>
      <c r="JJ6" s="670">
        <f t="shared" ref="JJ6" si="205">JJ9</f>
        <v>203</v>
      </c>
      <c r="JK6" s="669"/>
      <c r="JL6" s="669"/>
      <c r="JM6" s="670">
        <f t="shared" ref="JM6" si="206">JM9</f>
        <v>146</v>
      </c>
      <c r="JN6" s="669"/>
      <c r="JO6" s="669"/>
      <c r="JP6" s="670">
        <f t="shared" ref="JP6" si="207">JP9</f>
        <v>137</v>
      </c>
      <c r="JQ6" s="669"/>
      <c r="JR6" s="669"/>
      <c r="JS6" s="670">
        <f t="shared" ref="JS6" si="208">JS9</f>
        <v>95</v>
      </c>
      <c r="JT6" s="669"/>
      <c r="JU6" s="669"/>
      <c r="JV6" s="670">
        <f t="shared" ref="JV6" si="209">JV9</f>
        <v>116</v>
      </c>
      <c r="JW6" s="669"/>
      <c r="JX6" s="669"/>
      <c r="JY6" s="670">
        <f t="shared" ref="JY6" si="210">JY9</f>
        <v>59</v>
      </c>
      <c r="JZ6" s="669"/>
      <c r="KA6" s="669"/>
      <c r="KB6" s="670">
        <f t="shared" ref="KB6" si="211">KB9</f>
        <v>25</v>
      </c>
      <c r="KC6" s="669"/>
      <c r="KD6" s="669"/>
      <c r="KE6" s="670">
        <f t="shared" ref="KE6" si="212">KE9</f>
        <v>23</v>
      </c>
      <c r="KF6" s="669"/>
      <c r="KG6" s="669"/>
      <c r="KH6" s="670">
        <f t="shared" ref="KH6" si="213">KH9</f>
        <v>11</v>
      </c>
      <c r="KI6" s="669"/>
      <c r="KJ6" s="669"/>
      <c r="KK6" s="670">
        <f t="shared" ref="KK6" si="214">KK9</f>
        <v>9</v>
      </c>
      <c r="KL6" s="669"/>
      <c r="KM6" s="669"/>
      <c r="KN6" s="670">
        <f t="shared" ref="KN6" si="215">KN9</f>
        <v>5</v>
      </c>
      <c r="KO6" s="669"/>
      <c r="KP6" s="669"/>
      <c r="KQ6" s="670">
        <f t="shared" ref="KQ6" si="216">KQ9</f>
        <v>9</v>
      </c>
      <c r="KR6" s="669"/>
      <c r="KS6" s="669"/>
      <c r="KT6" s="670">
        <f t="shared" ref="KT6" si="217">KT9</f>
        <v>3</v>
      </c>
      <c r="KU6" s="669"/>
      <c r="KV6" s="669"/>
      <c r="KW6" s="670">
        <f t="shared" ref="KW6" si="218">KW9</f>
        <v>0</v>
      </c>
      <c r="KX6" s="669"/>
      <c r="KY6" s="669"/>
      <c r="KZ6" s="670">
        <f t="shared" ref="KZ6" si="219">KZ9</f>
        <v>0</v>
      </c>
      <c r="LA6" s="669"/>
      <c r="LB6" s="669"/>
      <c r="LC6" s="670">
        <f t="shared" ref="LC6" si="220">LC9</f>
        <v>0</v>
      </c>
      <c r="LD6" s="669"/>
      <c r="LE6" s="669"/>
      <c r="LF6" s="670">
        <f t="shared" ref="LF6" si="221">LF9</f>
        <v>0</v>
      </c>
      <c r="LG6" s="669"/>
      <c r="LH6" s="669"/>
      <c r="LI6" s="670">
        <f t="shared" ref="LI6" si="222">LI9</f>
        <v>0</v>
      </c>
      <c r="LJ6" s="669"/>
      <c r="LK6" s="669"/>
      <c r="LL6" s="670">
        <f t="shared" ref="LL6" si="223">LL9</f>
        <v>0</v>
      </c>
      <c r="LM6" s="669"/>
      <c r="LN6" s="669"/>
      <c r="LO6" s="670">
        <f t="shared" ref="LO6" si="224">LO9</f>
        <v>0</v>
      </c>
      <c r="LP6" s="669"/>
      <c r="LQ6" s="669"/>
      <c r="LR6" s="670">
        <f t="shared" ref="LR6" si="225">LR9</f>
        <v>0</v>
      </c>
      <c r="LS6" s="669"/>
      <c r="LT6" s="669"/>
      <c r="LU6" s="670">
        <f t="shared" ref="LU6" si="226">LU9</f>
        <v>0</v>
      </c>
      <c r="LV6" s="669"/>
      <c r="LW6" s="669"/>
      <c r="LX6" s="670">
        <f t="shared" ref="LX6" si="227">LX9</f>
        <v>0</v>
      </c>
      <c r="LY6" s="669"/>
      <c r="LZ6" s="669"/>
      <c r="MA6" s="670">
        <f t="shared" ref="MA6" si="228">MA9</f>
        <v>0</v>
      </c>
      <c r="MB6" s="669"/>
      <c r="MC6" s="669"/>
      <c r="MD6" s="670">
        <f t="shared" ref="MD6" si="229">MD9</f>
        <v>0</v>
      </c>
      <c r="ME6" s="669"/>
      <c r="MF6" s="669"/>
      <c r="MG6" s="670">
        <f t="shared" ref="MG6" si="230">MG9</f>
        <v>0</v>
      </c>
      <c r="MH6" s="669"/>
      <c r="MI6" s="669"/>
      <c r="MJ6" s="670">
        <f t="shared" ref="MJ6" si="231">MJ9</f>
        <v>0</v>
      </c>
      <c r="MK6" s="669"/>
      <c r="ML6" s="669"/>
      <c r="MM6" s="670">
        <f t="shared" ref="MM6" si="232">MM9</f>
        <v>0</v>
      </c>
      <c r="MN6" s="669"/>
      <c r="MO6" s="669"/>
      <c r="MP6" s="670">
        <f t="shared" ref="MP6" si="233">MP9</f>
        <v>0</v>
      </c>
      <c r="MQ6" s="669"/>
      <c r="MR6" s="669"/>
      <c r="MS6" s="670">
        <f t="shared" ref="MS6" si="234">MS9</f>
        <v>0</v>
      </c>
      <c r="MT6" s="669"/>
      <c r="MU6" s="669"/>
      <c r="MV6" s="670">
        <f t="shared" ref="MV6" si="235">MV9</f>
        <v>0</v>
      </c>
      <c r="MW6" s="669"/>
      <c r="MX6" s="669"/>
      <c r="MY6" s="670">
        <f t="shared" ref="MY6" si="236">MY9</f>
        <v>0</v>
      </c>
      <c r="MZ6" s="669"/>
      <c r="NA6" s="669"/>
      <c r="NB6" s="670">
        <f t="shared" ref="NB6" si="237">NB9</f>
        <v>0</v>
      </c>
      <c r="NC6" s="669"/>
      <c r="ND6" s="669"/>
      <c r="NE6" s="671">
        <f>SUM(C6:NA6)</f>
        <v>1300822</v>
      </c>
      <c r="NF6" s="672"/>
      <c r="NG6" s="673"/>
      <c r="NH6" s="671">
        <f>SUM(C6,F6,I6,L6,O6,R6)</f>
        <v>100562</v>
      </c>
      <c r="NI6" s="672"/>
      <c r="NJ6" s="673"/>
    </row>
    <row r="7" spans="1:374" ht="14.5" thickBot="1" x14ac:dyDescent="0.35">
      <c r="A7" s="579"/>
      <c r="B7" s="580" t="s">
        <v>6</v>
      </c>
      <c r="C7" s="670">
        <f>D9</f>
        <v>10097</v>
      </c>
      <c r="D7" s="669"/>
      <c r="E7" s="669"/>
      <c r="F7" s="670">
        <f>G9</f>
        <v>13085</v>
      </c>
      <c r="G7" s="669"/>
      <c r="H7" s="669"/>
      <c r="I7" s="670">
        <f>J9</f>
        <v>15348</v>
      </c>
      <c r="J7" s="669"/>
      <c r="K7" s="669"/>
      <c r="L7" s="670">
        <f t="shared" ref="L7" si="238">M9</f>
        <v>17207</v>
      </c>
      <c r="M7" s="669"/>
      <c r="N7" s="669"/>
      <c r="O7" s="670">
        <f t="shared" ref="O7" si="239">P9</f>
        <v>18671</v>
      </c>
      <c r="P7" s="669"/>
      <c r="Q7" s="669"/>
      <c r="R7" s="670">
        <f t="shared" ref="R7" si="240">S9</f>
        <v>19649</v>
      </c>
      <c r="S7" s="669"/>
      <c r="T7" s="669"/>
      <c r="U7" s="670">
        <f t="shared" ref="U7" si="241">V9</f>
        <v>21687</v>
      </c>
      <c r="V7" s="669"/>
      <c r="W7" s="669"/>
      <c r="X7" s="670">
        <f t="shared" ref="X7" si="242">Y9</f>
        <v>22210</v>
      </c>
      <c r="Y7" s="669"/>
      <c r="Z7" s="669"/>
      <c r="AA7" s="670">
        <f t="shared" ref="AA7" si="243">AB9</f>
        <v>21297</v>
      </c>
      <c r="AB7" s="669"/>
      <c r="AC7" s="669"/>
      <c r="AD7" s="670">
        <f t="shared" ref="AD7" si="244">AE9</f>
        <v>20350</v>
      </c>
      <c r="AE7" s="669"/>
      <c r="AF7" s="669"/>
      <c r="AG7" s="670">
        <f t="shared" ref="AG7" si="245">AH9</f>
        <v>20811</v>
      </c>
      <c r="AH7" s="669"/>
      <c r="AI7" s="669"/>
      <c r="AJ7" s="670">
        <f t="shared" ref="AJ7" si="246">AK9</f>
        <v>20671</v>
      </c>
      <c r="AK7" s="669"/>
      <c r="AL7" s="669"/>
      <c r="AM7" s="670">
        <f t="shared" ref="AM7" si="247">AN9</f>
        <v>20558</v>
      </c>
      <c r="AN7" s="669"/>
      <c r="AO7" s="669"/>
      <c r="AP7" s="670">
        <f t="shared" ref="AP7" si="248">AQ9</f>
        <v>20852</v>
      </c>
      <c r="AQ7" s="669"/>
      <c r="AR7" s="669"/>
      <c r="AS7" s="670">
        <f t="shared" ref="AS7" si="249">AT9</f>
        <v>21775</v>
      </c>
      <c r="AT7" s="669"/>
      <c r="AU7" s="669"/>
      <c r="AV7" s="670">
        <f t="shared" ref="AV7" si="250">AW9</f>
        <v>20469</v>
      </c>
      <c r="AW7" s="669"/>
      <c r="AX7" s="669"/>
      <c r="AY7" s="670">
        <f t="shared" ref="AY7" si="251">AZ9</f>
        <v>20188</v>
      </c>
      <c r="AZ7" s="669"/>
      <c r="BA7" s="669"/>
      <c r="BB7" s="670">
        <f t="shared" ref="BB7" si="252">BC9</f>
        <v>18558</v>
      </c>
      <c r="BC7" s="669"/>
      <c r="BD7" s="669"/>
      <c r="BE7" s="670">
        <f t="shared" ref="BE7" si="253">BF9</f>
        <v>19372</v>
      </c>
      <c r="BF7" s="669"/>
      <c r="BG7" s="669"/>
      <c r="BH7" s="670">
        <f t="shared" ref="BH7" si="254">BI9</f>
        <v>20377</v>
      </c>
      <c r="BI7" s="669"/>
      <c r="BJ7" s="669"/>
      <c r="BK7" s="670">
        <f t="shared" ref="BK7" si="255">BL9</f>
        <v>18947</v>
      </c>
      <c r="BL7" s="669"/>
      <c r="BM7" s="669"/>
      <c r="BN7" s="670">
        <f t="shared" ref="BN7" si="256">BO9</f>
        <v>19151</v>
      </c>
      <c r="BO7" s="669"/>
      <c r="BP7" s="669"/>
      <c r="BQ7" s="670">
        <f t="shared" ref="BQ7" si="257">BR9</f>
        <v>19886</v>
      </c>
      <c r="BR7" s="669"/>
      <c r="BS7" s="669"/>
      <c r="BT7" s="670">
        <f t="shared" ref="BT7" si="258">BU9</f>
        <v>20609</v>
      </c>
      <c r="BU7" s="669"/>
      <c r="BV7" s="669"/>
      <c r="BW7" s="670">
        <f t="shared" ref="BW7" si="259">BX9</f>
        <v>20028</v>
      </c>
      <c r="BX7" s="669"/>
      <c r="BY7" s="669"/>
      <c r="BZ7" s="670">
        <f t="shared" ref="BZ7" si="260">CA9</f>
        <v>21343</v>
      </c>
      <c r="CA7" s="669"/>
      <c r="CB7" s="669"/>
      <c r="CC7" s="670">
        <f t="shared" ref="CC7" si="261">CD9</f>
        <v>21829</v>
      </c>
      <c r="CD7" s="669"/>
      <c r="CE7" s="669"/>
      <c r="CF7" s="670">
        <f t="shared" ref="CF7" si="262">CG9</f>
        <v>18997</v>
      </c>
      <c r="CG7" s="669"/>
      <c r="CH7" s="669"/>
      <c r="CI7" s="670">
        <f t="shared" ref="CI7" si="263">CJ9</f>
        <v>21008</v>
      </c>
      <c r="CJ7" s="669"/>
      <c r="CK7" s="669"/>
      <c r="CL7" s="670">
        <f t="shared" ref="CL7" si="264">CM9</f>
        <v>20818</v>
      </c>
      <c r="CM7" s="669"/>
      <c r="CN7" s="669"/>
      <c r="CO7" s="670">
        <f t="shared" ref="CO7" si="265">CP9</f>
        <v>21757</v>
      </c>
      <c r="CP7" s="669"/>
      <c r="CQ7" s="669"/>
      <c r="CR7" s="670">
        <f t="shared" ref="CR7" si="266">CS9</f>
        <v>22437</v>
      </c>
      <c r="CS7" s="669"/>
      <c r="CT7" s="669"/>
      <c r="CU7" s="670">
        <f t="shared" ref="CU7" si="267">CV9</f>
        <v>21451</v>
      </c>
      <c r="CV7" s="669"/>
      <c r="CW7" s="669"/>
      <c r="CX7" s="670">
        <f t="shared" ref="CX7" si="268">CY9</f>
        <v>21391</v>
      </c>
      <c r="CY7" s="669"/>
      <c r="CZ7" s="669"/>
      <c r="DA7" s="670">
        <f t="shared" ref="DA7" si="269">DB9</f>
        <v>21446</v>
      </c>
      <c r="DB7" s="669"/>
      <c r="DC7" s="669"/>
      <c r="DD7" s="670">
        <f t="shared" ref="DD7" si="270">DE9</f>
        <v>20764</v>
      </c>
      <c r="DE7" s="669"/>
      <c r="DF7" s="669"/>
      <c r="DG7" s="670">
        <f t="shared" ref="DG7" si="271">DH9</f>
        <v>21327</v>
      </c>
      <c r="DH7" s="669"/>
      <c r="DI7" s="669"/>
      <c r="DJ7" s="670">
        <f t="shared" ref="DJ7" si="272">DK9</f>
        <v>19647</v>
      </c>
      <c r="DK7" s="669"/>
      <c r="DL7" s="669"/>
      <c r="DM7" s="670">
        <f t="shared" ref="DM7" si="273">DN9</f>
        <v>19141</v>
      </c>
      <c r="DN7" s="669"/>
      <c r="DO7" s="669"/>
      <c r="DP7" s="670">
        <f t="shared" ref="DP7" si="274">DQ9</f>
        <v>19490</v>
      </c>
      <c r="DQ7" s="669"/>
      <c r="DR7" s="669"/>
      <c r="DS7" s="670">
        <f t="shared" ref="DS7" si="275">DT9</f>
        <v>20322</v>
      </c>
      <c r="DT7" s="669"/>
      <c r="DU7" s="669"/>
      <c r="DV7" s="670">
        <f t="shared" ref="DV7" si="276">DW9</f>
        <v>20731</v>
      </c>
      <c r="DW7" s="669"/>
      <c r="DX7" s="669"/>
      <c r="DY7" s="670">
        <f t="shared" ref="DY7" si="277">DZ9</f>
        <v>20525</v>
      </c>
      <c r="DZ7" s="669"/>
      <c r="EA7" s="669"/>
      <c r="EB7" s="670">
        <f t="shared" ref="EB7" si="278">EC9</f>
        <v>22279</v>
      </c>
      <c r="EC7" s="669"/>
      <c r="ED7" s="669"/>
      <c r="EE7" s="670">
        <f t="shared" ref="EE7" si="279">EF9</f>
        <v>21529</v>
      </c>
      <c r="EF7" s="669"/>
      <c r="EG7" s="669"/>
      <c r="EH7" s="670">
        <f t="shared" ref="EH7" si="280">EI9</f>
        <v>20477</v>
      </c>
      <c r="EI7" s="669"/>
      <c r="EJ7" s="669"/>
      <c r="EK7" s="670">
        <f t="shared" ref="EK7" si="281">EL9</f>
        <v>20898</v>
      </c>
      <c r="EL7" s="669"/>
      <c r="EM7" s="669"/>
      <c r="EN7" s="670">
        <f t="shared" ref="EN7" si="282">EO9</f>
        <v>19618</v>
      </c>
      <c r="EO7" s="669"/>
      <c r="EP7" s="669"/>
      <c r="EQ7" s="670">
        <f t="shared" ref="EQ7" si="283">ER9</f>
        <v>18830</v>
      </c>
      <c r="ER7" s="669"/>
      <c r="ES7" s="669"/>
      <c r="ET7" s="670">
        <f t="shared" ref="ET7" si="284">EU9</f>
        <v>18666</v>
      </c>
      <c r="EU7" s="669"/>
      <c r="EV7" s="669"/>
      <c r="EW7" s="670">
        <f t="shared" ref="EW7" si="285">EX9</f>
        <v>18724</v>
      </c>
      <c r="EX7" s="669"/>
      <c r="EY7" s="669"/>
      <c r="EZ7" s="670">
        <f t="shared" ref="EZ7" si="286">FA9</f>
        <v>18054</v>
      </c>
      <c r="FA7" s="669"/>
      <c r="FB7" s="669"/>
      <c r="FC7" s="670">
        <f t="shared" ref="FC7" si="287">FD9</f>
        <v>16419</v>
      </c>
      <c r="FD7" s="669"/>
      <c r="FE7" s="669"/>
      <c r="FF7" s="670">
        <f t="shared" ref="FF7" si="288">FG9</f>
        <v>17484</v>
      </c>
      <c r="FG7" s="669"/>
      <c r="FH7" s="669"/>
      <c r="FI7" s="670">
        <f t="shared" ref="FI7" si="289">FJ9</f>
        <v>16264</v>
      </c>
      <c r="FJ7" s="669"/>
      <c r="FK7" s="669"/>
      <c r="FL7" s="670">
        <f t="shared" ref="FL7" si="290">FM9</f>
        <v>15354</v>
      </c>
      <c r="FM7" s="669"/>
      <c r="FN7" s="669"/>
      <c r="FO7" s="670">
        <f t="shared" ref="FO7" si="291">FP9</f>
        <v>16072</v>
      </c>
      <c r="FP7" s="669"/>
      <c r="FQ7" s="669"/>
      <c r="FR7" s="670">
        <f t="shared" ref="FR7" si="292">FS9</f>
        <v>14867</v>
      </c>
      <c r="FS7" s="669"/>
      <c r="FT7" s="669"/>
      <c r="FU7" s="670">
        <f t="shared" ref="FU7" si="293">FV9</f>
        <v>14147</v>
      </c>
      <c r="FV7" s="669"/>
      <c r="FW7" s="669"/>
      <c r="FX7" s="670">
        <f t="shared" ref="FX7" si="294">FY9</f>
        <v>12667</v>
      </c>
      <c r="FY7" s="669"/>
      <c r="FZ7" s="669"/>
      <c r="GA7" s="670">
        <f t="shared" ref="GA7" si="295">GB9</f>
        <v>13611</v>
      </c>
      <c r="GB7" s="669"/>
      <c r="GC7" s="669"/>
      <c r="GD7" s="670">
        <f t="shared" ref="GD7" si="296">GE9</f>
        <v>13107</v>
      </c>
      <c r="GE7" s="669"/>
      <c r="GF7" s="669"/>
      <c r="GG7" s="670">
        <f t="shared" ref="GG7" si="297">GH9</f>
        <v>11886</v>
      </c>
      <c r="GH7" s="669"/>
      <c r="GI7" s="669"/>
      <c r="GJ7" s="670">
        <f t="shared" ref="GJ7" si="298">GK9</f>
        <v>11540</v>
      </c>
      <c r="GK7" s="669"/>
      <c r="GL7" s="669"/>
      <c r="GM7" s="670">
        <f t="shared" ref="GM7" si="299">GN9</f>
        <v>10325</v>
      </c>
      <c r="GN7" s="669"/>
      <c r="GO7" s="669"/>
      <c r="GP7" s="670">
        <f t="shared" ref="GP7" si="300">GQ9</f>
        <v>10019</v>
      </c>
      <c r="GQ7" s="669"/>
      <c r="GR7" s="669"/>
      <c r="GS7" s="670">
        <f t="shared" ref="GS7" si="301">GT9</f>
        <v>9923</v>
      </c>
      <c r="GT7" s="669"/>
      <c r="GU7" s="669"/>
      <c r="GV7" s="670">
        <f t="shared" ref="GV7" si="302">GW9</f>
        <v>8701</v>
      </c>
      <c r="GW7" s="669"/>
      <c r="GX7" s="669"/>
      <c r="GY7" s="670">
        <f t="shared" ref="GY7" si="303">GZ9</f>
        <v>7876</v>
      </c>
      <c r="GZ7" s="669"/>
      <c r="HA7" s="669"/>
      <c r="HB7" s="670">
        <f t="shared" ref="HB7" si="304">HC9</f>
        <v>6339</v>
      </c>
      <c r="HC7" s="669"/>
      <c r="HD7" s="669"/>
      <c r="HE7" s="670">
        <f t="shared" ref="HE7" si="305">HF9</f>
        <v>6086</v>
      </c>
      <c r="HF7" s="669"/>
      <c r="HG7" s="669"/>
      <c r="HH7" s="670">
        <f t="shared" ref="HH7" si="306">HI9</f>
        <v>5572</v>
      </c>
      <c r="HI7" s="669"/>
      <c r="HJ7" s="669"/>
      <c r="HK7" s="670">
        <f t="shared" ref="HK7" si="307">HL9</f>
        <v>4619</v>
      </c>
      <c r="HL7" s="669"/>
      <c r="HM7" s="669"/>
      <c r="HN7" s="670">
        <f t="shared" ref="HN7" si="308">HO9</f>
        <v>4054</v>
      </c>
      <c r="HO7" s="669"/>
      <c r="HP7" s="669"/>
      <c r="HQ7" s="670">
        <f t="shared" ref="HQ7" si="309">HR9</f>
        <v>3284</v>
      </c>
      <c r="HR7" s="669"/>
      <c r="HS7" s="669"/>
      <c r="HT7" s="670">
        <f t="shared" ref="HT7" si="310">HU9</f>
        <v>3084</v>
      </c>
      <c r="HU7" s="669"/>
      <c r="HV7" s="669"/>
      <c r="HW7" s="670">
        <f t="shared" ref="HW7" si="311">HX9</f>
        <v>2838</v>
      </c>
      <c r="HX7" s="669"/>
      <c r="HY7" s="669"/>
      <c r="HZ7" s="670">
        <f t="shared" ref="HZ7" si="312">IA9</f>
        <v>2110</v>
      </c>
      <c r="IA7" s="669"/>
      <c r="IB7" s="669"/>
      <c r="IC7" s="670">
        <f t="shared" ref="IC7" si="313">ID9</f>
        <v>1850</v>
      </c>
      <c r="ID7" s="669"/>
      <c r="IE7" s="669"/>
      <c r="IF7" s="670">
        <f t="shared" ref="IF7" si="314">IG9</f>
        <v>1507</v>
      </c>
      <c r="IG7" s="669"/>
      <c r="IH7" s="669"/>
      <c r="II7" s="670">
        <f t="shared" ref="II7" si="315">IJ9</f>
        <v>1560</v>
      </c>
      <c r="IJ7" s="669"/>
      <c r="IK7" s="669"/>
      <c r="IL7" s="670">
        <f t="shared" ref="IL7" si="316">IM9</f>
        <v>1309</v>
      </c>
      <c r="IM7" s="669"/>
      <c r="IN7" s="669"/>
      <c r="IO7" s="670">
        <f t="shared" ref="IO7" si="317">IP9</f>
        <v>1000</v>
      </c>
      <c r="IP7" s="669"/>
      <c r="IQ7" s="669"/>
      <c r="IR7" s="670">
        <f t="shared" ref="IR7" si="318">IS9</f>
        <v>1052</v>
      </c>
      <c r="IS7" s="669"/>
      <c r="IT7" s="669"/>
      <c r="IU7" s="670">
        <f t="shared" ref="IU7" si="319">IV9</f>
        <v>799</v>
      </c>
      <c r="IV7" s="669"/>
      <c r="IW7" s="669"/>
      <c r="IX7" s="670">
        <f t="shared" ref="IX7" si="320">IY9</f>
        <v>703</v>
      </c>
      <c r="IY7" s="669"/>
      <c r="IZ7" s="669"/>
      <c r="JA7" s="670">
        <f t="shared" ref="JA7" si="321">JB9</f>
        <v>738</v>
      </c>
      <c r="JB7" s="669"/>
      <c r="JC7" s="669"/>
      <c r="JD7" s="670">
        <f t="shared" ref="JD7" si="322">JE9</f>
        <v>470</v>
      </c>
      <c r="JE7" s="669"/>
      <c r="JF7" s="669"/>
      <c r="JG7" s="670">
        <f t="shared" ref="JG7" si="323">JH9</f>
        <v>424</v>
      </c>
      <c r="JH7" s="669"/>
      <c r="JI7" s="669"/>
      <c r="JJ7" s="670">
        <f t="shared" ref="JJ7" si="324">JK9</f>
        <v>290</v>
      </c>
      <c r="JK7" s="669"/>
      <c r="JL7" s="669"/>
      <c r="JM7" s="670">
        <f t="shared" ref="JM7" si="325">JN9</f>
        <v>279</v>
      </c>
      <c r="JN7" s="669"/>
      <c r="JO7" s="669"/>
      <c r="JP7" s="670">
        <f t="shared" ref="JP7" si="326">JQ9</f>
        <v>262</v>
      </c>
      <c r="JQ7" s="669"/>
      <c r="JR7" s="669"/>
      <c r="JS7" s="670">
        <f t="shared" ref="JS7" si="327">JT9</f>
        <v>174</v>
      </c>
      <c r="JT7" s="669"/>
      <c r="JU7" s="669"/>
      <c r="JV7" s="670">
        <f t="shared" ref="JV7" si="328">JW9</f>
        <v>168</v>
      </c>
      <c r="JW7" s="669"/>
      <c r="JX7" s="669"/>
      <c r="JY7" s="670">
        <f t="shared" ref="JY7" si="329">JZ9</f>
        <v>67</v>
      </c>
      <c r="JZ7" s="669"/>
      <c r="KA7" s="669"/>
      <c r="KB7" s="670">
        <f t="shared" ref="KB7" si="330">KC9</f>
        <v>47</v>
      </c>
      <c r="KC7" s="669"/>
      <c r="KD7" s="669"/>
      <c r="KE7" s="670">
        <f t="shared" ref="KE7" si="331">KF9</f>
        <v>54</v>
      </c>
      <c r="KF7" s="669"/>
      <c r="KG7" s="669"/>
      <c r="KH7" s="670">
        <f t="shared" ref="KH7" si="332">KI9</f>
        <v>20</v>
      </c>
      <c r="KI7" s="669"/>
      <c r="KJ7" s="669"/>
      <c r="KK7" s="670">
        <f t="shared" ref="KK7" si="333">KL9</f>
        <v>18</v>
      </c>
      <c r="KL7" s="669"/>
      <c r="KM7" s="669"/>
      <c r="KN7" s="670">
        <f t="shared" ref="KN7" si="334">KO9</f>
        <v>18</v>
      </c>
      <c r="KO7" s="669"/>
      <c r="KP7" s="669"/>
      <c r="KQ7" s="670">
        <f t="shared" ref="KQ7" si="335">KR9</f>
        <v>7</v>
      </c>
      <c r="KR7" s="669"/>
      <c r="KS7" s="669"/>
      <c r="KT7" s="670">
        <f t="shared" ref="KT7" si="336">KU9</f>
        <v>10</v>
      </c>
      <c r="KU7" s="669"/>
      <c r="KV7" s="669"/>
      <c r="KW7" s="670">
        <f t="shared" ref="KW7" si="337">KX9</f>
        <v>0</v>
      </c>
      <c r="KX7" s="669"/>
      <c r="KY7" s="669"/>
      <c r="KZ7" s="670">
        <f t="shared" ref="KZ7" si="338">LA9</f>
        <v>0</v>
      </c>
      <c r="LA7" s="669"/>
      <c r="LB7" s="669"/>
      <c r="LC7" s="670">
        <f t="shared" ref="LC7" si="339">LD9</f>
        <v>0</v>
      </c>
      <c r="LD7" s="669"/>
      <c r="LE7" s="669"/>
      <c r="LF7" s="670">
        <f t="shared" ref="LF7" si="340">LG9</f>
        <v>0</v>
      </c>
      <c r="LG7" s="669"/>
      <c r="LH7" s="669"/>
      <c r="LI7" s="670">
        <f t="shared" ref="LI7" si="341">LJ9</f>
        <v>0</v>
      </c>
      <c r="LJ7" s="669"/>
      <c r="LK7" s="669"/>
      <c r="LL7" s="670">
        <f t="shared" ref="LL7" si="342">LM9</f>
        <v>0</v>
      </c>
      <c r="LM7" s="669"/>
      <c r="LN7" s="669"/>
      <c r="LO7" s="670">
        <f t="shared" ref="LO7" si="343">LP9</f>
        <v>0</v>
      </c>
      <c r="LP7" s="669"/>
      <c r="LQ7" s="669"/>
      <c r="LR7" s="670">
        <f t="shared" ref="LR7" si="344">LS9</f>
        <v>0</v>
      </c>
      <c r="LS7" s="669"/>
      <c r="LT7" s="669"/>
      <c r="LU7" s="670">
        <f t="shared" ref="LU7" si="345">LV9</f>
        <v>0</v>
      </c>
      <c r="LV7" s="669"/>
      <c r="LW7" s="669"/>
      <c r="LX7" s="670">
        <f t="shared" ref="LX7" si="346">LY9</f>
        <v>0</v>
      </c>
      <c r="LY7" s="669"/>
      <c r="LZ7" s="669"/>
      <c r="MA7" s="670">
        <f t="shared" ref="MA7" si="347">MB9</f>
        <v>0</v>
      </c>
      <c r="MB7" s="669"/>
      <c r="MC7" s="669"/>
      <c r="MD7" s="670">
        <f t="shared" ref="MD7" si="348">ME9</f>
        <v>0</v>
      </c>
      <c r="ME7" s="669"/>
      <c r="MF7" s="669"/>
      <c r="MG7" s="670">
        <f t="shared" ref="MG7" si="349">MH9</f>
        <v>0</v>
      </c>
      <c r="MH7" s="669"/>
      <c r="MI7" s="669"/>
      <c r="MJ7" s="670">
        <f t="shared" ref="MJ7" si="350">MK9</f>
        <v>0</v>
      </c>
      <c r="MK7" s="669"/>
      <c r="ML7" s="669"/>
      <c r="MM7" s="670">
        <f t="shared" ref="MM7" si="351">MN9</f>
        <v>0</v>
      </c>
      <c r="MN7" s="669"/>
      <c r="MO7" s="669"/>
      <c r="MP7" s="670">
        <f t="shared" ref="MP7" si="352">MQ9</f>
        <v>0</v>
      </c>
      <c r="MQ7" s="669"/>
      <c r="MR7" s="669"/>
      <c r="MS7" s="670">
        <f t="shared" ref="MS7" si="353">MT9</f>
        <v>0</v>
      </c>
      <c r="MT7" s="669"/>
      <c r="MU7" s="669"/>
      <c r="MV7" s="670">
        <f t="shared" ref="MV7" si="354">MW9</f>
        <v>0</v>
      </c>
      <c r="MW7" s="669"/>
      <c r="MX7" s="669"/>
      <c r="MY7" s="670">
        <f t="shared" ref="MY7" si="355">MZ9</f>
        <v>0</v>
      </c>
      <c r="MZ7" s="669"/>
      <c r="NA7" s="669"/>
      <c r="NB7" s="670">
        <f t="shared" ref="NB7" si="356">NC9</f>
        <v>0</v>
      </c>
      <c r="NC7" s="669"/>
      <c r="ND7" s="669"/>
      <c r="NE7" s="671">
        <f>SUM(C7:NA7)</f>
        <v>1306426</v>
      </c>
      <c r="NF7" s="672"/>
      <c r="NG7" s="673"/>
      <c r="NH7" s="671">
        <f>SUM(C7:T7)</f>
        <v>94057</v>
      </c>
      <c r="NI7" s="672"/>
      <c r="NJ7" s="673"/>
    </row>
    <row r="8" spans="1:374" ht="14.5" thickBot="1" x14ac:dyDescent="0.35">
      <c r="A8" s="581" t="s">
        <v>14</v>
      </c>
      <c r="B8" s="582" t="s">
        <v>15</v>
      </c>
      <c r="C8" s="583" t="s">
        <v>492</v>
      </c>
      <c r="D8" s="584" t="s">
        <v>493</v>
      </c>
      <c r="E8" s="585" t="s">
        <v>7</v>
      </c>
      <c r="F8" s="581" t="s">
        <v>494</v>
      </c>
      <c r="G8" s="584" t="s">
        <v>495</v>
      </c>
      <c r="H8" s="585" t="s">
        <v>7</v>
      </c>
      <c r="I8" s="584" t="s">
        <v>496</v>
      </c>
      <c r="J8" s="584" t="s">
        <v>497</v>
      </c>
      <c r="K8" s="585" t="s">
        <v>7</v>
      </c>
      <c r="L8" s="584" t="s">
        <v>498</v>
      </c>
      <c r="M8" s="584" t="s">
        <v>499</v>
      </c>
      <c r="N8" s="585" t="s">
        <v>7</v>
      </c>
      <c r="O8" s="584" t="s">
        <v>500</v>
      </c>
      <c r="P8" s="584" t="s">
        <v>501</v>
      </c>
      <c r="Q8" s="585" t="s">
        <v>7</v>
      </c>
      <c r="R8" s="584" t="s">
        <v>502</v>
      </c>
      <c r="S8" s="584" t="s">
        <v>503</v>
      </c>
      <c r="T8" s="585" t="s">
        <v>7</v>
      </c>
      <c r="U8" s="584" t="s">
        <v>504</v>
      </c>
      <c r="V8" s="584" t="s">
        <v>505</v>
      </c>
      <c r="W8" s="585" t="s">
        <v>7</v>
      </c>
      <c r="X8" s="584" t="s">
        <v>506</v>
      </c>
      <c r="Y8" s="584" t="s">
        <v>507</v>
      </c>
      <c r="Z8" s="585" t="s">
        <v>7</v>
      </c>
      <c r="AA8" s="584" t="s">
        <v>508</v>
      </c>
      <c r="AB8" s="584" t="s">
        <v>509</v>
      </c>
      <c r="AC8" s="585" t="s">
        <v>7</v>
      </c>
      <c r="AD8" s="584" t="s">
        <v>510</v>
      </c>
      <c r="AE8" s="584" t="s">
        <v>511</v>
      </c>
      <c r="AF8" s="585" t="s">
        <v>7</v>
      </c>
      <c r="AG8" s="584" t="s">
        <v>512</v>
      </c>
      <c r="AH8" s="584" t="s">
        <v>513</v>
      </c>
      <c r="AI8" s="585" t="s">
        <v>7</v>
      </c>
      <c r="AJ8" s="584" t="s">
        <v>514</v>
      </c>
      <c r="AK8" s="584" t="s">
        <v>515</v>
      </c>
      <c r="AL8" s="585" t="s">
        <v>7</v>
      </c>
      <c r="AM8" s="584" t="s">
        <v>516</v>
      </c>
      <c r="AN8" s="584" t="s">
        <v>517</v>
      </c>
      <c r="AO8" s="585" t="s">
        <v>7</v>
      </c>
      <c r="AP8" s="584" t="s">
        <v>518</v>
      </c>
      <c r="AQ8" s="584" t="s">
        <v>519</v>
      </c>
      <c r="AR8" s="585" t="s">
        <v>7</v>
      </c>
      <c r="AS8" s="584" t="s">
        <v>520</v>
      </c>
      <c r="AT8" s="584" t="s">
        <v>521</v>
      </c>
      <c r="AU8" s="585" t="s">
        <v>7</v>
      </c>
      <c r="AV8" s="584" t="s">
        <v>522</v>
      </c>
      <c r="AW8" s="584" t="s">
        <v>523</v>
      </c>
      <c r="AX8" s="585" t="s">
        <v>7</v>
      </c>
      <c r="AY8" s="584" t="s">
        <v>524</v>
      </c>
      <c r="AZ8" s="584" t="s">
        <v>525</v>
      </c>
      <c r="BA8" s="585" t="s">
        <v>7</v>
      </c>
      <c r="BB8" s="584" t="s">
        <v>526</v>
      </c>
      <c r="BC8" s="584" t="s">
        <v>527</v>
      </c>
      <c r="BD8" s="585" t="s">
        <v>7</v>
      </c>
      <c r="BE8" s="584" t="s">
        <v>528</v>
      </c>
      <c r="BF8" s="584" t="s">
        <v>529</v>
      </c>
      <c r="BG8" s="585" t="s">
        <v>7</v>
      </c>
      <c r="BH8" s="584" t="s">
        <v>530</v>
      </c>
      <c r="BI8" s="584" t="s">
        <v>531</v>
      </c>
      <c r="BJ8" s="585" t="s">
        <v>7</v>
      </c>
      <c r="BK8" s="584" t="s">
        <v>532</v>
      </c>
      <c r="BL8" s="584" t="s">
        <v>533</v>
      </c>
      <c r="BM8" s="585" t="s">
        <v>7</v>
      </c>
      <c r="BN8" s="584" t="s">
        <v>534</v>
      </c>
      <c r="BO8" s="584" t="s">
        <v>535</v>
      </c>
      <c r="BP8" s="585" t="s">
        <v>7</v>
      </c>
      <c r="BQ8" s="584" t="s">
        <v>536</v>
      </c>
      <c r="BR8" s="584" t="s">
        <v>537</v>
      </c>
      <c r="BS8" s="585" t="s">
        <v>7</v>
      </c>
      <c r="BT8" s="584" t="s">
        <v>538</v>
      </c>
      <c r="BU8" s="584" t="s">
        <v>539</v>
      </c>
      <c r="BV8" s="585" t="s">
        <v>7</v>
      </c>
      <c r="BW8" s="584" t="s">
        <v>540</v>
      </c>
      <c r="BX8" s="584" t="s">
        <v>541</v>
      </c>
      <c r="BY8" s="585" t="s">
        <v>7</v>
      </c>
      <c r="BZ8" s="584" t="s">
        <v>542</v>
      </c>
      <c r="CA8" s="584" t="s">
        <v>543</v>
      </c>
      <c r="CB8" s="585" t="s">
        <v>7</v>
      </c>
      <c r="CC8" s="584" t="s">
        <v>544</v>
      </c>
      <c r="CD8" s="584" t="s">
        <v>545</v>
      </c>
      <c r="CE8" s="585" t="s">
        <v>7</v>
      </c>
      <c r="CF8" s="584" t="s">
        <v>546</v>
      </c>
      <c r="CG8" s="584" t="s">
        <v>547</v>
      </c>
      <c r="CH8" s="585" t="s">
        <v>7</v>
      </c>
      <c r="CI8" s="584" t="s">
        <v>548</v>
      </c>
      <c r="CJ8" s="584" t="s">
        <v>549</v>
      </c>
      <c r="CK8" s="585" t="s">
        <v>7</v>
      </c>
      <c r="CL8" s="584" t="s">
        <v>550</v>
      </c>
      <c r="CM8" s="584" t="s">
        <v>551</v>
      </c>
      <c r="CN8" s="585" t="s">
        <v>7</v>
      </c>
      <c r="CO8" s="584" t="s">
        <v>552</v>
      </c>
      <c r="CP8" s="584" t="s">
        <v>553</v>
      </c>
      <c r="CQ8" s="585" t="s">
        <v>7</v>
      </c>
      <c r="CR8" s="584" t="s">
        <v>554</v>
      </c>
      <c r="CS8" s="584" t="s">
        <v>555</v>
      </c>
      <c r="CT8" s="585" t="s">
        <v>7</v>
      </c>
      <c r="CU8" s="584" t="s">
        <v>556</v>
      </c>
      <c r="CV8" s="584" t="s">
        <v>557</v>
      </c>
      <c r="CW8" s="585" t="s">
        <v>7</v>
      </c>
      <c r="CX8" s="584" t="s">
        <v>558</v>
      </c>
      <c r="CY8" s="584" t="s">
        <v>559</v>
      </c>
      <c r="CZ8" s="585" t="s">
        <v>7</v>
      </c>
      <c r="DA8" s="584" t="s">
        <v>560</v>
      </c>
      <c r="DB8" s="584" t="s">
        <v>561</v>
      </c>
      <c r="DC8" s="585" t="s">
        <v>7</v>
      </c>
      <c r="DD8" s="584" t="s">
        <v>562</v>
      </c>
      <c r="DE8" s="584" t="s">
        <v>563</v>
      </c>
      <c r="DF8" s="585" t="s">
        <v>7</v>
      </c>
      <c r="DG8" s="584" t="s">
        <v>564</v>
      </c>
      <c r="DH8" s="584" t="s">
        <v>565</v>
      </c>
      <c r="DI8" s="585" t="s">
        <v>7</v>
      </c>
      <c r="DJ8" s="584" t="s">
        <v>566</v>
      </c>
      <c r="DK8" s="584" t="s">
        <v>567</v>
      </c>
      <c r="DL8" s="585" t="s">
        <v>7</v>
      </c>
      <c r="DM8" s="584" t="s">
        <v>568</v>
      </c>
      <c r="DN8" s="584" t="s">
        <v>569</v>
      </c>
      <c r="DO8" s="585" t="s">
        <v>7</v>
      </c>
      <c r="DP8" s="584" t="s">
        <v>570</v>
      </c>
      <c r="DQ8" s="584" t="s">
        <v>571</v>
      </c>
      <c r="DR8" s="585" t="s">
        <v>7</v>
      </c>
      <c r="DS8" s="584" t="s">
        <v>572</v>
      </c>
      <c r="DT8" s="584" t="s">
        <v>573</v>
      </c>
      <c r="DU8" s="585" t="s">
        <v>7</v>
      </c>
      <c r="DV8" s="584" t="s">
        <v>574</v>
      </c>
      <c r="DW8" s="584" t="s">
        <v>575</v>
      </c>
      <c r="DX8" s="585" t="s">
        <v>7</v>
      </c>
      <c r="DY8" s="584" t="s">
        <v>576</v>
      </c>
      <c r="DZ8" s="584" t="s">
        <v>577</v>
      </c>
      <c r="EA8" s="585" t="s">
        <v>7</v>
      </c>
      <c r="EB8" s="584" t="s">
        <v>578</v>
      </c>
      <c r="EC8" s="584" t="s">
        <v>579</v>
      </c>
      <c r="ED8" s="585" t="s">
        <v>7</v>
      </c>
      <c r="EE8" s="584" t="s">
        <v>580</v>
      </c>
      <c r="EF8" s="584" t="s">
        <v>581</v>
      </c>
      <c r="EG8" s="585" t="s">
        <v>7</v>
      </c>
      <c r="EH8" s="584" t="s">
        <v>582</v>
      </c>
      <c r="EI8" s="584" t="s">
        <v>583</v>
      </c>
      <c r="EJ8" s="585" t="s">
        <v>7</v>
      </c>
      <c r="EK8" s="584" t="s">
        <v>584</v>
      </c>
      <c r="EL8" s="584" t="s">
        <v>585</v>
      </c>
      <c r="EM8" s="585" t="s">
        <v>7</v>
      </c>
      <c r="EN8" s="584" t="s">
        <v>586</v>
      </c>
      <c r="EO8" s="584" t="s">
        <v>587</v>
      </c>
      <c r="EP8" s="585" t="s">
        <v>7</v>
      </c>
      <c r="EQ8" s="584" t="s">
        <v>588</v>
      </c>
      <c r="ER8" s="584" t="s">
        <v>589</v>
      </c>
      <c r="ES8" s="585" t="s">
        <v>7</v>
      </c>
      <c r="ET8" s="584" t="s">
        <v>590</v>
      </c>
      <c r="EU8" s="584" t="s">
        <v>591</v>
      </c>
      <c r="EV8" s="585" t="s">
        <v>7</v>
      </c>
      <c r="EW8" s="584" t="s">
        <v>592</v>
      </c>
      <c r="EX8" s="584" t="s">
        <v>593</v>
      </c>
      <c r="EY8" s="585" t="s">
        <v>7</v>
      </c>
      <c r="EZ8" s="584" t="s">
        <v>594</v>
      </c>
      <c r="FA8" s="584" t="s">
        <v>595</v>
      </c>
      <c r="FB8" s="585" t="s">
        <v>7</v>
      </c>
      <c r="FC8" s="584" t="s">
        <v>596</v>
      </c>
      <c r="FD8" s="584" t="s">
        <v>597</v>
      </c>
      <c r="FE8" s="585" t="s">
        <v>7</v>
      </c>
      <c r="FF8" s="584" t="s">
        <v>598</v>
      </c>
      <c r="FG8" s="584" t="s">
        <v>599</v>
      </c>
      <c r="FH8" s="585" t="s">
        <v>7</v>
      </c>
      <c r="FI8" s="584" t="s">
        <v>600</v>
      </c>
      <c r="FJ8" s="584" t="s">
        <v>601</v>
      </c>
      <c r="FK8" s="585" t="s">
        <v>7</v>
      </c>
      <c r="FL8" s="584" t="s">
        <v>602</v>
      </c>
      <c r="FM8" s="584" t="s">
        <v>603</v>
      </c>
      <c r="FN8" s="585" t="s">
        <v>7</v>
      </c>
      <c r="FO8" s="584" t="s">
        <v>604</v>
      </c>
      <c r="FP8" s="584" t="s">
        <v>605</v>
      </c>
      <c r="FQ8" s="585" t="s">
        <v>7</v>
      </c>
      <c r="FR8" s="584" t="s">
        <v>606</v>
      </c>
      <c r="FS8" s="584" t="s">
        <v>607</v>
      </c>
      <c r="FT8" s="585" t="s">
        <v>7</v>
      </c>
      <c r="FU8" s="584" t="s">
        <v>608</v>
      </c>
      <c r="FV8" s="584" t="s">
        <v>609</v>
      </c>
      <c r="FW8" s="585" t="s">
        <v>7</v>
      </c>
      <c r="FX8" s="584" t="s">
        <v>610</v>
      </c>
      <c r="FY8" s="584" t="s">
        <v>611</v>
      </c>
      <c r="FZ8" s="585" t="s">
        <v>7</v>
      </c>
      <c r="GA8" s="584" t="s">
        <v>612</v>
      </c>
      <c r="GB8" s="584" t="s">
        <v>613</v>
      </c>
      <c r="GC8" s="585" t="s">
        <v>7</v>
      </c>
      <c r="GD8" s="584" t="s">
        <v>614</v>
      </c>
      <c r="GE8" s="584" t="s">
        <v>615</v>
      </c>
      <c r="GF8" s="585" t="s">
        <v>7</v>
      </c>
      <c r="GG8" s="584" t="s">
        <v>616</v>
      </c>
      <c r="GH8" s="584" t="s">
        <v>617</v>
      </c>
      <c r="GI8" s="585" t="s">
        <v>7</v>
      </c>
      <c r="GJ8" s="584" t="s">
        <v>618</v>
      </c>
      <c r="GK8" s="584" t="s">
        <v>619</v>
      </c>
      <c r="GL8" s="585" t="s">
        <v>7</v>
      </c>
      <c r="GM8" s="584" t="s">
        <v>620</v>
      </c>
      <c r="GN8" s="584" t="s">
        <v>621</v>
      </c>
      <c r="GO8" s="585" t="s">
        <v>7</v>
      </c>
      <c r="GP8" s="584" t="s">
        <v>622</v>
      </c>
      <c r="GQ8" s="584" t="s">
        <v>623</v>
      </c>
      <c r="GR8" s="585" t="s">
        <v>7</v>
      </c>
      <c r="GS8" s="584" t="s">
        <v>624</v>
      </c>
      <c r="GT8" s="584" t="s">
        <v>625</v>
      </c>
      <c r="GU8" s="585" t="s">
        <v>7</v>
      </c>
      <c r="GV8" s="584" t="s">
        <v>626</v>
      </c>
      <c r="GW8" s="584" t="s">
        <v>627</v>
      </c>
      <c r="GX8" s="585" t="s">
        <v>7</v>
      </c>
      <c r="GY8" s="584" t="s">
        <v>628</v>
      </c>
      <c r="GZ8" s="584" t="s">
        <v>629</v>
      </c>
      <c r="HA8" s="585" t="s">
        <v>7</v>
      </c>
      <c r="HB8" s="584" t="s">
        <v>630</v>
      </c>
      <c r="HC8" s="584" t="s">
        <v>631</v>
      </c>
      <c r="HD8" s="585" t="s">
        <v>7</v>
      </c>
      <c r="HE8" s="584" t="s">
        <v>632</v>
      </c>
      <c r="HF8" s="584" t="s">
        <v>633</v>
      </c>
      <c r="HG8" s="585" t="s">
        <v>7</v>
      </c>
      <c r="HH8" s="584" t="s">
        <v>634</v>
      </c>
      <c r="HI8" s="584" t="s">
        <v>635</v>
      </c>
      <c r="HJ8" s="585" t="s">
        <v>7</v>
      </c>
      <c r="HK8" s="584" t="s">
        <v>636</v>
      </c>
      <c r="HL8" s="584" t="s">
        <v>637</v>
      </c>
      <c r="HM8" s="585" t="s">
        <v>7</v>
      </c>
      <c r="HN8" s="584" t="s">
        <v>638</v>
      </c>
      <c r="HO8" s="584" t="s">
        <v>639</v>
      </c>
      <c r="HP8" s="585" t="s">
        <v>7</v>
      </c>
      <c r="HQ8" s="584" t="s">
        <v>640</v>
      </c>
      <c r="HR8" s="584" t="s">
        <v>641</v>
      </c>
      <c r="HS8" s="585" t="s">
        <v>7</v>
      </c>
      <c r="HT8" s="584" t="s">
        <v>642</v>
      </c>
      <c r="HU8" s="584" t="s">
        <v>643</v>
      </c>
      <c r="HV8" s="585" t="s">
        <v>7</v>
      </c>
      <c r="HW8" s="584" t="s">
        <v>644</v>
      </c>
      <c r="HX8" s="584" t="s">
        <v>645</v>
      </c>
      <c r="HY8" s="585" t="s">
        <v>7</v>
      </c>
      <c r="HZ8" s="584" t="s">
        <v>646</v>
      </c>
      <c r="IA8" s="584" t="s">
        <v>647</v>
      </c>
      <c r="IB8" s="585" t="s">
        <v>7</v>
      </c>
      <c r="IC8" s="584" t="s">
        <v>648</v>
      </c>
      <c r="ID8" s="584" t="s">
        <v>649</v>
      </c>
      <c r="IE8" s="585" t="s">
        <v>7</v>
      </c>
      <c r="IF8" s="584" t="s">
        <v>650</v>
      </c>
      <c r="IG8" s="584" t="s">
        <v>651</v>
      </c>
      <c r="IH8" s="585" t="s">
        <v>7</v>
      </c>
      <c r="II8" s="584" t="s">
        <v>652</v>
      </c>
      <c r="IJ8" s="584" t="s">
        <v>653</v>
      </c>
      <c r="IK8" s="585" t="s">
        <v>7</v>
      </c>
      <c r="IL8" s="584" t="s">
        <v>654</v>
      </c>
      <c r="IM8" s="584" t="s">
        <v>655</v>
      </c>
      <c r="IN8" s="585" t="s">
        <v>7</v>
      </c>
      <c r="IO8" s="584" t="s">
        <v>656</v>
      </c>
      <c r="IP8" s="584" t="s">
        <v>657</v>
      </c>
      <c r="IQ8" s="585" t="s">
        <v>7</v>
      </c>
      <c r="IR8" s="584" t="s">
        <v>658</v>
      </c>
      <c r="IS8" s="584" t="s">
        <v>659</v>
      </c>
      <c r="IT8" s="585" t="s">
        <v>7</v>
      </c>
      <c r="IU8" s="584" t="s">
        <v>660</v>
      </c>
      <c r="IV8" s="584" t="s">
        <v>661</v>
      </c>
      <c r="IW8" s="585" t="s">
        <v>7</v>
      </c>
      <c r="IX8" s="584" t="s">
        <v>662</v>
      </c>
      <c r="IY8" s="584" t="s">
        <v>663</v>
      </c>
      <c r="IZ8" s="585" t="s">
        <v>7</v>
      </c>
      <c r="JA8" s="584" t="s">
        <v>664</v>
      </c>
      <c r="JB8" s="584" t="s">
        <v>665</v>
      </c>
      <c r="JC8" s="585" t="s">
        <v>7</v>
      </c>
      <c r="JD8" s="584" t="s">
        <v>666</v>
      </c>
      <c r="JE8" s="584" t="s">
        <v>667</v>
      </c>
      <c r="JF8" s="585" t="s">
        <v>7</v>
      </c>
      <c r="JG8" s="584" t="s">
        <v>668</v>
      </c>
      <c r="JH8" s="584" t="s">
        <v>669</v>
      </c>
      <c r="JI8" s="585" t="s">
        <v>7</v>
      </c>
      <c r="JJ8" s="584" t="s">
        <v>670</v>
      </c>
      <c r="JK8" s="584" t="s">
        <v>671</v>
      </c>
      <c r="JL8" s="585" t="s">
        <v>7</v>
      </c>
      <c r="JM8" s="584" t="s">
        <v>672</v>
      </c>
      <c r="JN8" s="584" t="s">
        <v>673</v>
      </c>
      <c r="JO8" s="585" t="s">
        <v>7</v>
      </c>
      <c r="JP8" s="584" t="s">
        <v>674</v>
      </c>
      <c r="JQ8" s="584" t="s">
        <v>675</v>
      </c>
      <c r="JR8" s="585" t="s">
        <v>7</v>
      </c>
      <c r="JS8" s="584" t="s">
        <v>676</v>
      </c>
      <c r="JT8" s="584" t="s">
        <v>677</v>
      </c>
      <c r="JU8" s="585" t="s">
        <v>7</v>
      </c>
      <c r="JV8" s="584" t="s">
        <v>678</v>
      </c>
      <c r="JW8" s="584" t="s">
        <v>679</v>
      </c>
      <c r="JX8" s="585" t="s">
        <v>7</v>
      </c>
      <c r="JY8" s="584" t="s">
        <v>680</v>
      </c>
      <c r="JZ8" s="584" t="s">
        <v>681</v>
      </c>
      <c r="KA8" s="585" t="s">
        <v>7</v>
      </c>
      <c r="KB8" s="584" t="s">
        <v>682</v>
      </c>
      <c r="KC8" s="584" t="s">
        <v>683</v>
      </c>
      <c r="KD8" s="585" t="s">
        <v>7</v>
      </c>
      <c r="KE8" s="584" t="s">
        <v>684</v>
      </c>
      <c r="KF8" s="584" t="s">
        <v>685</v>
      </c>
      <c r="KG8" s="585" t="s">
        <v>7</v>
      </c>
      <c r="KH8" s="584" t="s">
        <v>686</v>
      </c>
      <c r="KI8" s="584" t="s">
        <v>687</v>
      </c>
      <c r="KJ8" s="585" t="s">
        <v>7</v>
      </c>
      <c r="KK8" s="584" t="s">
        <v>688</v>
      </c>
      <c r="KL8" s="584" t="s">
        <v>689</v>
      </c>
      <c r="KM8" s="585" t="s">
        <v>7</v>
      </c>
      <c r="KN8" s="584" t="s">
        <v>690</v>
      </c>
      <c r="KO8" s="584" t="s">
        <v>691</v>
      </c>
      <c r="KP8" s="585" t="s">
        <v>7</v>
      </c>
      <c r="KQ8" s="584" t="s">
        <v>692</v>
      </c>
      <c r="KR8" s="584" t="s">
        <v>693</v>
      </c>
      <c r="KS8" s="585" t="s">
        <v>7</v>
      </c>
      <c r="KT8" s="584" t="s">
        <v>694</v>
      </c>
      <c r="KU8" s="584" t="s">
        <v>695</v>
      </c>
      <c r="KV8" s="585" t="s">
        <v>7</v>
      </c>
      <c r="KW8" s="584" t="s">
        <v>696</v>
      </c>
      <c r="KX8" s="584" t="s">
        <v>697</v>
      </c>
      <c r="KY8" s="585" t="s">
        <v>7</v>
      </c>
      <c r="KZ8" s="584" t="s">
        <v>698</v>
      </c>
      <c r="LA8" s="584" t="s">
        <v>699</v>
      </c>
      <c r="LB8" s="585" t="s">
        <v>7</v>
      </c>
      <c r="LC8" s="584" t="s">
        <v>700</v>
      </c>
      <c r="LD8" s="584" t="s">
        <v>701</v>
      </c>
      <c r="LE8" s="585" t="s">
        <v>7</v>
      </c>
      <c r="LF8" s="584" t="s">
        <v>702</v>
      </c>
      <c r="LG8" s="584" t="s">
        <v>703</v>
      </c>
      <c r="LH8" s="585" t="s">
        <v>7</v>
      </c>
      <c r="LI8" s="584" t="s">
        <v>704</v>
      </c>
      <c r="LJ8" s="584" t="s">
        <v>705</v>
      </c>
      <c r="LK8" s="585" t="s">
        <v>7</v>
      </c>
      <c r="LL8" s="584" t="s">
        <v>706</v>
      </c>
      <c r="LM8" s="584" t="s">
        <v>707</v>
      </c>
      <c r="LN8" s="585" t="s">
        <v>7</v>
      </c>
      <c r="LO8" s="584" t="s">
        <v>708</v>
      </c>
      <c r="LP8" s="584" t="s">
        <v>709</v>
      </c>
      <c r="LQ8" s="585" t="s">
        <v>7</v>
      </c>
      <c r="LR8" s="584" t="s">
        <v>710</v>
      </c>
      <c r="LS8" s="584" t="s">
        <v>711</v>
      </c>
      <c r="LT8" s="585" t="s">
        <v>7</v>
      </c>
      <c r="LU8" s="584" t="s">
        <v>712</v>
      </c>
      <c r="LV8" s="584" t="s">
        <v>713</v>
      </c>
      <c r="LW8" s="585" t="s">
        <v>7</v>
      </c>
      <c r="LX8" s="584" t="s">
        <v>714</v>
      </c>
      <c r="LY8" s="584" t="s">
        <v>715</v>
      </c>
      <c r="LZ8" s="585" t="s">
        <v>7</v>
      </c>
      <c r="MA8" s="584" t="s">
        <v>716</v>
      </c>
      <c r="MB8" s="584" t="s">
        <v>717</v>
      </c>
      <c r="MC8" s="585" t="s">
        <v>7</v>
      </c>
      <c r="MD8" s="584" t="s">
        <v>718</v>
      </c>
      <c r="ME8" s="584" t="s">
        <v>719</v>
      </c>
      <c r="MF8" s="585" t="s">
        <v>7</v>
      </c>
      <c r="MG8" s="584" t="s">
        <v>720</v>
      </c>
      <c r="MH8" s="584" t="s">
        <v>721</v>
      </c>
      <c r="MI8" s="585" t="s">
        <v>7</v>
      </c>
      <c r="MJ8" s="584" t="s">
        <v>722</v>
      </c>
      <c r="MK8" s="584" t="s">
        <v>723</v>
      </c>
      <c r="ML8" s="585" t="s">
        <v>7</v>
      </c>
      <c r="MM8" s="584" t="s">
        <v>724</v>
      </c>
      <c r="MN8" s="584" t="s">
        <v>725</v>
      </c>
      <c r="MO8" s="585" t="s">
        <v>7</v>
      </c>
      <c r="MP8" s="584" t="s">
        <v>726</v>
      </c>
      <c r="MQ8" s="584" t="s">
        <v>727</v>
      </c>
      <c r="MR8" s="585" t="s">
        <v>7</v>
      </c>
      <c r="MS8" s="584" t="s">
        <v>728</v>
      </c>
      <c r="MT8" s="584" t="s">
        <v>729</v>
      </c>
      <c r="MU8" s="585" t="s">
        <v>7</v>
      </c>
      <c r="MV8" s="584" t="s">
        <v>730</v>
      </c>
      <c r="MW8" s="584" t="s">
        <v>731</v>
      </c>
      <c r="MX8" s="585" t="s">
        <v>7</v>
      </c>
      <c r="MY8" s="584" t="s">
        <v>732</v>
      </c>
      <c r="MZ8" s="584" t="s">
        <v>733</v>
      </c>
      <c r="NA8" s="585" t="s">
        <v>7</v>
      </c>
      <c r="NB8" s="582" t="s">
        <v>734</v>
      </c>
      <c r="NC8" s="582" t="s">
        <v>735</v>
      </c>
      <c r="ND8" s="582" t="s">
        <v>7</v>
      </c>
      <c r="NE8" s="584" t="s">
        <v>16</v>
      </c>
      <c r="NF8" s="582" t="s">
        <v>17</v>
      </c>
      <c r="NG8" s="582" t="s">
        <v>7</v>
      </c>
      <c r="NH8" s="584" t="s">
        <v>16</v>
      </c>
      <c r="NI8" s="582" t="s">
        <v>17</v>
      </c>
      <c r="NJ8" s="582" t="s">
        <v>7</v>
      </c>
    </row>
    <row r="9" spans="1:374" ht="14.5" thickBot="1" x14ac:dyDescent="0.35">
      <c r="A9" s="528" t="s">
        <v>251</v>
      </c>
      <c r="B9" s="586" t="s">
        <v>22</v>
      </c>
      <c r="C9" s="531">
        <v>10803</v>
      </c>
      <c r="D9" s="425">
        <v>10097</v>
      </c>
      <c r="E9" s="425">
        <f>C9+D9</f>
        <v>20900</v>
      </c>
      <c r="F9" s="425">
        <v>13753</v>
      </c>
      <c r="G9" s="425">
        <v>13085</v>
      </c>
      <c r="H9" s="425">
        <f>F9+G9</f>
        <v>26838</v>
      </c>
      <c r="I9" s="425">
        <v>16594</v>
      </c>
      <c r="J9" s="425">
        <v>15348</v>
      </c>
      <c r="K9" s="425">
        <f>I9+J9</f>
        <v>31942</v>
      </c>
      <c r="L9" s="425">
        <v>18396</v>
      </c>
      <c r="M9" s="425">
        <v>17207</v>
      </c>
      <c r="N9" s="425">
        <f>L9+M9</f>
        <v>35603</v>
      </c>
      <c r="O9" s="425">
        <v>19884</v>
      </c>
      <c r="P9" s="425">
        <v>18671</v>
      </c>
      <c r="Q9" s="425">
        <f>O9+P9</f>
        <v>38555</v>
      </c>
      <c r="R9" s="425">
        <v>21132</v>
      </c>
      <c r="S9" s="425">
        <v>19649</v>
      </c>
      <c r="T9" s="425">
        <f>R9+S9</f>
        <v>40781</v>
      </c>
      <c r="U9" s="425">
        <v>22894</v>
      </c>
      <c r="V9" s="425">
        <v>21687</v>
      </c>
      <c r="W9" s="425">
        <f>U9+V9</f>
        <v>44581</v>
      </c>
      <c r="X9" s="425">
        <v>23646</v>
      </c>
      <c r="Y9" s="425">
        <v>22210</v>
      </c>
      <c r="Z9" s="425">
        <f>X9+Y9</f>
        <v>45856</v>
      </c>
      <c r="AA9" s="425">
        <v>22674</v>
      </c>
      <c r="AB9" s="425">
        <v>21297</v>
      </c>
      <c r="AC9" s="425">
        <f>AA9+AB9</f>
        <v>43971</v>
      </c>
      <c r="AD9" s="425">
        <v>21739</v>
      </c>
      <c r="AE9" s="425">
        <v>20350</v>
      </c>
      <c r="AF9" s="425">
        <f>AD9+AE9</f>
        <v>42089</v>
      </c>
      <c r="AG9" s="425">
        <v>22623</v>
      </c>
      <c r="AH9" s="425">
        <v>20811</v>
      </c>
      <c r="AI9" s="425">
        <f>AG9+AH9</f>
        <v>43434</v>
      </c>
      <c r="AJ9" s="425">
        <v>22160</v>
      </c>
      <c r="AK9" s="425">
        <v>20671</v>
      </c>
      <c r="AL9" s="425">
        <f>AJ9+AK9</f>
        <v>42831</v>
      </c>
      <c r="AM9" s="425">
        <v>22047</v>
      </c>
      <c r="AN9" s="425">
        <v>20558</v>
      </c>
      <c r="AO9" s="425">
        <f>AM9+AN9</f>
        <v>42605</v>
      </c>
      <c r="AP9" s="425">
        <v>22221</v>
      </c>
      <c r="AQ9" s="425">
        <v>20852</v>
      </c>
      <c r="AR9" s="425">
        <f>AP9+AQ9</f>
        <v>43073</v>
      </c>
      <c r="AS9" s="425">
        <v>23030</v>
      </c>
      <c r="AT9" s="425">
        <v>21775</v>
      </c>
      <c r="AU9" s="425">
        <f>AS9+AT9</f>
        <v>44805</v>
      </c>
      <c r="AV9" s="425">
        <v>21770</v>
      </c>
      <c r="AW9" s="425">
        <v>20469</v>
      </c>
      <c r="AX9" s="425">
        <f>AV9+AW9</f>
        <v>42239</v>
      </c>
      <c r="AY9" s="425">
        <v>21668</v>
      </c>
      <c r="AZ9" s="425">
        <v>20188</v>
      </c>
      <c r="BA9" s="425">
        <f>AY9+AZ9</f>
        <v>41856</v>
      </c>
      <c r="BB9" s="425">
        <v>19587</v>
      </c>
      <c r="BC9" s="425">
        <v>18558</v>
      </c>
      <c r="BD9" s="425">
        <f>BB9+BC9</f>
        <v>38145</v>
      </c>
      <c r="BE9" s="425">
        <v>20445</v>
      </c>
      <c r="BF9" s="425">
        <v>19372</v>
      </c>
      <c r="BG9" s="425">
        <f>BE9+BF9</f>
        <v>39817</v>
      </c>
      <c r="BH9" s="425">
        <v>21387</v>
      </c>
      <c r="BI9" s="425">
        <v>20377</v>
      </c>
      <c r="BJ9" s="425">
        <f>BH9+BI9</f>
        <v>41764</v>
      </c>
      <c r="BK9" s="425">
        <v>20194</v>
      </c>
      <c r="BL9" s="425">
        <v>18947</v>
      </c>
      <c r="BM9" s="425">
        <f>BK9+BL9</f>
        <v>39141</v>
      </c>
      <c r="BN9" s="425">
        <v>20137</v>
      </c>
      <c r="BO9" s="425">
        <v>19151</v>
      </c>
      <c r="BP9" s="425">
        <f>BN9+BO9</f>
        <v>39288</v>
      </c>
      <c r="BQ9" s="425">
        <v>21034</v>
      </c>
      <c r="BR9" s="425">
        <v>19886</v>
      </c>
      <c r="BS9" s="425">
        <f>BQ9+BR9</f>
        <v>40920</v>
      </c>
      <c r="BT9" s="425">
        <v>22048</v>
      </c>
      <c r="BU9" s="425">
        <v>20609</v>
      </c>
      <c r="BV9" s="425">
        <f>BT9+BU9</f>
        <v>42657</v>
      </c>
      <c r="BW9" s="425">
        <v>20902</v>
      </c>
      <c r="BX9" s="425">
        <v>20028</v>
      </c>
      <c r="BY9" s="425">
        <f>BW9+BX9</f>
        <v>40930</v>
      </c>
      <c r="BZ9" s="425">
        <v>21782</v>
      </c>
      <c r="CA9" s="425">
        <v>21343</v>
      </c>
      <c r="CB9" s="425">
        <f>BZ9+CA9</f>
        <v>43125</v>
      </c>
      <c r="CC9" s="425">
        <v>21986</v>
      </c>
      <c r="CD9" s="425">
        <v>21829</v>
      </c>
      <c r="CE9" s="425">
        <f>CC9+CD9</f>
        <v>43815</v>
      </c>
      <c r="CF9" s="425">
        <v>19249</v>
      </c>
      <c r="CG9" s="425">
        <v>18997</v>
      </c>
      <c r="CH9" s="425">
        <f>CF9+CG9</f>
        <v>38246</v>
      </c>
      <c r="CI9" s="425">
        <v>21266</v>
      </c>
      <c r="CJ9" s="425">
        <v>21008</v>
      </c>
      <c r="CK9" s="425">
        <f>CI9+CJ9</f>
        <v>42274</v>
      </c>
      <c r="CL9" s="425">
        <v>20537</v>
      </c>
      <c r="CM9" s="425">
        <v>20818</v>
      </c>
      <c r="CN9" s="425">
        <f>CL9+CM9</f>
        <v>41355</v>
      </c>
      <c r="CO9" s="425">
        <v>21200</v>
      </c>
      <c r="CP9" s="425">
        <v>21757</v>
      </c>
      <c r="CQ9" s="425">
        <f>CO9+CP9</f>
        <v>42957</v>
      </c>
      <c r="CR9" s="425">
        <v>21333</v>
      </c>
      <c r="CS9" s="425">
        <v>22437</v>
      </c>
      <c r="CT9" s="425">
        <f>CR9+CS9</f>
        <v>43770</v>
      </c>
      <c r="CU9" s="425">
        <v>20839</v>
      </c>
      <c r="CV9" s="425">
        <v>21451</v>
      </c>
      <c r="CW9" s="425">
        <f>CU9+CV9</f>
        <v>42290</v>
      </c>
      <c r="CX9" s="425">
        <v>20793</v>
      </c>
      <c r="CY9" s="425">
        <v>21391</v>
      </c>
      <c r="CZ9" s="425">
        <f>CX9+CY9</f>
        <v>42184</v>
      </c>
      <c r="DA9" s="425">
        <v>20993</v>
      </c>
      <c r="DB9" s="425">
        <v>21446</v>
      </c>
      <c r="DC9" s="425">
        <f>DA9+DB9</f>
        <v>42439</v>
      </c>
      <c r="DD9" s="425">
        <v>20435</v>
      </c>
      <c r="DE9" s="425">
        <v>20764</v>
      </c>
      <c r="DF9" s="425">
        <f>DD9+DE9</f>
        <v>41199</v>
      </c>
      <c r="DG9" s="425">
        <v>20668</v>
      </c>
      <c r="DH9" s="425">
        <v>21327</v>
      </c>
      <c r="DI9" s="425">
        <f>DG9+DH9</f>
        <v>41995</v>
      </c>
      <c r="DJ9" s="425">
        <v>19490</v>
      </c>
      <c r="DK9" s="425">
        <v>19647</v>
      </c>
      <c r="DL9" s="425">
        <f>DJ9+DK9</f>
        <v>39137</v>
      </c>
      <c r="DM9" s="425">
        <v>19169</v>
      </c>
      <c r="DN9" s="425">
        <v>19141</v>
      </c>
      <c r="DO9" s="425">
        <f>DM9+DN9</f>
        <v>38310</v>
      </c>
      <c r="DP9" s="425">
        <v>19560</v>
      </c>
      <c r="DQ9" s="425">
        <v>19490</v>
      </c>
      <c r="DR9" s="425">
        <f>DP9+DQ9</f>
        <v>39050</v>
      </c>
      <c r="DS9" s="425">
        <v>20252</v>
      </c>
      <c r="DT9" s="425">
        <v>20322</v>
      </c>
      <c r="DU9" s="425">
        <f>DS9+DT9</f>
        <v>40574</v>
      </c>
      <c r="DV9" s="425">
        <v>20618</v>
      </c>
      <c r="DW9" s="425">
        <v>20731</v>
      </c>
      <c r="DX9" s="425">
        <f>DV9+DW9</f>
        <v>41349</v>
      </c>
      <c r="DY9" s="425">
        <v>19892</v>
      </c>
      <c r="DZ9" s="425">
        <v>20525</v>
      </c>
      <c r="EA9" s="425">
        <f>DY9+DZ9</f>
        <v>40417</v>
      </c>
      <c r="EB9" s="425">
        <v>21144</v>
      </c>
      <c r="EC9" s="425">
        <v>22279</v>
      </c>
      <c r="ED9" s="425">
        <f>EB9+EC9</f>
        <v>43423</v>
      </c>
      <c r="EE9" s="425">
        <v>20848</v>
      </c>
      <c r="EF9" s="425">
        <v>21529</v>
      </c>
      <c r="EG9" s="425">
        <f>EE9+EF9</f>
        <v>42377</v>
      </c>
      <c r="EH9" s="425">
        <v>19508</v>
      </c>
      <c r="EI9" s="425">
        <v>20477</v>
      </c>
      <c r="EJ9" s="425">
        <f>EH9+EI9</f>
        <v>39985</v>
      </c>
      <c r="EK9" s="425">
        <v>19701</v>
      </c>
      <c r="EL9" s="425">
        <v>20898</v>
      </c>
      <c r="EM9" s="425">
        <f>EK9+EL9</f>
        <v>40599</v>
      </c>
      <c r="EN9" s="425">
        <v>18723</v>
      </c>
      <c r="EO9" s="425">
        <v>19618</v>
      </c>
      <c r="EP9" s="425">
        <f>EN9+EO9</f>
        <v>38341</v>
      </c>
      <c r="EQ9" s="425">
        <v>17808</v>
      </c>
      <c r="ER9" s="425">
        <v>18830</v>
      </c>
      <c r="ES9" s="425">
        <f>EQ9+ER9</f>
        <v>36638</v>
      </c>
      <c r="ET9" s="425">
        <v>17400</v>
      </c>
      <c r="EU9" s="425">
        <v>18666</v>
      </c>
      <c r="EV9" s="425">
        <f>ET9+EU9</f>
        <v>36066</v>
      </c>
      <c r="EW9" s="425">
        <v>17473</v>
      </c>
      <c r="EX9" s="425">
        <v>18724</v>
      </c>
      <c r="EY9" s="425">
        <f>EW9+EX9</f>
        <v>36197</v>
      </c>
      <c r="EZ9" s="425">
        <v>16650</v>
      </c>
      <c r="FA9" s="425">
        <v>18054</v>
      </c>
      <c r="FB9" s="425">
        <f>EZ9+FA9</f>
        <v>34704</v>
      </c>
      <c r="FC9" s="425">
        <v>15412</v>
      </c>
      <c r="FD9" s="425">
        <v>16419</v>
      </c>
      <c r="FE9" s="425">
        <f>FC9+FD9</f>
        <v>31831</v>
      </c>
      <c r="FF9" s="425">
        <v>16074</v>
      </c>
      <c r="FG9" s="425">
        <v>17484</v>
      </c>
      <c r="FH9" s="425">
        <f>FF9+FG9</f>
        <v>33558</v>
      </c>
      <c r="FI9" s="425">
        <v>15472</v>
      </c>
      <c r="FJ9" s="425">
        <v>16264</v>
      </c>
      <c r="FK9" s="425">
        <f>FI9+FJ9</f>
        <v>31736</v>
      </c>
      <c r="FL9" s="425">
        <v>14756</v>
      </c>
      <c r="FM9" s="425">
        <v>15354</v>
      </c>
      <c r="FN9" s="425">
        <f>FL9+FM9</f>
        <v>30110</v>
      </c>
      <c r="FO9" s="425">
        <v>15365</v>
      </c>
      <c r="FP9" s="425">
        <v>16072</v>
      </c>
      <c r="FQ9" s="425">
        <f>FO9+FP9</f>
        <v>31437</v>
      </c>
      <c r="FR9" s="425">
        <v>13878</v>
      </c>
      <c r="FS9" s="425">
        <v>14867</v>
      </c>
      <c r="FT9" s="425">
        <f>FR9+FS9</f>
        <v>28745</v>
      </c>
      <c r="FU9" s="425">
        <v>12948</v>
      </c>
      <c r="FV9" s="425">
        <v>14147</v>
      </c>
      <c r="FW9" s="425">
        <f>FU9+FV9</f>
        <v>27095</v>
      </c>
      <c r="FX9" s="425">
        <v>11191</v>
      </c>
      <c r="FY9" s="425">
        <v>12667</v>
      </c>
      <c r="FZ9" s="425">
        <f>FX9+FY9</f>
        <v>23858</v>
      </c>
      <c r="GA9" s="425">
        <v>11892</v>
      </c>
      <c r="GB9" s="425">
        <v>13611</v>
      </c>
      <c r="GC9" s="425">
        <f>GA9+GB9</f>
        <v>25503</v>
      </c>
      <c r="GD9" s="425">
        <v>11035</v>
      </c>
      <c r="GE9" s="425">
        <v>13107</v>
      </c>
      <c r="GF9" s="425">
        <f>GD9+GE9</f>
        <v>24142</v>
      </c>
      <c r="GG9" s="425">
        <v>10314</v>
      </c>
      <c r="GH9" s="425">
        <v>11886</v>
      </c>
      <c r="GI9" s="425">
        <f>GG9+GH9</f>
        <v>22200</v>
      </c>
      <c r="GJ9" s="425">
        <v>9974</v>
      </c>
      <c r="GK9" s="425">
        <v>11540</v>
      </c>
      <c r="GL9" s="425">
        <f>GJ9+GK9</f>
        <v>21514</v>
      </c>
      <c r="GM9" s="425">
        <v>9100</v>
      </c>
      <c r="GN9" s="425">
        <v>10325</v>
      </c>
      <c r="GO9" s="425">
        <f>GM9+GN9</f>
        <v>19425</v>
      </c>
      <c r="GP9" s="425">
        <v>8722</v>
      </c>
      <c r="GQ9" s="425">
        <v>10019</v>
      </c>
      <c r="GR9" s="425">
        <f>GP9+GQ9</f>
        <v>18741</v>
      </c>
      <c r="GS9" s="425">
        <v>9113</v>
      </c>
      <c r="GT9" s="425">
        <v>9923</v>
      </c>
      <c r="GU9" s="425">
        <f>GS9+GT9</f>
        <v>19036</v>
      </c>
      <c r="GV9" s="425">
        <v>7897</v>
      </c>
      <c r="GW9" s="425">
        <v>8701</v>
      </c>
      <c r="GX9" s="425">
        <f>GV9+GW9</f>
        <v>16598</v>
      </c>
      <c r="GY9" s="425">
        <v>7434</v>
      </c>
      <c r="GZ9" s="425">
        <v>7876</v>
      </c>
      <c r="HA9" s="425">
        <f>GY9+GZ9</f>
        <v>15310</v>
      </c>
      <c r="HB9" s="425">
        <v>6190</v>
      </c>
      <c r="HC9" s="425">
        <v>6339</v>
      </c>
      <c r="HD9" s="425">
        <f>HB9+HC9</f>
        <v>12529</v>
      </c>
      <c r="HE9" s="425">
        <v>5840</v>
      </c>
      <c r="HF9" s="425">
        <v>6086</v>
      </c>
      <c r="HG9" s="425">
        <f>HE9+HF9</f>
        <v>11926</v>
      </c>
      <c r="HH9" s="425">
        <v>5657</v>
      </c>
      <c r="HI9" s="425">
        <v>5572</v>
      </c>
      <c r="HJ9" s="425">
        <f>HH9+HI9</f>
        <v>11229</v>
      </c>
      <c r="HK9" s="425">
        <v>4976</v>
      </c>
      <c r="HL9" s="425">
        <v>4619</v>
      </c>
      <c r="HM9" s="425">
        <f>HK9+HL9</f>
        <v>9595</v>
      </c>
      <c r="HN9" s="425">
        <v>4414</v>
      </c>
      <c r="HO9" s="425">
        <v>4054</v>
      </c>
      <c r="HP9" s="425">
        <f>HN9+HO9</f>
        <v>8468</v>
      </c>
      <c r="HQ9" s="425">
        <v>3569</v>
      </c>
      <c r="HR9" s="425">
        <v>3284</v>
      </c>
      <c r="HS9" s="425">
        <f>HQ9+HR9</f>
        <v>6853</v>
      </c>
      <c r="HT9" s="425">
        <v>3057</v>
      </c>
      <c r="HU9" s="425">
        <v>3084</v>
      </c>
      <c r="HV9" s="425">
        <f>HT9+HU9</f>
        <v>6141</v>
      </c>
      <c r="HW9" s="425">
        <v>2636</v>
      </c>
      <c r="HX9" s="425">
        <v>2838</v>
      </c>
      <c r="HY9" s="425">
        <f>HW9+HX9</f>
        <v>5474</v>
      </c>
      <c r="HZ9" s="425">
        <v>2009</v>
      </c>
      <c r="IA9" s="425">
        <v>2110</v>
      </c>
      <c r="IB9" s="425">
        <f>HZ9+IA9</f>
        <v>4119</v>
      </c>
      <c r="IC9" s="425">
        <v>1549</v>
      </c>
      <c r="ID9" s="425">
        <v>1850</v>
      </c>
      <c r="IE9" s="425">
        <f>IC9+ID9</f>
        <v>3399</v>
      </c>
      <c r="IF9" s="425">
        <v>1227</v>
      </c>
      <c r="IG9" s="425">
        <v>1507</v>
      </c>
      <c r="IH9" s="425">
        <f>IF9+IG9</f>
        <v>2734</v>
      </c>
      <c r="II9" s="425">
        <v>1176</v>
      </c>
      <c r="IJ9" s="425">
        <v>1560</v>
      </c>
      <c r="IK9" s="425">
        <f>II9+IJ9</f>
        <v>2736</v>
      </c>
      <c r="IL9" s="425">
        <v>1084</v>
      </c>
      <c r="IM9" s="425">
        <v>1309</v>
      </c>
      <c r="IN9" s="425">
        <f>IL9+IM9</f>
        <v>2393</v>
      </c>
      <c r="IO9" s="425">
        <v>869</v>
      </c>
      <c r="IP9" s="425">
        <v>1000</v>
      </c>
      <c r="IQ9" s="425">
        <f>IO9+IP9</f>
        <v>1869</v>
      </c>
      <c r="IR9" s="425">
        <v>854</v>
      </c>
      <c r="IS9" s="425">
        <v>1052</v>
      </c>
      <c r="IT9" s="425">
        <f>IR9+IS9</f>
        <v>1906</v>
      </c>
      <c r="IU9" s="425">
        <v>694</v>
      </c>
      <c r="IV9" s="425">
        <v>799</v>
      </c>
      <c r="IW9" s="425">
        <f>IU9+IV9</f>
        <v>1493</v>
      </c>
      <c r="IX9" s="425">
        <v>495</v>
      </c>
      <c r="IY9" s="425">
        <v>703</v>
      </c>
      <c r="IZ9" s="425">
        <f>IX9+IY9</f>
        <v>1198</v>
      </c>
      <c r="JA9" s="425">
        <v>496</v>
      </c>
      <c r="JB9" s="425">
        <v>738</v>
      </c>
      <c r="JC9" s="425">
        <f>JA9+JB9</f>
        <v>1234</v>
      </c>
      <c r="JD9" s="425">
        <v>284</v>
      </c>
      <c r="JE9" s="425">
        <v>470</v>
      </c>
      <c r="JF9" s="425">
        <f>JD9+JE9</f>
        <v>754</v>
      </c>
      <c r="JG9" s="425">
        <v>243</v>
      </c>
      <c r="JH9" s="425">
        <v>424</v>
      </c>
      <c r="JI9" s="425">
        <f>JG9+JH9</f>
        <v>667</v>
      </c>
      <c r="JJ9" s="425">
        <v>203</v>
      </c>
      <c r="JK9" s="425">
        <v>290</v>
      </c>
      <c r="JL9" s="425">
        <f>JJ9+JK9</f>
        <v>493</v>
      </c>
      <c r="JM9" s="425">
        <v>146</v>
      </c>
      <c r="JN9" s="425">
        <v>279</v>
      </c>
      <c r="JO9" s="425">
        <f>JM9+JN9</f>
        <v>425</v>
      </c>
      <c r="JP9" s="425">
        <v>137</v>
      </c>
      <c r="JQ9" s="425">
        <v>262</v>
      </c>
      <c r="JR9" s="425">
        <f>JP9+JQ9</f>
        <v>399</v>
      </c>
      <c r="JS9" s="425">
        <v>95</v>
      </c>
      <c r="JT9" s="425">
        <v>174</v>
      </c>
      <c r="JU9" s="425">
        <f>JS9+JT9</f>
        <v>269</v>
      </c>
      <c r="JV9" s="425">
        <v>116</v>
      </c>
      <c r="JW9" s="425">
        <v>168</v>
      </c>
      <c r="JX9" s="425">
        <f>JV9+JW9</f>
        <v>284</v>
      </c>
      <c r="JY9" s="425">
        <v>59</v>
      </c>
      <c r="JZ9" s="425">
        <v>67</v>
      </c>
      <c r="KA9" s="425">
        <f>JY9+JZ9</f>
        <v>126</v>
      </c>
      <c r="KB9" s="425">
        <v>25</v>
      </c>
      <c r="KC9" s="425">
        <v>47</v>
      </c>
      <c r="KD9" s="425">
        <f>KB9+KC9</f>
        <v>72</v>
      </c>
      <c r="KE9" s="425">
        <v>23</v>
      </c>
      <c r="KF9" s="425">
        <v>54</v>
      </c>
      <c r="KG9" s="425">
        <f>KE9+KF9</f>
        <v>77</v>
      </c>
      <c r="KH9" s="425">
        <v>11</v>
      </c>
      <c r="KI9" s="425">
        <v>20</v>
      </c>
      <c r="KJ9" s="425">
        <f>KH9+KI9</f>
        <v>31</v>
      </c>
      <c r="KK9" s="425">
        <v>9</v>
      </c>
      <c r="KL9" s="425">
        <v>18</v>
      </c>
      <c r="KM9" s="425">
        <f>KK9+KL9</f>
        <v>27</v>
      </c>
      <c r="KN9" s="425">
        <v>5</v>
      </c>
      <c r="KO9" s="425">
        <v>18</v>
      </c>
      <c r="KP9" s="425">
        <f>KN9+KO9</f>
        <v>23</v>
      </c>
      <c r="KQ9" s="425">
        <v>9</v>
      </c>
      <c r="KR9" s="425">
        <v>7</v>
      </c>
      <c r="KS9" s="425">
        <f>KQ9+KR9</f>
        <v>16</v>
      </c>
      <c r="KT9" s="425">
        <v>3</v>
      </c>
      <c r="KU9" s="425">
        <v>10</v>
      </c>
      <c r="KV9" s="425">
        <f>KT9+KU9</f>
        <v>13</v>
      </c>
      <c r="KW9" s="425">
        <v>0</v>
      </c>
      <c r="KX9" s="425">
        <v>0</v>
      </c>
      <c r="KY9" s="425">
        <f>KW9+KX9</f>
        <v>0</v>
      </c>
      <c r="KZ9" s="425">
        <v>0</v>
      </c>
      <c r="LA9" s="425">
        <v>0</v>
      </c>
      <c r="LB9" s="425">
        <f>KZ9+LA9</f>
        <v>0</v>
      </c>
      <c r="LC9" s="425">
        <v>0</v>
      </c>
      <c r="LD9" s="425">
        <v>0</v>
      </c>
      <c r="LE9" s="425">
        <f>LC9+LD9</f>
        <v>0</v>
      </c>
      <c r="LF9" s="425">
        <v>0</v>
      </c>
      <c r="LG9" s="425">
        <v>0</v>
      </c>
      <c r="LH9" s="425">
        <f>LF9+LG9</f>
        <v>0</v>
      </c>
      <c r="LI9" s="425">
        <v>0</v>
      </c>
      <c r="LJ9" s="425">
        <v>0</v>
      </c>
      <c r="LK9" s="425">
        <f>LI9+LJ9</f>
        <v>0</v>
      </c>
      <c r="LL9" s="425">
        <v>0</v>
      </c>
      <c r="LM9" s="425">
        <v>0</v>
      </c>
      <c r="LN9" s="425">
        <f>LL9+LM9</f>
        <v>0</v>
      </c>
      <c r="LO9" s="425">
        <v>0</v>
      </c>
      <c r="LP9" s="425">
        <v>0</v>
      </c>
      <c r="LQ9" s="425">
        <f>LO9+LP9</f>
        <v>0</v>
      </c>
      <c r="LR9" s="425">
        <v>0</v>
      </c>
      <c r="LS9" s="425">
        <v>0</v>
      </c>
      <c r="LT9" s="425">
        <f>LR9+LS9</f>
        <v>0</v>
      </c>
      <c r="LU9" s="425">
        <v>0</v>
      </c>
      <c r="LV9" s="425">
        <v>0</v>
      </c>
      <c r="LW9" s="425">
        <f>LU9+LV9</f>
        <v>0</v>
      </c>
      <c r="LX9" s="425">
        <v>0</v>
      </c>
      <c r="LY9" s="425">
        <v>0</v>
      </c>
      <c r="LZ9" s="425">
        <f>LX9+LY9</f>
        <v>0</v>
      </c>
      <c r="MA9" s="425">
        <v>0</v>
      </c>
      <c r="MB9" s="425">
        <v>0</v>
      </c>
      <c r="MC9" s="425">
        <f>MA9+MB9</f>
        <v>0</v>
      </c>
      <c r="MD9" s="425">
        <v>0</v>
      </c>
      <c r="ME9" s="425">
        <v>0</v>
      </c>
      <c r="MF9" s="425">
        <f>MD9+ME9</f>
        <v>0</v>
      </c>
      <c r="MG9" s="425">
        <v>0</v>
      </c>
      <c r="MH9" s="425">
        <v>0</v>
      </c>
      <c r="MI9" s="425">
        <f>MG9+MH9</f>
        <v>0</v>
      </c>
      <c r="MJ9" s="425">
        <v>0</v>
      </c>
      <c r="MK9" s="425">
        <v>0</v>
      </c>
      <c r="ML9" s="425">
        <f>MJ9+MK9</f>
        <v>0</v>
      </c>
      <c r="MM9" s="425">
        <v>0</v>
      </c>
      <c r="MN9" s="425">
        <v>0</v>
      </c>
      <c r="MO9" s="425">
        <f>MM9+MN9</f>
        <v>0</v>
      </c>
      <c r="MP9" s="425">
        <v>0</v>
      </c>
      <c r="MQ9" s="425">
        <v>0</v>
      </c>
      <c r="MR9" s="425">
        <f>MP9+MQ9</f>
        <v>0</v>
      </c>
      <c r="MS9" s="425">
        <v>0</v>
      </c>
      <c r="MT9" s="425">
        <v>0</v>
      </c>
      <c r="MU9" s="425">
        <f>MS9+MT9</f>
        <v>0</v>
      </c>
      <c r="MV9" s="425">
        <v>0</v>
      </c>
      <c r="MW9" s="425">
        <v>0</v>
      </c>
      <c r="MX9" s="425">
        <f>MV9+MW9</f>
        <v>0</v>
      </c>
      <c r="MY9" s="425">
        <v>0</v>
      </c>
      <c r="MZ9" s="425">
        <v>0</v>
      </c>
      <c r="NA9" s="532">
        <f>MY9+MZ9</f>
        <v>0</v>
      </c>
      <c r="NB9" s="425">
        <v>0</v>
      </c>
      <c r="NC9" s="425">
        <v>0</v>
      </c>
      <c r="ND9" s="530">
        <f>NB9+NC9</f>
        <v>0</v>
      </c>
      <c r="NE9" s="529">
        <f>SUM(C9,F9,I9,L9,O9,R9,U9,X9,AA9,AD9,AG9,AJ9,AM9,AP9,AS9,AV9,AY9,BB9,BE9,BH9,BK9,BN9,BQ9,BT9,BW9,BZ9,CC9,CF9,CI9,CL9,CO9,CR9,CU9,CX9,DA9,DD9,DG9,DJ9,DM9,DP9,DS9,DV9,DY9,EB9,EE9,EH9,EK9,EN9,EQ9,ET9,EW9,EZ9,FC9,FF9,FI9,FL9,FO9,FR9,FU9,FX9,GA9,GD9,GG9,GJ9,GM9,GP9,GS9,GV9,GY9,HB9,HE9,HH9,HK9,HN9,HQ9,HT9,HW9,HZ9,IC9,IF9,II9,IL9,IO9,IR9,IU9,IX9,JA9,JD9,JG9,JJ9,JM9,JP9,JS9,JV9,JY9,KB9,KE9,KH9,KK9,KN9,KQ9,KT9,KW9,KZ9,LC9,LF9,LI9,LL9,LO9,LR9,LU9,LX9,MA9,MD9,MG9,MJ9,MM9,MP9,MS9,MV9,MY9,NB9)</f>
        <v>1300822</v>
      </c>
      <c r="NF9" s="425">
        <f>SUM(D9,G9,J9,M9,P9,S9,V9,Y9,AB9,AE9,AH9,AK9,AN9,AQ9,AT9,AW9,AZ9,BC9,BF9,BI9,BL9,BO9,BR9,BU9,BX9,CA9,CD9,CG9,CJ9,CM9,CP9,CS9,CV9,CY9,DB9,DE9,DH9,DK9,DN9,DQ9,DT9,DW9,DZ9,EC9,EF9,EI9,EL9,EO9,ER9,EU9,EX9,FA9,FD9,FG9,FJ9,FM9,FP9,FS9,FV9,FY9,GB9,GE9,GH9,GK9,GN9,GQ9,GT9,GW9,GZ9,HC9,HF9,HI9,HL9,HO9,HR9,HU9,HX9,IA9,ID9,IG9,IJ9,IM9,IP9,IS9,IV9,IY9,JB9,JE9,JH9,JK9,JN9,JQ9,JT9,JW9,JZ9,KC9,KF9,KI9,KL9,KO9,KR9,KU9,KX9,LA9,LD9,LG9,LJ9,LM9,LP9,LS9,LV9,LY9,MB9,ME9,MH9,MK9,MN9,MQ9,MT9,MW9,MZ9,NC9)</f>
        <v>1306426</v>
      </c>
      <c r="NG9" s="530">
        <f>SUM(NE9:NF9)</f>
        <v>2607248</v>
      </c>
      <c r="NH9" s="529">
        <f>SUM(C9+F9+I9+L9+O9+R9)</f>
        <v>100562</v>
      </c>
      <c r="NI9" s="529">
        <f>SUM(D9+G9+J9+M9+P9+S9)</f>
        <v>94057</v>
      </c>
      <c r="NJ9" s="530">
        <f>SUM(NH9:NI9)</f>
        <v>194619</v>
      </c>
    </row>
    <row r="10" spans="1:374" x14ac:dyDescent="0.3">
      <c r="A10" s="587" t="s">
        <v>253</v>
      </c>
      <c r="B10" s="588" t="s">
        <v>20</v>
      </c>
      <c r="C10" s="538">
        <v>1121</v>
      </c>
      <c r="D10" s="372">
        <v>1041</v>
      </c>
      <c r="E10" s="372">
        <f t="shared" ref="E10:E73" si="357">C10+D10</f>
        <v>2162</v>
      </c>
      <c r="F10" s="372">
        <v>1470</v>
      </c>
      <c r="G10" s="372">
        <v>1311</v>
      </c>
      <c r="H10" s="372">
        <f t="shared" ref="H10:H73" si="358">F10+G10</f>
        <v>2781</v>
      </c>
      <c r="I10" s="372">
        <v>1740</v>
      </c>
      <c r="J10" s="372">
        <v>1722</v>
      </c>
      <c r="K10" s="372">
        <f t="shared" ref="K10:K73" si="359">I10+J10</f>
        <v>3462</v>
      </c>
      <c r="L10" s="372">
        <v>2046</v>
      </c>
      <c r="M10" s="372">
        <v>1917</v>
      </c>
      <c r="N10" s="372">
        <f t="shared" ref="N10:N73" si="360">L10+M10</f>
        <v>3963</v>
      </c>
      <c r="O10" s="372">
        <v>2210</v>
      </c>
      <c r="P10" s="372">
        <v>2048</v>
      </c>
      <c r="Q10" s="372">
        <f t="shared" ref="Q10:Q73" si="361">O10+P10</f>
        <v>4258</v>
      </c>
      <c r="R10" s="372">
        <v>2328</v>
      </c>
      <c r="S10" s="372">
        <v>2158</v>
      </c>
      <c r="T10" s="372">
        <f t="shared" ref="T10:T73" si="362">R10+S10</f>
        <v>4486</v>
      </c>
      <c r="U10" s="372">
        <v>2553</v>
      </c>
      <c r="V10" s="372">
        <v>2359</v>
      </c>
      <c r="W10" s="372">
        <f t="shared" ref="W10:W73" si="363">U10+V10</f>
        <v>4912</v>
      </c>
      <c r="X10" s="372">
        <v>2580</v>
      </c>
      <c r="Y10" s="372">
        <v>2450</v>
      </c>
      <c r="Z10" s="372">
        <f t="shared" ref="Z10:Z73" si="364">X10+Y10</f>
        <v>5030</v>
      </c>
      <c r="AA10" s="372">
        <v>2427</v>
      </c>
      <c r="AB10" s="372">
        <v>2367</v>
      </c>
      <c r="AC10" s="372">
        <f t="shared" ref="AC10:AC73" si="365">AA10+AB10</f>
        <v>4794</v>
      </c>
      <c r="AD10" s="372">
        <v>2510</v>
      </c>
      <c r="AE10" s="372">
        <v>2300</v>
      </c>
      <c r="AF10" s="372">
        <f t="shared" ref="AF10:AF73" si="366">AD10+AE10</f>
        <v>4810</v>
      </c>
      <c r="AG10" s="372">
        <v>2554</v>
      </c>
      <c r="AH10" s="372">
        <v>2342</v>
      </c>
      <c r="AI10" s="372">
        <f t="shared" ref="AI10:AI73" si="367">AG10+AH10</f>
        <v>4896</v>
      </c>
      <c r="AJ10" s="372">
        <v>2459</v>
      </c>
      <c r="AK10" s="372">
        <v>2200</v>
      </c>
      <c r="AL10" s="372">
        <f t="shared" ref="AL10:AL73" si="368">AJ10+AK10</f>
        <v>4659</v>
      </c>
      <c r="AM10" s="372">
        <v>2358</v>
      </c>
      <c r="AN10" s="372">
        <v>2254</v>
      </c>
      <c r="AO10" s="372">
        <f t="shared" ref="AO10:AO73" si="369">AM10+AN10</f>
        <v>4612</v>
      </c>
      <c r="AP10" s="372">
        <v>2401</v>
      </c>
      <c r="AQ10" s="372">
        <v>2244</v>
      </c>
      <c r="AR10" s="372">
        <f t="shared" ref="AR10:AR73" si="370">AP10+AQ10</f>
        <v>4645</v>
      </c>
      <c r="AS10" s="372">
        <v>2406</v>
      </c>
      <c r="AT10" s="372">
        <v>2326</v>
      </c>
      <c r="AU10" s="372">
        <f t="shared" ref="AU10:AU73" si="371">AS10+AT10</f>
        <v>4732</v>
      </c>
      <c r="AV10" s="372">
        <v>2294</v>
      </c>
      <c r="AW10" s="372">
        <v>2080</v>
      </c>
      <c r="AX10" s="372">
        <f t="shared" ref="AX10:AX73" si="372">AV10+AW10</f>
        <v>4374</v>
      </c>
      <c r="AY10" s="372">
        <v>2191</v>
      </c>
      <c r="AZ10" s="372">
        <v>2083</v>
      </c>
      <c r="BA10" s="372">
        <f t="shared" ref="BA10:BA73" si="373">AY10+AZ10</f>
        <v>4274</v>
      </c>
      <c r="BB10" s="372">
        <v>1947</v>
      </c>
      <c r="BC10" s="372">
        <v>1825</v>
      </c>
      <c r="BD10" s="372">
        <f t="shared" ref="BD10:BD73" si="374">BB10+BC10</f>
        <v>3772</v>
      </c>
      <c r="BE10" s="372">
        <v>2135</v>
      </c>
      <c r="BF10" s="372">
        <v>1871</v>
      </c>
      <c r="BG10" s="372">
        <f t="shared" ref="BG10:BG73" si="375">BE10+BF10</f>
        <v>4006</v>
      </c>
      <c r="BH10" s="372">
        <v>2000</v>
      </c>
      <c r="BI10" s="372">
        <v>2063</v>
      </c>
      <c r="BJ10" s="372">
        <f t="shared" ref="BJ10:BJ73" si="376">BH10+BI10</f>
        <v>4063</v>
      </c>
      <c r="BK10" s="372">
        <v>1946</v>
      </c>
      <c r="BL10" s="372">
        <v>1891</v>
      </c>
      <c r="BM10" s="372">
        <f t="shared" ref="BM10:BM73" si="377">BK10+BL10</f>
        <v>3837</v>
      </c>
      <c r="BN10" s="372">
        <v>1922</v>
      </c>
      <c r="BO10" s="372">
        <v>1880</v>
      </c>
      <c r="BP10" s="372">
        <f t="shared" ref="BP10:BP73" si="378">BN10+BO10</f>
        <v>3802</v>
      </c>
      <c r="BQ10" s="372">
        <v>2017</v>
      </c>
      <c r="BR10" s="372">
        <v>1953</v>
      </c>
      <c r="BS10" s="372">
        <f t="shared" ref="BS10:BS73" si="379">BQ10+BR10</f>
        <v>3970</v>
      </c>
      <c r="BT10" s="372">
        <v>2074</v>
      </c>
      <c r="BU10" s="372">
        <v>1953</v>
      </c>
      <c r="BV10" s="372">
        <f t="shared" ref="BV10:BV73" si="380">BT10+BU10</f>
        <v>4027</v>
      </c>
      <c r="BW10" s="372">
        <v>2001</v>
      </c>
      <c r="BX10" s="372">
        <v>1910</v>
      </c>
      <c r="BY10" s="372">
        <f t="shared" ref="BY10:BY73" si="381">BW10+BX10</f>
        <v>3911</v>
      </c>
      <c r="BZ10" s="372">
        <v>2076</v>
      </c>
      <c r="CA10" s="372">
        <v>2022</v>
      </c>
      <c r="CB10" s="372">
        <f t="shared" ref="CB10:CB73" si="382">BZ10+CA10</f>
        <v>4098</v>
      </c>
      <c r="CC10" s="372">
        <v>2152</v>
      </c>
      <c r="CD10" s="372">
        <v>2094</v>
      </c>
      <c r="CE10" s="372">
        <f t="shared" ref="CE10:CE73" si="383">CC10+CD10</f>
        <v>4246</v>
      </c>
      <c r="CF10" s="372">
        <v>1851</v>
      </c>
      <c r="CG10" s="372">
        <v>1896</v>
      </c>
      <c r="CH10" s="372">
        <f t="shared" ref="CH10:CH73" si="384">CF10+CG10</f>
        <v>3747</v>
      </c>
      <c r="CI10" s="372">
        <v>2055</v>
      </c>
      <c r="CJ10" s="372">
        <v>2162</v>
      </c>
      <c r="CK10" s="372">
        <f t="shared" ref="CK10:CK73" si="385">CI10+CJ10</f>
        <v>4217</v>
      </c>
      <c r="CL10" s="372">
        <v>2121</v>
      </c>
      <c r="CM10" s="372">
        <v>2095</v>
      </c>
      <c r="CN10" s="372">
        <f t="shared" ref="CN10:CN73" si="386">CL10+CM10</f>
        <v>4216</v>
      </c>
      <c r="CO10" s="372">
        <v>2166</v>
      </c>
      <c r="CP10" s="372">
        <v>2225</v>
      </c>
      <c r="CQ10" s="372">
        <f t="shared" ref="CQ10:CQ73" si="387">CO10+CP10</f>
        <v>4391</v>
      </c>
      <c r="CR10" s="372">
        <v>2217</v>
      </c>
      <c r="CS10" s="372">
        <v>2387</v>
      </c>
      <c r="CT10" s="372">
        <f t="shared" ref="CT10:CT73" si="388">CR10+CS10</f>
        <v>4604</v>
      </c>
      <c r="CU10" s="372">
        <v>2184</v>
      </c>
      <c r="CV10" s="372">
        <v>2267</v>
      </c>
      <c r="CW10" s="372">
        <f t="shared" ref="CW10:CW73" si="389">CU10+CV10</f>
        <v>4451</v>
      </c>
      <c r="CX10" s="372">
        <v>2237</v>
      </c>
      <c r="CY10" s="372">
        <v>2262</v>
      </c>
      <c r="CZ10" s="372">
        <f t="shared" ref="CZ10:CZ73" si="390">CX10+CY10</f>
        <v>4499</v>
      </c>
      <c r="DA10" s="372">
        <v>2379</v>
      </c>
      <c r="DB10" s="372">
        <v>2431</v>
      </c>
      <c r="DC10" s="372">
        <f t="shared" ref="DC10:DC73" si="391">DA10+DB10</f>
        <v>4810</v>
      </c>
      <c r="DD10" s="372">
        <v>2197</v>
      </c>
      <c r="DE10" s="372">
        <v>2345</v>
      </c>
      <c r="DF10" s="372">
        <f t="shared" ref="DF10:DF73" si="392">DD10+DE10</f>
        <v>4542</v>
      </c>
      <c r="DG10" s="372">
        <v>2369</v>
      </c>
      <c r="DH10" s="372">
        <v>2485</v>
      </c>
      <c r="DI10" s="372">
        <f t="shared" ref="DI10:DI73" si="393">DG10+DH10</f>
        <v>4854</v>
      </c>
      <c r="DJ10" s="372">
        <v>2223</v>
      </c>
      <c r="DK10" s="372">
        <v>2252</v>
      </c>
      <c r="DL10" s="372">
        <f t="shared" ref="DL10:DL73" si="394">DJ10+DK10</f>
        <v>4475</v>
      </c>
      <c r="DM10" s="372">
        <v>2174</v>
      </c>
      <c r="DN10" s="372">
        <v>2088</v>
      </c>
      <c r="DO10" s="372">
        <f t="shared" ref="DO10:DO73" si="395">DM10+DN10</f>
        <v>4262</v>
      </c>
      <c r="DP10" s="372">
        <v>2307</v>
      </c>
      <c r="DQ10" s="372">
        <v>2190</v>
      </c>
      <c r="DR10" s="372">
        <f t="shared" ref="DR10:DR73" si="396">DP10+DQ10</f>
        <v>4497</v>
      </c>
      <c r="DS10" s="372">
        <v>2409</v>
      </c>
      <c r="DT10" s="372">
        <v>2275</v>
      </c>
      <c r="DU10" s="372">
        <f t="shared" ref="DU10:DU73" si="397">DS10+DT10</f>
        <v>4684</v>
      </c>
      <c r="DV10" s="372">
        <v>2426</v>
      </c>
      <c r="DW10" s="372">
        <v>2330</v>
      </c>
      <c r="DX10" s="372">
        <f t="shared" ref="DX10:DX73" si="398">DV10+DW10</f>
        <v>4756</v>
      </c>
      <c r="DY10" s="372">
        <v>2167</v>
      </c>
      <c r="DZ10" s="372">
        <v>2173</v>
      </c>
      <c r="EA10" s="372">
        <f t="shared" ref="EA10:EA73" si="399">DY10+DZ10</f>
        <v>4340</v>
      </c>
      <c r="EB10" s="372">
        <v>2353</v>
      </c>
      <c r="EC10" s="372">
        <v>2511</v>
      </c>
      <c r="ED10" s="372">
        <f t="shared" ref="ED10:ED73" si="400">EB10+EC10</f>
        <v>4864</v>
      </c>
      <c r="EE10" s="372">
        <v>2392</v>
      </c>
      <c r="EF10" s="372">
        <v>2363</v>
      </c>
      <c r="EG10" s="372">
        <f t="shared" ref="EG10:EG73" si="401">EE10+EF10</f>
        <v>4755</v>
      </c>
      <c r="EH10" s="372">
        <v>2247</v>
      </c>
      <c r="EI10" s="372">
        <v>2259</v>
      </c>
      <c r="EJ10" s="372">
        <f t="shared" ref="EJ10:EJ73" si="402">EH10+EI10</f>
        <v>4506</v>
      </c>
      <c r="EK10" s="372">
        <v>2130</v>
      </c>
      <c r="EL10" s="372">
        <v>2214</v>
      </c>
      <c r="EM10" s="372">
        <f t="shared" ref="EM10:EM73" si="403">EK10+EL10</f>
        <v>4344</v>
      </c>
      <c r="EN10" s="372">
        <v>1964</v>
      </c>
      <c r="EO10" s="372">
        <v>1892</v>
      </c>
      <c r="EP10" s="372">
        <f t="shared" ref="EP10:EP73" si="404">EN10+EO10</f>
        <v>3856</v>
      </c>
      <c r="EQ10" s="372">
        <v>1833</v>
      </c>
      <c r="ER10" s="372">
        <v>1841</v>
      </c>
      <c r="ES10" s="372">
        <f t="shared" ref="ES10:ES73" si="405">EQ10+ER10</f>
        <v>3674</v>
      </c>
      <c r="ET10" s="372">
        <v>1746</v>
      </c>
      <c r="EU10" s="372">
        <v>1801</v>
      </c>
      <c r="EV10" s="372">
        <f t="shared" ref="EV10:EV73" si="406">ET10+EU10</f>
        <v>3547</v>
      </c>
      <c r="EW10" s="372">
        <v>1744</v>
      </c>
      <c r="EX10" s="372">
        <v>1786</v>
      </c>
      <c r="EY10" s="372">
        <f t="shared" ref="EY10:EY73" si="407">EW10+EX10</f>
        <v>3530</v>
      </c>
      <c r="EZ10" s="372">
        <v>1526</v>
      </c>
      <c r="FA10" s="372">
        <v>1650</v>
      </c>
      <c r="FB10" s="372">
        <f t="shared" ref="FB10:FB73" si="408">EZ10+FA10</f>
        <v>3176</v>
      </c>
      <c r="FC10" s="372">
        <v>1509</v>
      </c>
      <c r="FD10" s="372">
        <v>1515</v>
      </c>
      <c r="FE10" s="372">
        <f t="shared" ref="FE10:FE73" si="409">FC10+FD10</f>
        <v>3024</v>
      </c>
      <c r="FF10" s="372">
        <v>1480</v>
      </c>
      <c r="FG10" s="372">
        <v>1590</v>
      </c>
      <c r="FH10" s="372">
        <f t="shared" ref="FH10:FH73" si="410">FF10+FG10</f>
        <v>3070</v>
      </c>
      <c r="FI10" s="372">
        <v>1362</v>
      </c>
      <c r="FJ10" s="372">
        <v>1451</v>
      </c>
      <c r="FK10" s="372">
        <f t="shared" ref="FK10:FK73" si="411">FI10+FJ10</f>
        <v>2813</v>
      </c>
      <c r="FL10" s="372">
        <v>1293</v>
      </c>
      <c r="FM10" s="372">
        <v>1377</v>
      </c>
      <c r="FN10" s="372">
        <f t="shared" ref="FN10:FN73" si="412">FL10+FM10</f>
        <v>2670</v>
      </c>
      <c r="FO10" s="372">
        <v>1366</v>
      </c>
      <c r="FP10" s="372">
        <v>1537</v>
      </c>
      <c r="FQ10" s="372">
        <f t="shared" ref="FQ10:FQ73" si="413">FO10+FP10</f>
        <v>2903</v>
      </c>
      <c r="FR10" s="372">
        <v>1261</v>
      </c>
      <c r="FS10" s="372">
        <v>1480</v>
      </c>
      <c r="FT10" s="372">
        <f t="shared" ref="FT10:FT73" si="414">FR10+FS10</f>
        <v>2741</v>
      </c>
      <c r="FU10" s="372">
        <v>1169</v>
      </c>
      <c r="FV10" s="372">
        <v>1438</v>
      </c>
      <c r="FW10" s="372">
        <f t="shared" ref="FW10:FW73" si="415">FU10+FV10</f>
        <v>2607</v>
      </c>
      <c r="FX10" s="372">
        <v>993</v>
      </c>
      <c r="FY10" s="372">
        <v>1335</v>
      </c>
      <c r="FZ10" s="372">
        <f t="shared" ref="FZ10:FZ73" si="416">FX10+FY10</f>
        <v>2328</v>
      </c>
      <c r="GA10" s="372">
        <v>1117</v>
      </c>
      <c r="GB10" s="372">
        <v>1474</v>
      </c>
      <c r="GC10" s="372">
        <f t="shared" ref="GC10:GC73" si="417">GA10+GB10</f>
        <v>2591</v>
      </c>
      <c r="GD10" s="372">
        <v>1048</v>
      </c>
      <c r="GE10" s="372">
        <v>1499</v>
      </c>
      <c r="GF10" s="372">
        <f t="shared" ref="GF10:GF73" si="418">GD10+GE10</f>
        <v>2547</v>
      </c>
      <c r="GG10" s="372">
        <v>991</v>
      </c>
      <c r="GH10" s="372">
        <v>1485</v>
      </c>
      <c r="GI10" s="372">
        <f t="shared" ref="GI10:GI73" si="419">GG10+GH10</f>
        <v>2476</v>
      </c>
      <c r="GJ10" s="372">
        <v>1069</v>
      </c>
      <c r="GK10" s="372">
        <v>1484</v>
      </c>
      <c r="GL10" s="372">
        <f t="shared" ref="GL10:GL73" si="420">GJ10+GK10</f>
        <v>2553</v>
      </c>
      <c r="GM10" s="372">
        <v>988</v>
      </c>
      <c r="GN10" s="372">
        <v>1413</v>
      </c>
      <c r="GO10" s="372">
        <f t="shared" ref="GO10:GO73" si="421">GM10+GN10</f>
        <v>2401</v>
      </c>
      <c r="GP10" s="372">
        <v>971</v>
      </c>
      <c r="GQ10" s="372">
        <v>1363</v>
      </c>
      <c r="GR10" s="372">
        <f t="shared" ref="GR10:GR73" si="422">GP10+GQ10</f>
        <v>2334</v>
      </c>
      <c r="GS10" s="372">
        <v>1037</v>
      </c>
      <c r="GT10" s="372">
        <v>1324</v>
      </c>
      <c r="GU10" s="372">
        <f t="shared" ref="GU10:GU73" si="423">GS10+GT10</f>
        <v>2361</v>
      </c>
      <c r="GV10" s="372">
        <v>940</v>
      </c>
      <c r="GW10" s="372">
        <v>1235</v>
      </c>
      <c r="GX10" s="372">
        <f t="shared" ref="GX10:GX73" si="424">GV10+GW10</f>
        <v>2175</v>
      </c>
      <c r="GY10" s="372">
        <v>995</v>
      </c>
      <c r="GZ10" s="372">
        <v>1119</v>
      </c>
      <c r="HA10" s="372">
        <f t="shared" ref="HA10:HA73" si="425">GY10+GZ10</f>
        <v>2114</v>
      </c>
      <c r="HB10" s="372">
        <v>805</v>
      </c>
      <c r="HC10" s="372">
        <v>902</v>
      </c>
      <c r="HD10" s="372">
        <f t="shared" ref="HD10:HD73" si="426">HB10+HC10</f>
        <v>1707</v>
      </c>
      <c r="HE10" s="372">
        <v>806</v>
      </c>
      <c r="HF10" s="372">
        <v>810</v>
      </c>
      <c r="HG10" s="372">
        <f t="shared" ref="HG10:HG73" si="427">HE10+HF10</f>
        <v>1616</v>
      </c>
      <c r="HH10" s="372">
        <v>773</v>
      </c>
      <c r="HI10" s="372">
        <v>730</v>
      </c>
      <c r="HJ10" s="372">
        <f t="shared" ref="HJ10:HJ73" si="428">HH10+HI10</f>
        <v>1503</v>
      </c>
      <c r="HK10" s="372">
        <v>710</v>
      </c>
      <c r="HL10" s="372">
        <v>624</v>
      </c>
      <c r="HM10" s="372">
        <f t="shared" ref="HM10:HM73" si="429">HK10+HL10</f>
        <v>1334</v>
      </c>
      <c r="HN10" s="372">
        <v>684</v>
      </c>
      <c r="HO10" s="372">
        <v>486</v>
      </c>
      <c r="HP10" s="372">
        <f t="shared" ref="HP10:HP73" si="430">HN10+HO10</f>
        <v>1170</v>
      </c>
      <c r="HQ10" s="372">
        <v>505</v>
      </c>
      <c r="HR10" s="372">
        <v>382</v>
      </c>
      <c r="HS10" s="372">
        <f t="shared" ref="HS10:HS73" si="431">HQ10+HR10</f>
        <v>887</v>
      </c>
      <c r="HT10" s="372">
        <v>414</v>
      </c>
      <c r="HU10" s="372">
        <v>350</v>
      </c>
      <c r="HV10" s="372">
        <f t="shared" ref="HV10:HV73" si="432">HT10+HU10</f>
        <v>764</v>
      </c>
      <c r="HW10" s="372">
        <v>301</v>
      </c>
      <c r="HX10" s="372">
        <v>321</v>
      </c>
      <c r="HY10" s="372">
        <f t="shared" ref="HY10:HY73" si="433">HW10+HX10</f>
        <v>622</v>
      </c>
      <c r="HZ10" s="372">
        <v>272</v>
      </c>
      <c r="IA10" s="372">
        <v>261</v>
      </c>
      <c r="IB10" s="372">
        <f t="shared" ref="IB10:IB73" si="434">HZ10+IA10</f>
        <v>533</v>
      </c>
      <c r="IC10" s="372">
        <v>213</v>
      </c>
      <c r="ID10" s="372">
        <v>165</v>
      </c>
      <c r="IE10" s="372">
        <f t="shared" ref="IE10:IE73" si="435">IC10+ID10</f>
        <v>378</v>
      </c>
      <c r="IF10" s="372">
        <v>144</v>
      </c>
      <c r="IG10" s="372">
        <v>143</v>
      </c>
      <c r="IH10" s="372">
        <f t="shared" ref="IH10:IH73" si="436">IF10+IG10</f>
        <v>287</v>
      </c>
      <c r="II10" s="372">
        <v>135</v>
      </c>
      <c r="IJ10" s="372">
        <v>145</v>
      </c>
      <c r="IK10" s="372">
        <f t="shared" ref="IK10:IK73" si="437">II10+IJ10</f>
        <v>280</v>
      </c>
      <c r="IL10" s="372">
        <v>112</v>
      </c>
      <c r="IM10" s="372">
        <v>131</v>
      </c>
      <c r="IN10" s="372">
        <f t="shared" ref="IN10:IN73" si="438">IL10+IM10</f>
        <v>243</v>
      </c>
      <c r="IO10" s="372">
        <v>93</v>
      </c>
      <c r="IP10" s="372">
        <v>89</v>
      </c>
      <c r="IQ10" s="372">
        <f t="shared" ref="IQ10:IQ73" si="439">IO10+IP10</f>
        <v>182</v>
      </c>
      <c r="IR10" s="372">
        <v>86</v>
      </c>
      <c r="IS10" s="372">
        <v>100</v>
      </c>
      <c r="IT10" s="372">
        <f t="shared" ref="IT10:IT73" si="440">IR10+IS10</f>
        <v>186</v>
      </c>
      <c r="IU10" s="372">
        <v>83</v>
      </c>
      <c r="IV10" s="372">
        <v>79</v>
      </c>
      <c r="IW10" s="372">
        <f t="shared" ref="IW10:IW73" si="441">IU10+IV10</f>
        <v>162</v>
      </c>
      <c r="IX10" s="372">
        <v>47</v>
      </c>
      <c r="IY10" s="372">
        <v>57</v>
      </c>
      <c r="IZ10" s="372">
        <f t="shared" ref="IZ10:IZ73" si="442">IX10+IY10</f>
        <v>104</v>
      </c>
      <c r="JA10" s="372">
        <v>53</v>
      </c>
      <c r="JB10" s="372">
        <v>68</v>
      </c>
      <c r="JC10" s="372">
        <f t="shared" ref="JC10:JC73" si="443">JA10+JB10</f>
        <v>121</v>
      </c>
      <c r="JD10" s="372">
        <v>27</v>
      </c>
      <c r="JE10" s="372">
        <v>43</v>
      </c>
      <c r="JF10" s="372">
        <f t="shared" ref="JF10:JF73" si="444">JD10+JE10</f>
        <v>70</v>
      </c>
      <c r="JG10" s="372">
        <v>13</v>
      </c>
      <c r="JH10" s="372">
        <v>55</v>
      </c>
      <c r="JI10" s="372">
        <f t="shared" ref="JI10:JI73" si="445">JG10+JH10</f>
        <v>68</v>
      </c>
      <c r="JJ10" s="372">
        <v>11</v>
      </c>
      <c r="JK10" s="372">
        <v>31</v>
      </c>
      <c r="JL10" s="372">
        <f t="shared" ref="JL10:JL73" si="446">JJ10+JK10</f>
        <v>42</v>
      </c>
      <c r="JM10" s="372">
        <v>16</v>
      </c>
      <c r="JN10" s="372">
        <v>29</v>
      </c>
      <c r="JO10" s="372">
        <f t="shared" ref="JO10:JO73" si="447">JM10+JN10</f>
        <v>45</v>
      </c>
      <c r="JP10" s="372">
        <v>10</v>
      </c>
      <c r="JQ10" s="372">
        <v>24</v>
      </c>
      <c r="JR10" s="372">
        <f t="shared" ref="JR10:JR73" si="448">JP10+JQ10</f>
        <v>34</v>
      </c>
      <c r="JS10" s="372">
        <v>11</v>
      </c>
      <c r="JT10" s="372">
        <v>20</v>
      </c>
      <c r="JU10" s="372">
        <f t="shared" ref="JU10:JU73" si="449">JS10+JT10</f>
        <v>31</v>
      </c>
      <c r="JV10" s="372">
        <v>12</v>
      </c>
      <c r="JW10" s="372">
        <v>16</v>
      </c>
      <c r="JX10" s="372">
        <f t="shared" ref="JX10:JX73" si="450">JV10+JW10</f>
        <v>28</v>
      </c>
      <c r="JY10" s="372">
        <v>4</v>
      </c>
      <c r="JZ10" s="372">
        <v>5</v>
      </c>
      <c r="KA10" s="372">
        <f t="shared" ref="KA10:KA73" si="451">JY10+JZ10</f>
        <v>9</v>
      </c>
      <c r="KB10" s="372">
        <v>1</v>
      </c>
      <c r="KC10" s="372">
        <v>4</v>
      </c>
      <c r="KD10" s="372">
        <f t="shared" ref="KD10:KD73" si="452">KB10+KC10</f>
        <v>5</v>
      </c>
      <c r="KE10" s="372">
        <v>2</v>
      </c>
      <c r="KF10" s="372">
        <v>2</v>
      </c>
      <c r="KG10" s="372">
        <f t="shared" ref="KG10:KG73" si="453">KE10+KF10</f>
        <v>4</v>
      </c>
      <c r="KH10" s="372">
        <v>0</v>
      </c>
      <c r="KI10" s="372">
        <v>1</v>
      </c>
      <c r="KJ10" s="372">
        <f t="shared" ref="KJ10:KJ73" si="454">KH10+KI10</f>
        <v>1</v>
      </c>
      <c r="KK10" s="372">
        <v>1</v>
      </c>
      <c r="KL10" s="372">
        <v>3</v>
      </c>
      <c r="KM10" s="372">
        <f t="shared" ref="KM10:KM73" si="455">KK10+KL10</f>
        <v>4</v>
      </c>
      <c r="KN10" s="372">
        <v>1</v>
      </c>
      <c r="KO10" s="372">
        <v>1</v>
      </c>
      <c r="KP10" s="372">
        <f t="shared" ref="KP10:KP73" si="456">KN10+KO10</f>
        <v>2</v>
      </c>
      <c r="KQ10" s="372">
        <v>0</v>
      </c>
      <c r="KR10" s="372">
        <v>0</v>
      </c>
      <c r="KS10" s="372">
        <f t="shared" ref="KS10:KS73" si="457">KQ10+KR10</f>
        <v>0</v>
      </c>
      <c r="KT10" s="372">
        <v>1</v>
      </c>
      <c r="KU10" s="372">
        <v>1</v>
      </c>
      <c r="KV10" s="372">
        <f t="shared" ref="KV10:KV73" si="458">KT10+KU10</f>
        <v>2</v>
      </c>
      <c r="KW10" s="372">
        <v>0</v>
      </c>
      <c r="KX10" s="372">
        <v>0</v>
      </c>
      <c r="KY10" s="372">
        <f t="shared" ref="KY10:KY73" si="459">KW10+KX10</f>
        <v>0</v>
      </c>
      <c r="KZ10" s="372">
        <v>0</v>
      </c>
      <c r="LA10" s="372">
        <v>0</v>
      </c>
      <c r="LB10" s="372">
        <f t="shared" ref="LB10:LB73" si="460">KZ10+LA10</f>
        <v>0</v>
      </c>
      <c r="LC10" s="372">
        <v>0</v>
      </c>
      <c r="LD10" s="372">
        <v>0</v>
      </c>
      <c r="LE10" s="372">
        <f t="shared" ref="LE10:LE73" si="461">LC10+LD10</f>
        <v>0</v>
      </c>
      <c r="LF10" s="372">
        <v>0</v>
      </c>
      <c r="LG10" s="372">
        <v>0</v>
      </c>
      <c r="LH10" s="372">
        <f t="shared" ref="LH10:LH73" si="462">LF10+LG10</f>
        <v>0</v>
      </c>
      <c r="LI10" s="372">
        <v>0</v>
      </c>
      <c r="LJ10" s="372">
        <v>0</v>
      </c>
      <c r="LK10" s="372">
        <f t="shared" ref="LK10:LK73" si="463">LI10+LJ10</f>
        <v>0</v>
      </c>
      <c r="LL10" s="372">
        <v>0</v>
      </c>
      <c r="LM10" s="372">
        <v>0</v>
      </c>
      <c r="LN10" s="372">
        <f t="shared" ref="LN10:LN73" si="464">LL10+LM10</f>
        <v>0</v>
      </c>
      <c r="LO10" s="372">
        <v>0</v>
      </c>
      <c r="LP10" s="372">
        <v>0</v>
      </c>
      <c r="LQ10" s="372">
        <f t="shared" ref="LQ10:LQ73" si="465">LO10+LP10</f>
        <v>0</v>
      </c>
      <c r="LR10" s="372">
        <v>0</v>
      </c>
      <c r="LS10" s="372">
        <v>0</v>
      </c>
      <c r="LT10" s="372">
        <f t="shared" ref="LT10:LT73" si="466">LR10+LS10</f>
        <v>0</v>
      </c>
      <c r="LU10" s="372">
        <v>0</v>
      </c>
      <c r="LV10" s="372">
        <v>0</v>
      </c>
      <c r="LW10" s="372">
        <f t="shared" ref="LW10:LW73" si="467">LU10+LV10</f>
        <v>0</v>
      </c>
      <c r="LX10" s="372">
        <v>0</v>
      </c>
      <c r="LY10" s="372">
        <v>0</v>
      </c>
      <c r="LZ10" s="372">
        <f t="shared" ref="LZ10:LZ73" si="468">LX10+LY10</f>
        <v>0</v>
      </c>
      <c r="MA10" s="372">
        <v>0</v>
      </c>
      <c r="MB10" s="372">
        <v>0</v>
      </c>
      <c r="MC10" s="372">
        <f t="shared" ref="MC10:MC73" si="469">MA10+MB10</f>
        <v>0</v>
      </c>
      <c r="MD10" s="372">
        <v>0</v>
      </c>
      <c r="ME10" s="372">
        <v>0</v>
      </c>
      <c r="MF10" s="372">
        <f t="shared" ref="MF10:MF73" si="470">MD10+ME10</f>
        <v>0</v>
      </c>
      <c r="MG10" s="372">
        <v>0</v>
      </c>
      <c r="MH10" s="372">
        <v>0</v>
      </c>
      <c r="MI10" s="372">
        <f t="shared" ref="MI10:MI73" si="471">MG10+MH10</f>
        <v>0</v>
      </c>
      <c r="MJ10" s="372">
        <v>0</v>
      </c>
      <c r="MK10" s="372">
        <v>0</v>
      </c>
      <c r="ML10" s="372">
        <f t="shared" ref="ML10:ML73" si="472">MJ10+MK10</f>
        <v>0</v>
      </c>
      <c r="MM10" s="372">
        <v>0</v>
      </c>
      <c r="MN10" s="372">
        <v>0</v>
      </c>
      <c r="MO10" s="372">
        <f t="shared" ref="MO10:MO73" si="473">MM10+MN10</f>
        <v>0</v>
      </c>
      <c r="MP10" s="372">
        <v>0</v>
      </c>
      <c r="MQ10" s="372">
        <v>0</v>
      </c>
      <c r="MR10" s="372">
        <f t="shared" ref="MR10:MR73" si="474">MP10+MQ10</f>
        <v>0</v>
      </c>
      <c r="MS10" s="372">
        <v>0</v>
      </c>
      <c r="MT10" s="372">
        <v>0</v>
      </c>
      <c r="MU10" s="372">
        <f t="shared" ref="MU10:MU73" si="475">MS10+MT10</f>
        <v>0</v>
      </c>
      <c r="MV10" s="372">
        <v>0</v>
      </c>
      <c r="MW10" s="372">
        <v>0</v>
      </c>
      <c r="MX10" s="372">
        <f t="shared" ref="MX10:MX73" si="476">MV10+MW10</f>
        <v>0</v>
      </c>
      <c r="MY10" s="372">
        <v>0</v>
      </c>
      <c r="MZ10" s="372">
        <v>0</v>
      </c>
      <c r="NA10" s="539">
        <f t="shared" ref="NA10:NA73" si="477">MY10+MZ10</f>
        <v>0</v>
      </c>
      <c r="NB10" s="372">
        <v>0</v>
      </c>
      <c r="NC10" s="372">
        <v>0</v>
      </c>
      <c r="ND10" s="537">
        <f t="shared" ref="ND10:ND73" si="478">NB10+NC10</f>
        <v>0</v>
      </c>
      <c r="NE10" s="536">
        <f t="shared" ref="NE10:NF20" si="479">SUM(C10,F10,I10,L10,O10,R10,U10,X10,AA10,AD10,AG10,AJ10,AM10,AP10,AS10,AV10,AY10,BB10,BE10,BH10,BK10,BN10,BQ10,BT10,BW10,BZ10,CC10,CF10,CI10,CL10,CO10,CR10,CU10,CX10,DA10,DD10,DG10,DJ10,DM10,DP10,DS10,DV10,DY10,EB10,EE10,EH10,EK10,EN10,EQ10,ET10,EW10,EZ10,FC10,FF10,FI10,FL10,FO10,FR10,FU10,FX10,GA10,GD10,GG10,GJ10,GM10,GP10,GS10,GV10,GY10,HB10,HE10,HH10,HK10,HN10,HQ10,HT10,HW10,HZ10,IC10,IF10,II10,IL10,IO10,IR10,IU10,IX10,JA10,JD10,JG10,JJ10,JM10,JP10,JS10,JV10,JY10,KB10,KE10,KH10,KK10,KN10,KQ10,KT10,KW10,KZ10,LC10,LF10,LI10,LL10,LO10,LR10,LU10,LX10,MA10,MD10,MG10,MJ10,MM10,MP10,MS10,MV10,MY10)</f>
        <v>137270</v>
      </c>
      <c r="NF10" s="372">
        <f t="shared" si="479"/>
        <v>139041</v>
      </c>
      <c r="NG10" s="537">
        <f t="shared" ref="NG10:NG73" si="480">SUM(NE10:NF10)</f>
        <v>276311</v>
      </c>
      <c r="NH10" s="536">
        <f t="shared" ref="NH10:NI73" si="481">SUM(C10+F10+I10+L10+O10+R10)</f>
        <v>10915</v>
      </c>
      <c r="NI10" s="372">
        <f t="shared" si="481"/>
        <v>10197</v>
      </c>
      <c r="NJ10" s="537">
        <f t="shared" ref="NJ10:NJ73" si="482">SUM(NH10:NI10)</f>
        <v>21112</v>
      </c>
    </row>
    <row r="11" spans="1:374" x14ac:dyDescent="0.3">
      <c r="A11" s="541" t="s">
        <v>254</v>
      </c>
      <c r="B11" s="589" t="s">
        <v>19</v>
      </c>
      <c r="C11" s="544">
        <v>243</v>
      </c>
      <c r="D11" s="376">
        <v>243</v>
      </c>
      <c r="E11" s="376">
        <f t="shared" si="357"/>
        <v>486</v>
      </c>
      <c r="F11" s="376">
        <v>319</v>
      </c>
      <c r="G11" s="376">
        <v>299</v>
      </c>
      <c r="H11" s="376">
        <f t="shared" si="358"/>
        <v>618</v>
      </c>
      <c r="I11" s="376">
        <v>426</v>
      </c>
      <c r="J11" s="376">
        <v>406</v>
      </c>
      <c r="K11" s="376">
        <f t="shared" si="359"/>
        <v>832</v>
      </c>
      <c r="L11" s="376">
        <v>456</v>
      </c>
      <c r="M11" s="376">
        <v>405</v>
      </c>
      <c r="N11" s="376">
        <f t="shared" si="360"/>
        <v>861</v>
      </c>
      <c r="O11" s="376">
        <v>506</v>
      </c>
      <c r="P11" s="376">
        <v>475</v>
      </c>
      <c r="Q11" s="376">
        <f t="shared" si="361"/>
        <v>981</v>
      </c>
      <c r="R11" s="376">
        <v>560</v>
      </c>
      <c r="S11" s="376">
        <v>484</v>
      </c>
      <c r="T11" s="376">
        <f t="shared" si="362"/>
        <v>1044</v>
      </c>
      <c r="U11" s="376">
        <v>587</v>
      </c>
      <c r="V11" s="376">
        <v>544</v>
      </c>
      <c r="W11" s="376">
        <f t="shared" si="363"/>
        <v>1131</v>
      </c>
      <c r="X11" s="376">
        <v>572</v>
      </c>
      <c r="Y11" s="376">
        <v>584</v>
      </c>
      <c r="Z11" s="376">
        <f t="shared" si="364"/>
        <v>1156</v>
      </c>
      <c r="AA11" s="376">
        <v>563</v>
      </c>
      <c r="AB11" s="376">
        <v>589</v>
      </c>
      <c r="AC11" s="376">
        <f t="shared" si="365"/>
        <v>1152</v>
      </c>
      <c r="AD11" s="376">
        <v>593</v>
      </c>
      <c r="AE11" s="376">
        <v>532</v>
      </c>
      <c r="AF11" s="376">
        <f t="shared" si="366"/>
        <v>1125</v>
      </c>
      <c r="AG11" s="376">
        <v>586</v>
      </c>
      <c r="AH11" s="376">
        <v>586</v>
      </c>
      <c r="AI11" s="376">
        <f t="shared" si="367"/>
        <v>1172</v>
      </c>
      <c r="AJ11" s="376">
        <v>596</v>
      </c>
      <c r="AK11" s="376">
        <v>560</v>
      </c>
      <c r="AL11" s="376">
        <f t="shared" si="368"/>
        <v>1156</v>
      </c>
      <c r="AM11" s="376">
        <v>603</v>
      </c>
      <c r="AN11" s="376">
        <v>587</v>
      </c>
      <c r="AO11" s="376">
        <f t="shared" si="369"/>
        <v>1190</v>
      </c>
      <c r="AP11" s="376">
        <v>607</v>
      </c>
      <c r="AQ11" s="376">
        <v>547</v>
      </c>
      <c r="AR11" s="376">
        <f t="shared" si="370"/>
        <v>1154</v>
      </c>
      <c r="AS11" s="376">
        <v>603</v>
      </c>
      <c r="AT11" s="376">
        <v>568</v>
      </c>
      <c r="AU11" s="376">
        <f t="shared" si="371"/>
        <v>1171</v>
      </c>
      <c r="AV11" s="376">
        <v>583</v>
      </c>
      <c r="AW11" s="376">
        <v>563</v>
      </c>
      <c r="AX11" s="376">
        <f t="shared" si="372"/>
        <v>1146</v>
      </c>
      <c r="AY11" s="376">
        <v>603</v>
      </c>
      <c r="AZ11" s="376">
        <v>521</v>
      </c>
      <c r="BA11" s="376">
        <f t="shared" si="373"/>
        <v>1124</v>
      </c>
      <c r="BB11" s="376">
        <v>499</v>
      </c>
      <c r="BC11" s="376">
        <v>495</v>
      </c>
      <c r="BD11" s="376">
        <f t="shared" si="374"/>
        <v>994</v>
      </c>
      <c r="BE11" s="376">
        <v>554</v>
      </c>
      <c r="BF11" s="376">
        <v>479</v>
      </c>
      <c r="BG11" s="376">
        <f t="shared" si="375"/>
        <v>1033</v>
      </c>
      <c r="BH11" s="376">
        <v>480</v>
      </c>
      <c r="BI11" s="376">
        <v>528</v>
      </c>
      <c r="BJ11" s="376">
        <f t="shared" si="376"/>
        <v>1008</v>
      </c>
      <c r="BK11" s="376">
        <v>491</v>
      </c>
      <c r="BL11" s="376">
        <v>477</v>
      </c>
      <c r="BM11" s="376">
        <f t="shared" si="377"/>
        <v>968</v>
      </c>
      <c r="BN11" s="376">
        <v>485</v>
      </c>
      <c r="BO11" s="376">
        <v>455</v>
      </c>
      <c r="BP11" s="376">
        <f t="shared" si="378"/>
        <v>940</v>
      </c>
      <c r="BQ11" s="376">
        <v>492</v>
      </c>
      <c r="BR11" s="376">
        <v>492</v>
      </c>
      <c r="BS11" s="376">
        <f t="shared" si="379"/>
        <v>984</v>
      </c>
      <c r="BT11" s="376">
        <v>514</v>
      </c>
      <c r="BU11" s="376">
        <v>476</v>
      </c>
      <c r="BV11" s="376">
        <f t="shared" si="380"/>
        <v>990</v>
      </c>
      <c r="BW11" s="376">
        <v>494</v>
      </c>
      <c r="BX11" s="376">
        <v>483</v>
      </c>
      <c r="BY11" s="376">
        <f t="shared" si="381"/>
        <v>977</v>
      </c>
      <c r="BZ11" s="376">
        <v>506</v>
      </c>
      <c r="CA11" s="376">
        <v>486</v>
      </c>
      <c r="CB11" s="376">
        <f t="shared" si="382"/>
        <v>992</v>
      </c>
      <c r="CC11" s="376">
        <v>498</v>
      </c>
      <c r="CD11" s="376">
        <v>492</v>
      </c>
      <c r="CE11" s="376">
        <f t="shared" si="383"/>
        <v>990</v>
      </c>
      <c r="CF11" s="376">
        <v>445</v>
      </c>
      <c r="CG11" s="376">
        <v>413</v>
      </c>
      <c r="CH11" s="376">
        <f t="shared" si="384"/>
        <v>858</v>
      </c>
      <c r="CI11" s="376">
        <v>507</v>
      </c>
      <c r="CJ11" s="376">
        <v>481</v>
      </c>
      <c r="CK11" s="376">
        <f t="shared" si="385"/>
        <v>988</v>
      </c>
      <c r="CL11" s="376">
        <v>498</v>
      </c>
      <c r="CM11" s="376">
        <v>474</v>
      </c>
      <c r="CN11" s="376">
        <f t="shared" si="386"/>
        <v>972</v>
      </c>
      <c r="CO11" s="376">
        <v>536</v>
      </c>
      <c r="CP11" s="376">
        <v>523</v>
      </c>
      <c r="CQ11" s="376">
        <f t="shared" si="387"/>
        <v>1059</v>
      </c>
      <c r="CR11" s="376">
        <v>475</v>
      </c>
      <c r="CS11" s="376">
        <v>565</v>
      </c>
      <c r="CT11" s="376">
        <f t="shared" si="388"/>
        <v>1040</v>
      </c>
      <c r="CU11" s="376">
        <v>521</v>
      </c>
      <c r="CV11" s="376">
        <v>494</v>
      </c>
      <c r="CW11" s="376">
        <f t="shared" si="389"/>
        <v>1015</v>
      </c>
      <c r="CX11" s="376">
        <v>514</v>
      </c>
      <c r="CY11" s="376">
        <v>491</v>
      </c>
      <c r="CZ11" s="376">
        <f t="shared" si="390"/>
        <v>1005</v>
      </c>
      <c r="DA11" s="376">
        <v>500</v>
      </c>
      <c r="DB11" s="376">
        <v>571</v>
      </c>
      <c r="DC11" s="376">
        <f t="shared" si="391"/>
        <v>1071</v>
      </c>
      <c r="DD11" s="376">
        <v>517</v>
      </c>
      <c r="DE11" s="376">
        <v>541</v>
      </c>
      <c r="DF11" s="376">
        <f t="shared" si="392"/>
        <v>1058</v>
      </c>
      <c r="DG11" s="376">
        <v>575</v>
      </c>
      <c r="DH11" s="376">
        <v>546</v>
      </c>
      <c r="DI11" s="376">
        <f t="shared" si="393"/>
        <v>1121</v>
      </c>
      <c r="DJ11" s="376">
        <v>509</v>
      </c>
      <c r="DK11" s="376">
        <v>531</v>
      </c>
      <c r="DL11" s="376">
        <f t="shared" si="394"/>
        <v>1040</v>
      </c>
      <c r="DM11" s="376">
        <v>522</v>
      </c>
      <c r="DN11" s="376">
        <v>486</v>
      </c>
      <c r="DO11" s="376">
        <f t="shared" si="395"/>
        <v>1008</v>
      </c>
      <c r="DP11" s="376">
        <v>554</v>
      </c>
      <c r="DQ11" s="376">
        <v>560</v>
      </c>
      <c r="DR11" s="376">
        <f t="shared" si="396"/>
        <v>1114</v>
      </c>
      <c r="DS11" s="376">
        <v>571</v>
      </c>
      <c r="DT11" s="376">
        <v>588</v>
      </c>
      <c r="DU11" s="376">
        <f t="shared" si="397"/>
        <v>1159</v>
      </c>
      <c r="DV11" s="376">
        <v>584</v>
      </c>
      <c r="DW11" s="376">
        <v>570</v>
      </c>
      <c r="DX11" s="376">
        <f t="shared" si="398"/>
        <v>1154</v>
      </c>
      <c r="DY11" s="376">
        <v>508</v>
      </c>
      <c r="DZ11" s="376">
        <v>477</v>
      </c>
      <c r="EA11" s="376">
        <f t="shared" si="399"/>
        <v>985</v>
      </c>
      <c r="EB11" s="376">
        <v>542</v>
      </c>
      <c r="EC11" s="376">
        <v>602</v>
      </c>
      <c r="ED11" s="376">
        <f t="shared" si="400"/>
        <v>1144</v>
      </c>
      <c r="EE11" s="376">
        <v>548</v>
      </c>
      <c r="EF11" s="376">
        <v>581</v>
      </c>
      <c r="EG11" s="376">
        <f t="shared" si="401"/>
        <v>1129</v>
      </c>
      <c r="EH11" s="376">
        <v>552</v>
      </c>
      <c r="EI11" s="376">
        <v>543</v>
      </c>
      <c r="EJ11" s="376">
        <f t="shared" si="402"/>
        <v>1095</v>
      </c>
      <c r="EK11" s="376">
        <v>524</v>
      </c>
      <c r="EL11" s="376">
        <v>569</v>
      </c>
      <c r="EM11" s="376">
        <f t="shared" si="403"/>
        <v>1093</v>
      </c>
      <c r="EN11" s="376">
        <v>489</v>
      </c>
      <c r="EO11" s="376">
        <v>499</v>
      </c>
      <c r="EP11" s="376">
        <f t="shared" si="404"/>
        <v>988</v>
      </c>
      <c r="EQ11" s="376">
        <v>435</v>
      </c>
      <c r="ER11" s="376">
        <v>462</v>
      </c>
      <c r="ES11" s="376">
        <f t="shared" si="405"/>
        <v>897</v>
      </c>
      <c r="ET11" s="376">
        <v>455</v>
      </c>
      <c r="EU11" s="376">
        <v>473</v>
      </c>
      <c r="EV11" s="376">
        <f t="shared" si="406"/>
        <v>928</v>
      </c>
      <c r="EW11" s="376">
        <v>464</v>
      </c>
      <c r="EX11" s="376">
        <v>463</v>
      </c>
      <c r="EY11" s="376">
        <f t="shared" si="407"/>
        <v>927</v>
      </c>
      <c r="EZ11" s="376">
        <v>398</v>
      </c>
      <c r="FA11" s="376">
        <v>432</v>
      </c>
      <c r="FB11" s="376">
        <f t="shared" si="408"/>
        <v>830</v>
      </c>
      <c r="FC11" s="376">
        <v>385</v>
      </c>
      <c r="FD11" s="376">
        <v>369</v>
      </c>
      <c r="FE11" s="376">
        <f t="shared" si="409"/>
        <v>754</v>
      </c>
      <c r="FF11" s="376">
        <v>378</v>
      </c>
      <c r="FG11" s="376">
        <v>396</v>
      </c>
      <c r="FH11" s="376">
        <f t="shared" si="410"/>
        <v>774</v>
      </c>
      <c r="FI11" s="376">
        <v>351</v>
      </c>
      <c r="FJ11" s="376">
        <v>347</v>
      </c>
      <c r="FK11" s="376">
        <f t="shared" si="411"/>
        <v>698</v>
      </c>
      <c r="FL11" s="376">
        <v>337</v>
      </c>
      <c r="FM11" s="376">
        <v>342</v>
      </c>
      <c r="FN11" s="376">
        <f t="shared" si="412"/>
        <v>679</v>
      </c>
      <c r="FO11" s="376">
        <v>339</v>
      </c>
      <c r="FP11" s="376">
        <v>402</v>
      </c>
      <c r="FQ11" s="376">
        <f t="shared" si="413"/>
        <v>741</v>
      </c>
      <c r="FR11" s="376">
        <v>307</v>
      </c>
      <c r="FS11" s="376">
        <v>343</v>
      </c>
      <c r="FT11" s="376">
        <f t="shared" si="414"/>
        <v>650</v>
      </c>
      <c r="FU11" s="376">
        <v>291</v>
      </c>
      <c r="FV11" s="376">
        <v>336</v>
      </c>
      <c r="FW11" s="376">
        <f t="shared" si="415"/>
        <v>627</v>
      </c>
      <c r="FX11" s="376">
        <v>277</v>
      </c>
      <c r="FY11" s="376">
        <v>305</v>
      </c>
      <c r="FZ11" s="376">
        <f t="shared" si="416"/>
        <v>582</v>
      </c>
      <c r="GA11" s="376">
        <v>256</v>
      </c>
      <c r="GB11" s="376">
        <v>366</v>
      </c>
      <c r="GC11" s="376">
        <f t="shared" si="417"/>
        <v>622</v>
      </c>
      <c r="GD11" s="376">
        <v>245</v>
      </c>
      <c r="GE11" s="376">
        <v>309</v>
      </c>
      <c r="GF11" s="376">
        <f t="shared" si="418"/>
        <v>554</v>
      </c>
      <c r="GG11" s="376">
        <v>251</v>
      </c>
      <c r="GH11" s="376">
        <v>320</v>
      </c>
      <c r="GI11" s="376">
        <f t="shared" si="419"/>
        <v>571</v>
      </c>
      <c r="GJ11" s="376">
        <v>248</v>
      </c>
      <c r="GK11" s="376">
        <v>344</v>
      </c>
      <c r="GL11" s="376">
        <f t="shared" si="420"/>
        <v>592</v>
      </c>
      <c r="GM11" s="376">
        <v>243</v>
      </c>
      <c r="GN11" s="376">
        <v>317</v>
      </c>
      <c r="GO11" s="376">
        <f t="shared" si="421"/>
        <v>560</v>
      </c>
      <c r="GP11" s="376">
        <v>225</v>
      </c>
      <c r="GQ11" s="376">
        <v>307</v>
      </c>
      <c r="GR11" s="376">
        <f t="shared" si="422"/>
        <v>532</v>
      </c>
      <c r="GS11" s="376">
        <v>238</v>
      </c>
      <c r="GT11" s="376">
        <v>277</v>
      </c>
      <c r="GU11" s="376">
        <f t="shared" si="423"/>
        <v>515</v>
      </c>
      <c r="GV11" s="376">
        <v>218</v>
      </c>
      <c r="GW11" s="376">
        <v>301</v>
      </c>
      <c r="GX11" s="376">
        <f t="shared" si="424"/>
        <v>519</v>
      </c>
      <c r="GY11" s="376">
        <v>203</v>
      </c>
      <c r="GZ11" s="376">
        <v>242</v>
      </c>
      <c r="HA11" s="376">
        <f t="shared" si="425"/>
        <v>445</v>
      </c>
      <c r="HB11" s="376">
        <v>193</v>
      </c>
      <c r="HC11" s="376">
        <v>210</v>
      </c>
      <c r="HD11" s="376">
        <f t="shared" si="426"/>
        <v>403</v>
      </c>
      <c r="HE11" s="376">
        <v>206</v>
      </c>
      <c r="HF11" s="376">
        <v>199</v>
      </c>
      <c r="HG11" s="376">
        <f t="shared" si="427"/>
        <v>405</v>
      </c>
      <c r="HH11" s="376">
        <v>154</v>
      </c>
      <c r="HI11" s="376">
        <v>172</v>
      </c>
      <c r="HJ11" s="376">
        <f t="shared" si="428"/>
        <v>326</v>
      </c>
      <c r="HK11" s="376">
        <v>143</v>
      </c>
      <c r="HL11" s="376">
        <v>162</v>
      </c>
      <c r="HM11" s="376">
        <f t="shared" si="429"/>
        <v>305</v>
      </c>
      <c r="HN11" s="376">
        <v>140</v>
      </c>
      <c r="HO11" s="376">
        <v>112</v>
      </c>
      <c r="HP11" s="376">
        <f t="shared" si="430"/>
        <v>252</v>
      </c>
      <c r="HQ11" s="376">
        <v>97</v>
      </c>
      <c r="HR11" s="376">
        <v>89</v>
      </c>
      <c r="HS11" s="376">
        <f t="shared" si="431"/>
        <v>186</v>
      </c>
      <c r="HT11" s="376">
        <v>88</v>
      </c>
      <c r="HU11" s="376">
        <v>82</v>
      </c>
      <c r="HV11" s="376">
        <f t="shared" si="432"/>
        <v>170</v>
      </c>
      <c r="HW11" s="376">
        <v>67</v>
      </c>
      <c r="HX11" s="376">
        <v>84</v>
      </c>
      <c r="HY11" s="376">
        <f t="shared" si="433"/>
        <v>151</v>
      </c>
      <c r="HZ11" s="376">
        <v>64</v>
      </c>
      <c r="IA11" s="376">
        <v>67</v>
      </c>
      <c r="IB11" s="376">
        <f t="shared" si="434"/>
        <v>131</v>
      </c>
      <c r="IC11" s="376">
        <v>50</v>
      </c>
      <c r="ID11" s="376">
        <v>41</v>
      </c>
      <c r="IE11" s="376">
        <f t="shared" si="435"/>
        <v>91</v>
      </c>
      <c r="IF11" s="376">
        <v>34</v>
      </c>
      <c r="IG11" s="376">
        <v>33</v>
      </c>
      <c r="IH11" s="376">
        <f t="shared" si="436"/>
        <v>67</v>
      </c>
      <c r="II11" s="376">
        <v>32</v>
      </c>
      <c r="IJ11" s="376">
        <v>51</v>
      </c>
      <c r="IK11" s="376">
        <f t="shared" si="437"/>
        <v>83</v>
      </c>
      <c r="IL11" s="376">
        <v>28</v>
      </c>
      <c r="IM11" s="376">
        <v>34</v>
      </c>
      <c r="IN11" s="376">
        <f t="shared" si="438"/>
        <v>62</v>
      </c>
      <c r="IO11" s="376">
        <v>22</v>
      </c>
      <c r="IP11" s="376">
        <v>17</v>
      </c>
      <c r="IQ11" s="376">
        <f t="shared" si="439"/>
        <v>39</v>
      </c>
      <c r="IR11" s="376">
        <v>24</v>
      </c>
      <c r="IS11" s="376">
        <v>30</v>
      </c>
      <c r="IT11" s="376">
        <f t="shared" si="440"/>
        <v>54</v>
      </c>
      <c r="IU11" s="376">
        <v>21</v>
      </c>
      <c r="IV11" s="376">
        <v>26</v>
      </c>
      <c r="IW11" s="376">
        <f t="shared" si="441"/>
        <v>47</v>
      </c>
      <c r="IX11" s="376">
        <v>7</v>
      </c>
      <c r="IY11" s="376">
        <v>15</v>
      </c>
      <c r="IZ11" s="376">
        <f t="shared" si="442"/>
        <v>22</v>
      </c>
      <c r="JA11" s="376">
        <v>12</v>
      </c>
      <c r="JB11" s="376">
        <v>16</v>
      </c>
      <c r="JC11" s="376">
        <f t="shared" si="443"/>
        <v>28</v>
      </c>
      <c r="JD11" s="376">
        <v>4</v>
      </c>
      <c r="JE11" s="376">
        <v>14</v>
      </c>
      <c r="JF11" s="376">
        <f t="shared" si="444"/>
        <v>18</v>
      </c>
      <c r="JG11" s="376">
        <v>2</v>
      </c>
      <c r="JH11" s="376">
        <v>12</v>
      </c>
      <c r="JI11" s="376">
        <f t="shared" si="445"/>
        <v>14</v>
      </c>
      <c r="JJ11" s="376">
        <v>6</v>
      </c>
      <c r="JK11" s="376">
        <v>6</v>
      </c>
      <c r="JL11" s="376">
        <f t="shared" si="446"/>
        <v>12</v>
      </c>
      <c r="JM11" s="376">
        <v>1</v>
      </c>
      <c r="JN11" s="376">
        <v>12</v>
      </c>
      <c r="JO11" s="376">
        <f t="shared" si="447"/>
        <v>13</v>
      </c>
      <c r="JP11" s="376">
        <v>2</v>
      </c>
      <c r="JQ11" s="376">
        <v>11</v>
      </c>
      <c r="JR11" s="376">
        <f t="shared" si="448"/>
        <v>13</v>
      </c>
      <c r="JS11" s="376">
        <v>3</v>
      </c>
      <c r="JT11" s="376">
        <v>5</v>
      </c>
      <c r="JU11" s="376">
        <f t="shared" si="449"/>
        <v>8</v>
      </c>
      <c r="JV11" s="376">
        <v>4</v>
      </c>
      <c r="JW11" s="376">
        <v>3</v>
      </c>
      <c r="JX11" s="376">
        <f t="shared" si="450"/>
        <v>7</v>
      </c>
      <c r="JY11" s="376">
        <v>1</v>
      </c>
      <c r="JZ11" s="376">
        <v>2</v>
      </c>
      <c r="KA11" s="376">
        <f t="shared" si="451"/>
        <v>3</v>
      </c>
      <c r="KB11" s="376">
        <v>1</v>
      </c>
      <c r="KC11" s="376">
        <v>0</v>
      </c>
      <c r="KD11" s="376">
        <f t="shared" si="452"/>
        <v>1</v>
      </c>
      <c r="KE11" s="376">
        <v>2</v>
      </c>
      <c r="KF11" s="376">
        <v>0</v>
      </c>
      <c r="KG11" s="376">
        <f t="shared" si="453"/>
        <v>2</v>
      </c>
      <c r="KH11" s="376">
        <v>0</v>
      </c>
      <c r="KI11" s="376">
        <v>1</v>
      </c>
      <c r="KJ11" s="376">
        <f t="shared" si="454"/>
        <v>1</v>
      </c>
      <c r="KK11" s="376">
        <v>0</v>
      </c>
      <c r="KL11" s="376">
        <v>0</v>
      </c>
      <c r="KM11" s="376">
        <f t="shared" si="455"/>
        <v>0</v>
      </c>
      <c r="KN11" s="376">
        <v>0</v>
      </c>
      <c r="KO11" s="376">
        <v>0</v>
      </c>
      <c r="KP11" s="376">
        <f t="shared" si="456"/>
        <v>0</v>
      </c>
      <c r="KQ11" s="376">
        <v>0</v>
      </c>
      <c r="KR11" s="376">
        <v>0</v>
      </c>
      <c r="KS11" s="376">
        <f t="shared" si="457"/>
        <v>0</v>
      </c>
      <c r="KT11" s="376">
        <v>1</v>
      </c>
      <c r="KU11" s="376">
        <v>0</v>
      </c>
      <c r="KV11" s="376">
        <f t="shared" si="458"/>
        <v>1</v>
      </c>
      <c r="KW11" s="376">
        <v>0</v>
      </c>
      <c r="KX11" s="376">
        <v>0</v>
      </c>
      <c r="KY11" s="376">
        <f t="shared" si="459"/>
        <v>0</v>
      </c>
      <c r="KZ11" s="376">
        <v>0</v>
      </c>
      <c r="LA11" s="376">
        <v>0</v>
      </c>
      <c r="LB11" s="376">
        <f t="shared" si="460"/>
        <v>0</v>
      </c>
      <c r="LC11" s="376">
        <v>0</v>
      </c>
      <c r="LD11" s="376">
        <v>0</v>
      </c>
      <c r="LE11" s="376">
        <f t="shared" si="461"/>
        <v>0</v>
      </c>
      <c r="LF11" s="376">
        <v>0</v>
      </c>
      <c r="LG11" s="376">
        <v>0</v>
      </c>
      <c r="LH11" s="376">
        <f t="shared" si="462"/>
        <v>0</v>
      </c>
      <c r="LI11" s="376">
        <v>0</v>
      </c>
      <c r="LJ11" s="376">
        <v>0</v>
      </c>
      <c r="LK11" s="376">
        <f t="shared" si="463"/>
        <v>0</v>
      </c>
      <c r="LL11" s="376">
        <v>0</v>
      </c>
      <c r="LM11" s="376">
        <v>0</v>
      </c>
      <c r="LN11" s="376">
        <f t="shared" si="464"/>
        <v>0</v>
      </c>
      <c r="LO11" s="376">
        <v>0</v>
      </c>
      <c r="LP11" s="376">
        <v>0</v>
      </c>
      <c r="LQ11" s="376">
        <f t="shared" si="465"/>
        <v>0</v>
      </c>
      <c r="LR11" s="376">
        <v>0</v>
      </c>
      <c r="LS11" s="376">
        <v>0</v>
      </c>
      <c r="LT11" s="376">
        <f t="shared" si="466"/>
        <v>0</v>
      </c>
      <c r="LU11" s="376">
        <v>0</v>
      </c>
      <c r="LV11" s="376">
        <v>0</v>
      </c>
      <c r="LW11" s="376">
        <f t="shared" si="467"/>
        <v>0</v>
      </c>
      <c r="LX11" s="376">
        <v>0</v>
      </c>
      <c r="LY11" s="376">
        <v>0</v>
      </c>
      <c r="LZ11" s="376">
        <f t="shared" si="468"/>
        <v>0</v>
      </c>
      <c r="MA11" s="376">
        <v>0</v>
      </c>
      <c r="MB11" s="376">
        <v>0</v>
      </c>
      <c r="MC11" s="376">
        <f t="shared" si="469"/>
        <v>0</v>
      </c>
      <c r="MD11" s="376">
        <v>0</v>
      </c>
      <c r="ME11" s="376">
        <v>0</v>
      </c>
      <c r="MF11" s="376">
        <f t="shared" si="470"/>
        <v>0</v>
      </c>
      <c r="MG11" s="376">
        <v>0</v>
      </c>
      <c r="MH11" s="376">
        <v>0</v>
      </c>
      <c r="MI11" s="376">
        <f t="shared" si="471"/>
        <v>0</v>
      </c>
      <c r="MJ11" s="376">
        <v>0</v>
      </c>
      <c r="MK11" s="376">
        <v>0</v>
      </c>
      <c r="ML11" s="376">
        <f t="shared" si="472"/>
        <v>0</v>
      </c>
      <c r="MM11" s="376">
        <v>0</v>
      </c>
      <c r="MN11" s="376">
        <v>0</v>
      </c>
      <c r="MO11" s="376">
        <f t="shared" si="473"/>
        <v>0</v>
      </c>
      <c r="MP11" s="376">
        <v>0</v>
      </c>
      <c r="MQ11" s="376">
        <v>0</v>
      </c>
      <c r="MR11" s="376">
        <f t="shared" si="474"/>
        <v>0</v>
      </c>
      <c r="MS11" s="376">
        <v>0</v>
      </c>
      <c r="MT11" s="376">
        <v>0</v>
      </c>
      <c r="MU11" s="376">
        <f t="shared" si="475"/>
        <v>0</v>
      </c>
      <c r="MV11" s="376">
        <v>0</v>
      </c>
      <c r="MW11" s="376">
        <v>0</v>
      </c>
      <c r="MX11" s="376">
        <f t="shared" si="476"/>
        <v>0</v>
      </c>
      <c r="MY11" s="376">
        <v>0</v>
      </c>
      <c r="MZ11" s="376">
        <v>0</v>
      </c>
      <c r="NA11" s="545">
        <f t="shared" si="477"/>
        <v>0</v>
      </c>
      <c r="NB11" s="376">
        <v>0</v>
      </c>
      <c r="NC11" s="376">
        <v>0</v>
      </c>
      <c r="ND11" s="543">
        <f t="shared" si="478"/>
        <v>0</v>
      </c>
      <c r="NE11" s="542">
        <f t="shared" si="479"/>
        <v>32963</v>
      </c>
      <c r="NF11" s="376">
        <f t="shared" si="479"/>
        <v>33420</v>
      </c>
      <c r="NG11" s="543">
        <f t="shared" si="480"/>
        <v>66383</v>
      </c>
      <c r="NH11" s="542">
        <f t="shared" si="481"/>
        <v>2510</v>
      </c>
      <c r="NI11" s="376">
        <f t="shared" si="481"/>
        <v>2312</v>
      </c>
      <c r="NJ11" s="543">
        <f t="shared" si="482"/>
        <v>4822</v>
      </c>
    </row>
    <row r="12" spans="1:374" x14ac:dyDescent="0.3">
      <c r="A12" s="541" t="s">
        <v>255</v>
      </c>
      <c r="B12" s="589" t="s">
        <v>23</v>
      </c>
      <c r="C12" s="544">
        <v>293</v>
      </c>
      <c r="D12" s="376">
        <v>244</v>
      </c>
      <c r="E12" s="376">
        <f t="shared" si="357"/>
        <v>537</v>
      </c>
      <c r="F12" s="376">
        <v>380</v>
      </c>
      <c r="G12" s="376">
        <v>307</v>
      </c>
      <c r="H12" s="376">
        <f t="shared" si="358"/>
        <v>687</v>
      </c>
      <c r="I12" s="376">
        <v>406</v>
      </c>
      <c r="J12" s="376">
        <v>442</v>
      </c>
      <c r="K12" s="376">
        <f t="shared" si="359"/>
        <v>848</v>
      </c>
      <c r="L12" s="376">
        <v>504</v>
      </c>
      <c r="M12" s="376">
        <v>497</v>
      </c>
      <c r="N12" s="376">
        <f t="shared" si="360"/>
        <v>1001</v>
      </c>
      <c r="O12" s="376">
        <v>567</v>
      </c>
      <c r="P12" s="376">
        <v>509</v>
      </c>
      <c r="Q12" s="376">
        <f t="shared" si="361"/>
        <v>1076</v>
      </c>
      <c r="R12" s="376">
        <v>549</v>
      </c>
      <c r="S12" s="376">
        <v>542</v>
      </c>
      <c r="T12" s="376">
        <f t="shared" si="362"/>
        <v>1091</v>
      </c>
      <c r="U12" s="376">
        <v>635</v>
      </c>
      <c r="V12" s="376">
        <v>583</v>
      </c>
      <c r="W12" s="376">
        <f t="shared" si="363"/>
        <v>1218</v>
      </c>
      <c r="X12" s="376">
        <v>636</v>
      </c>
      <c r="Y12" s="376">
        <v>595</v>
      </c>
      <c r="Z12" s="376">
        <f t="shared" si="364"/>
        <v>1231</v>
      </c>
      <c r="AA12" s="376">
        <v>599</v>
      </c>
      <c r="AB12" s="376">
        <v>572</v>
      </c>
      <c r="AC12" s="376">
        <f t="shared" si="365"/>
        <v>1171</v>
      </c>
      <c r="AD12" s="376">
        <v>609</v>
      </c>
      <c r="AE12" s="376">
        <v>552</v>
      </c>
      <c r="AF12" s="376">
        <f t="shared" si="366"/>
        <v>1161</v>
      </c>
      <c r="AG12" s="376">
        <v>618</v>
      </c>
      <c r="AH12" s="376">
        <v>555</v>
      </c>
      <c r="AI12" s="376">
        <f t="shared" si="367"/>
        <v>1173</v>
      </c>
      <c r="AJ12" s="376">
        <v>595</v>
      </c>
      <c r="AK12" s="376">
        <v>533</v>
      </c>
      <c r="AL12" s="376">
        <f t="shared" si="368"/>
        <v>1128</v>
      </c>
      <c r="AM12" s="376">
        <v>543</v>
      </c>
      <c r="AN12" s="376">
        <v>514</v>
      </c>
      <c r="AO12" s="376">
        <f t="shared" si="369"/>
        <v>1057</v>
      </c>
      <c r="AP12" s="376">
        <v>596</v>
      </c>
      <c r="AQ12" s="376">
        <v>538</v>
      </c>
      <c r="AR12" s="376">
        <f t="shared" si="370"/>
        <v>1134</v>
      </c>
      <c r="AS12" s="376">
        <v>554</v>
      </c>
      <c r="AT12" s="376">
        <v>569</v>
      </c>
      <c r="AU12" s="376">
        <f t="shared" si="371"/>
        <v>1123</v>
      </c>
      <c r="AV12" s="376">
        <v>526</v>
      </c>
      <c r="AW12" s="376">
        <v>481</v>
      </c>
      <c r="AX12" s="376">
        <f t="shared" si="372"/>
        <v>1007</v>
      </c>
      <c r="AY12" s="376">
        <v>536</v>
      </c>
      <c r="AZ12" s="376">
        <v>516</v>
      </c>
      <c r="BA12" s="376">
        <f t="shared" si="373"/>
        <v>1052</v>
      </c>
      <c r="BB12" s="376">
        <v>477</v>
      </c>
      <c r="BC12" s="376">
        <v>443</v>
      </c>
      <c r="BD12" s="376">
        <f t="shared" si="374"/>
        <v>920</v>
      </c>
      <c r="BE12" s="376">
        <v>517</v>
      </c>
      <c r="BF12" s="376">
        <v>442</v>
      </c>
      <c r="BG12" s="376">
        <f t="shared" si="375"/>
        <v>959</v>
      </c>
      <c r="BH12" s="376">
        <v>494</v>
      </c>
      <c r="BI12" s="376">
        <v>483</v>
      </c>
      <c r="BJ12" s="376">
        <f t="shared" si="376"/>
        <v>977</v>
      </c>
      <c r="BK12" s="376">
        <v>492</v>
      </c>
      <c r="BL12" s="376">
        <v>479</v>
      </c>
      <c r="BM12" s="376">
        <f t="shared" si="377"/>
        <v>971</v>
      </c>
      <c r="BN12" s="376">
        <v>468</v>
      </c>
      <c r="BO12" s="376">
        <v>467</v>
      </c>
      <c r="BP12" s="376">
        <f t="shared" si="378"/>
        <v>935</v>
      </c>
      <c r="BQ12" s="376">
        <v>506</v>
      </c>
      <c r="BR12" s="376">
        <v>437</v>
      </c>
      <c r="BS12" s="376">
        <f t="shared" si="379"/>
        <v>943</v>
      </c>
      <c r="BT12" s="376">
        <v>491</v>
      </c>
      <c r="BU12" s="376">
        <v>487</v>
      </c>
      <c r="BV12" s="376">
        <f t="shared" si="380"/>
        <v>978</v>
      </c>
      <c r="BW12" s="376">
        <v>503</v>
      </c>
      <c r="BX12" s="376">
        <v>468</v>
      </c>
      <c r="BY12" s="376">
        <f t="shared" si="381"/>
        <v>971</v>
      </c>
      <c r="BZ12" s="376">
        <v>480</v>
      </c>
      <c r="CA12" s="376">
        <v>491</v>
      </c>
      <c r="CB12" s="376">
        <f t="shared" si="382"/>
        <v>971</v>
      </c>
      <c r="CC12" s="376">
        <v>593</v>
      </c>
      <c r="CD12" s="376">
        <v>531</v>
      </c>
      <c r="CE12" s="376">
        <f t="shared" si="383"/>
        <v>1124</v>
      </c>
      <c r="CF12" s="376">
        <v>476</v>
      </c>
      <c r="CG12" s="376">
        <v>484</v>
      </c>
      <c r="CH12" s="376">
        <f t="shared" si="384"/>
        <v>960</v>
      </c>
      <c r="CI12" s="376">
        <v>498</v>
      </c>
      <c r="CJ12" s="376">
        <v>550</v>
      </c>
      <c r="CK12" s="376">
        <f t="shared" si="385"/>
        <v>1048</v>
      </c>
      <c r="CL12" s="376">
        <v>536</v>
      </c>
      <c r="CM12" s="376">
        <v>485</v>
      </c>
      <c r="CN12" s="376">
        <f t="shared" si="386"/>
        <v>1021</v>
      </c>
      <c r="CO12" s="376">
        <v>539</v>
      </c>
      <c r="CP12" s="376">
        <v>585</v>
      </c>
      <c r="CQ12" s="376">
        <f t="shared" si="387"/>
        <v>1124</v>
      </c>
      <c r="CR12" s="376">
        <v>579</v>
      </c>
      <c r="CS12" s="376">
        <v>575</v>
      </c>
      <c r="CT12" s="376">
        <f t="shared" si="388"/>
        <v>1154</v>
      </c>
      <c r="CU12" s="376">
        <v>517</v>
      </c>
      <c r="CV12" s="376">
        <v>614</v>
      </c>
      <c r="CW12" s="376">
        <f t="shared" si="389"/>
        <v>1131</v>
      </c>
      <c r="CX12" s="376">
        <v>560</v>
      </c>
      <c r="CY12" s="376">
        <v>549</v>
      </c>
      <c r="CZ12" s="376">
        <f t="shared" si="390"/>
        <v>1109</v>
      </c>
      <c r="DA12" s="376">
        <v>609</v>
      </c>
      <c r="DB12" s="376">
        <v>601</v>
      </c>
      <c r="DC12" s="376">
        <f t="shared" si="391"/>
        <v>1210</v>
      </c>
      <c r="DD12" s="376">
        <v>553</v>
      </c>
      <c r="DE12" s="376">
        <v>581</v>
      </c>
      <c r="DF12" s="376">
        <f t="shared" si="392"/>
        <v>1134</v>
      </c>
      <c r="DG12" s="376">
        <v>598</v>
      </c>
      <c r="DH12" s="376">
        <v>634</v>
      </c>
      <c r="DI12" s="376">
        <f t="shared" si="393"/>
        <v>1232</v>
      </c>
      <c r="DJ12" s="376">
        <v>547</v>
      </c>
      <c r="DK12" s="376">
        <v>533</v>
      </c>
      <c r="DL12" s="376">
        <f t="shared" si="394"/>
        <v>1080</v>
      </c>
      <c r="DM12" s="376">
        <v>522</v>
      </c>
      <c r="DN12" s="376">
        <v>473</v>
      </c>
      <c r="DO12" s="376">
        <f t="shared" si="395"/>
        <v>995</v>
      </c>
      <c r="DP12" s="376">
        <v>504</v>
      </c>
      <c r="DQ12" s="376">
        <v>514</v>
      </c>
      <c r="DR12" s="376">
        <f t="shared" si="396"/>
        <v>1018</v>
      </c>
      <c r="DS12" s="376">
        <v>573</v>
      </c>
      <c r="DT12" s="376">
        <v>545</v>
      </c>
      <c r="DU12" s="376">
        <f t="shared" si="397"/>
        <v>1118</v>
      </c>
      <c r="DV12" s="376">
        <v>586</v>
      </c>
      <c r="DW12" s="376">
        <v>511</v>
      </c>
      <c r="DX12" s="376">
        <f t="shared" si="398"/>
        <v>1097</v>
      </c>
      <c r="DY12" s="376">
        <v>528</v>
      </c>
      <c r="DZ12" s="376">
        <v>516</v>
      </c>
      <c r="EA12" s="376">
        <f t="shared" si="399"/>
        <v>1044</v>
      </c>
      <c r="EB12" s="376">
        <v>534</v>
      </c>
      <c r="EC12" s="376">
        <v>602</v>
      </c>
      <c r="ED12" s="376">
        <f t="shared" si="400"/>
        <v>1136</v>
      </c>
      <c r="EE12" s="376">
        <v>582</v>
      </c>
      <c r="EF12" s="376">
        <v>550</v>
      </c>
      <c r="EG12" s="376">
        <f t="shared" si="401"/>
        <v>1132</v>
      </c>
      <c r="EH12" s="376">
        <v>548</v>
      </c>
      <c r="EI12" s="376">
        <v>517</v>
      </c>
      <c r="EJ12" s="376">
        <f t="shared" si="402"/>
        <v>1065</v>
      </c>
      <c r="EK12" s="376">
        <v>521</v>
      </c>
      <c r="EL12" s="376">
        <v>553</v>
      </c>
      <c r="EM12" s="376">
        <f t="shared" si="403"/>
        <v>1074</v>
      </c>
      <c r="EN12" s="376">
        <v>462</v>
      </c>
      <c r="EO12" s="376">
        <v>454</v>
      </c>
      <c r="EP12" s="376">
        <f t="shared" si="404"/>
        <v>916</v>
      </c>
      <c r="EQ12" s="376">
        <v>466</v>
      </c>
      <c r="ER12" s="376">
        <v>442</v>
      </c>
      <c r="ES12" s="376">
        <f t="shared" si="405"/>
        <v>908</v>
      </c>
      <c r="ET12" s="376">
        <v>450</v>
      </c>
      <c r="EU12" s="376">
        <v>448</v>
      </c>
      <c r="EV12" s="376">
        <f t="shared" si="406"/>
        <v>898</v>
      </c>
      <c r="EW12" s="376">
        <v>416</v>
      </c>
      <c r="EX12" s="376">
        <v>436</v>
      </c>
      <c r="EY12" s="376">
        <f t="shared" si="407"/>
        <v>852</v>
      </c>
      <c r="EZ12" s="376">
        <v>417</v>
      </c>
      <c r="FA12" s="376">
        <v>421</v>
      </c>
      <c r="FB12" s="376">
        <f t="shared" si="408"/>
        <v>838</v>
      </c>
      <c r="FC12" s="376">
        <v>377</v>
      </c>
      <c r="FD12" s="376">
        <v>393</v>
      </c>
      <c r="FE12" s="376">
        <f t="shared" si="409"/>
        <v>770</v>
      </c>
      <c r="FF12" s="376">
        <v>367</v>
      </c>
      <c r="FG12" s="376">
        <v>386</v>
      </c>
      <c r="FH12" s="376">
        <f t="shared" si="410"/>
        <v>753</v>
      </c>
      <c r="FI12" s="376">
        <v>354</v>
      </c>
      <c r="FJ12" s="376">
        <v>356</v>
      </c>
      <c r="FK12" s="376">
        <f t="shared" si="411"/>
        <v>710</v>
      </c>
      <c r="FL12" s="376">
        <v>314</v>
      </c>
      <c r="FM12" s="376">
        <v>359</v>
      </c>
      <c r="FN12" s="376">
        <f t="shared" si="412"/>
        <v>673</v>
      </c>
      <c r="FO12" s="376">
        <v>326</v>
      </c>
      <c r="FP12" s="376">
        <v>353</v>
      </c>
      <c r="FQ12" s="376">
        <f t="shared" si="413"/>
        <v>679</v>
      </c>
      <c r="FR12" s="376">
        <v>324</v>
      </c>
      <c r="FS12" s="376">
        <v>334</v>
      </c>
      <c r="FT12" s="376">
        <f t="shared" si="414"/>
        <v>658</v>
      </c>
      <c r="FU12" s="376">
        <v>274</v>
      </c>
      <c r="FV12" s="376">
        <v>331</v>
      </c>
      <c r="FW12" s="376">
        <f t="shared" si="415"/>
        <v>605</v>
      </c>
      <c r="FX12" s="376">
        <v>208</v>
      </c>
      <c r="FY12" s="376">
        <v>310</v>
      </c>
      <c r="FZ12" s="376">
        <f t="shared" si="416"/>
        <v>518</v>
      </c>
      <c r="GA12" s="376">
        <v>256</v>
      </c>
      <c r="GB12" s="376">
        <v>334</v>
      </c>
      <c r="GC12" s="376">
        <f t="shared" si="417"/>
        <v>590</v>
      </c>
      <c r="GD12" s="376">
        <v>259</v>
      </c>
      <c r="GE12" s="376">
        <v>377</v>
      </c>
      <c r="GF12" s="376">
        <f t="shared" si="418"/>
        <v>636</v>
      </c>
      <c r="GG12" s="376">
        <v>232</v>
      </c>
      <c r="GH12" s="376">
        <v>323</v>
      </c>
      <c r="GI12" s="376">
        <f t="shared" si="419"/>
        <v>555</v>
      </c>
      <c r="GJ12" s="376">
        <v>258</v>
      </c>
      <c r="GK12" s="376">
        <v>339</v>
      </c>
      <c r="GL12" s="376">
        <f t="shared" si="420"/>
        <v>597</v>
      </c>
      <c r="GM12" s="376">
        <v>248</v>
      </c>
      <c r="GN12" s="376">
        <v>286</v>
      </c>
      <c r="GO12" s="376">
        <f t="shared" si="421"/>
        <v>534</v>
      </c>
      <c r="GP12" s="376">
        <v>234</v>
      </c>
      <c r="GQ12" s="376">
        <v>282</v>
      </c>
      <c r="GR12" s="376">
        <f t="shared" si="422"/>
        <v>516</v>
      </c>
      <c r="GS12" s="376">
        <v>248</v>
      </c>
      <c r="GT12" s="376">
        <v>306</v>
      </c>
      <c r="GU12" s="376">
        <f t="shared" si="423"/>
        <v>554</v>
      </c>
      <c r="GV12" s="376">
        <v>214</v>
      </c>
      <c r="GW12" s="376">
        <v>235</v>
      </c>
      <c r="GX12" s="376">
        <f t="shared" si="424"/>
        <v>449</v>
      </c>
      <c r="GY12" s="376">
        <v>227</v>
      </c>
      <c r="GZ12" s="376">
        <v>204</v>
      </c>
      <c r="HA12" s="376">
        <f t="shared" si="425"/>
        <v>431</v>
      </c>
      <c r="HB12" s="376">
        <v>190</v>
      </c>
      <c r="HC12" s="376">
        <v>185</v>
      </c>
      <c r="HD12" s="376">
        <f t="shared" si="426"/>
        <v>375</v>
      </c>
      <c r="HE12" s="376">
        <v>180</v>
      </c>
      <c r="HF12" s="376">
        <v>177</v>
      </c>
      <c r="HG12" s="376">
        <f t="shared" si="427"/>
        <v>357</v>
      </c>
      <c r="HH12" s="376">
        <v>157</v>
      </c>
      <c r="HI12" s="376">
        <v>159</v>
      </c>
      <c r="HJ12" s="376">
        <f t="shared" si="428"/>
        <v>316</v>
      </c>
      <c r="HK12" s="376">
        <v>160</v>
      </c>
      <c r="HL12" s="376">
        <v>135</v>
      </c>
      <c r="HM12" s="376">
        <f t="shared" si="429"/>
        <v>295</v>
      </c>
      <c r="HN12" s="376">
        <v>125</v>
      </c>
      <c r="HO12" s="376">
        <v>98</v>
      </c>
      <c r="HP12" s="376">
        <f t="shared" si="430"/>
        <v>223</v>
      </c>
      <c r="HQ12" s="376">
        <v>104</v>
      </c>
      <c r="HR12" s="376">
        <v>79</v>
      </c>
      <c r="HS12" s="376">
        <f t="shared" si="431"/>
        <v>183</v>
      </c>
      <c r="HT12" s="376">
        <v>87</v>
      </c>
      <c r="HU12" s="376">
        <v>81</v>
      </c>
      <c r="HV12" s="376">
        <f t="shared" si="432"/>
        <v>168</v>
      </c>
      <c r="HW12" s="376">
        <v>64</v>
      </c>
      <c r="HX12" s="376">
        <v>80</v>
      </c>
      <c r="HY12" s="376">
        <f t="shared" si="433"/>
        <v>144</v>
      </c>
      <c r="HZ12" s="376">
        <v>59</v>
      </c>
      <c r="IA12" s="376">
        <v>73</v>
      </c>
      <c r="IB12" s="376">
        <f t="shared" si="434"/>
        <v>132</v>
      </c>
      <c r="IC12" s="376">
        <v>60</v>
      </c>
      <c r="ID12" s="376">
        <v>34</v>
      </c>
      <c r="IE12" s="376">
        <f t="shared" si="435"/>
        <v>94</v>
      </c>
      <c r="IF12" s="376">
        <v>39</v>
      </c>
      <c r="IG12" s="376">
        <v>33</v>
      </c>
      <c r="IH12" s="376">
        <f t="shared" si="436"/>
        <v>72</v>
      </c>
      <c r="II12" s="376">
        <v>34</v>
      </c>
      <c r="IJ12" s="376">
        <v>27</v>
      </c>
      <c r="IK12" s="376">
        <f t="shared" si="437"/>
        <v>61</v>
      </c>
      <c r="IL12" s="376">
        <v>29</v>
      </c>
      <c r="IM12" s="376">
        <v>36</v>
      </c>
      <c r="IN12" s="376">
        <f t="shared" si="438"/>
        <v>65</v>
      </c>
      <c r="IO12" s="376">
        <v>29</v>
      </c>
      <c r="IP12" s="376">
        <v>22</v>
      </c>
      <c r="IQ12" s="376">
        <f t="shared" si="439"/>
        <v>51</v>
      </c>
      <c r="IR12" s="376">
        <v>23</v>
      </c>
      <c r="IS12" s="376">
        <v>26</v>
      </c>
      <c r="IT12" s="376">
        <f t="shared" si="440"/>
        <v>49</v>
      </c>
      <c r="IU12" s="376">
        <v>21</v>
      </c>
      <c r="IV12" s="376">
        <v>17</v>
      </c>
      <c r="IW12" s="376">
        <f t="shared" si="441"/>
        <v>38</v>
      </c>
      <c r="IX12" s="376">
        <v>13</v>
      </c>
      <c r="IY12" s="376">
        <v>20</v>
      </c>
      <c r="IZ12" s="376">
        <f t="shared" si="442"/>
        <v>33</v>
      </c>
      <c r="JA12" s="376">
        <v>15</v>
      </c>
      <c r="JB12" s="376">
        <v>24</v>
      </c>
      <c r="JC12" s="376">
        <f t="shared" si="443"/>
        <v>39</v>
      </c>
      <c r="JD12" s="376">
        <v>5</v>
      </c>
      <c r="JE12" s="376">
        <v>10</v>
      </c>
      <c r="JF12" s="376">
        <f t="shared" si="444"/>
        <v>15</v>
      </c>
      <c r="JG12" s="376">
        <v>2</v>
      </c>
      <c r="JH12" s="376">
        <v>18</v>
      </c>
      <c r="JI12" s="376">
        <f t="shared" si="445"/>
        <v>20</v>
      </c>
      <c r="JJ12" s="376">
        <v>1</v>
      </c>
      <c r="JK12" s="376">
        <v>10</v>
      </c>
      <c r="JL12" s="376">
        <f t="shared" si="446"/>
        <v>11</v>
      </c>
      <c r="JM12" s="376">
        <v>6</v>
      </c>
      <c r="JN12" s="376">
        <v>7</v>
      </c>
      <c r="JO12" s="376">
        <f t="shared" si="447"/>
        <v>13</v>
      </c>
      <c r="JP12" s="376">
        <v>5</v>
      </c>
      <c r="JQ12" s="376">
        <v>3</v>
      </c>
      <c r="JR12" s="376">
        <f t="shared" si="448"/>
        <v>8</v>
      </c>
      <c r="JS12" s="376">
        <v>1</v>
      </c>
      <c r="JT12" s="376">
        <v>8</v>
      </c>
      <c r="JU12" s="376">
        <f t="shared" si="449"/>
        <v>9</v>
      </c>
      <c r="JV12" s="376">
        <v>3</v>
      </c>
      <c r="JW12" s="376">
        <v>11</v>
      </c>
      <c r="JX12" s="376">
        <f t="shared" si="450"/>
        <v>14</v>
      </c>
      <c r="JY12" s="376">
        <v>0</v>
      </c>
      <c r="JZ12" s="376">
        <v>2</v>
      </c>
      <c r="KA12" s="376">
        <f t="shared" si="451"/>
        <v>2</v>
      </c>
      <c r="KB12" s="376">
        <v>0</v>
      </c>
      <c r="KC12" s="376">
        <v>3</v>
      </c>
      <c r="KD12" s="376">
        <f t="shared" si="452"/>
        <v>3</v>
      </c>
      <c r="KE12" s="376">
        <v>0</v>
      </c>
      <c r="KF12" s="376">
        <v>1</v>
      </c>
      <c r="KG12" s="376">
        <f t="shared" si="453"/>
        <v>1</v>
      </c>
      <c r="KH12" s="376">
        <v>0</v>
      </c>
      <c r="KI12" s="376">
        <v>0</v>
      </c>
      <c r="KJ12" s="376">
        <f t="shared" si="454"/>
        <v>0</v>
      </c>
      <c r="KK12" s="376">
        <v>0</v>
      </c>
      <c r="KL12" s="376">
        <v>1</v>
      </c>
      <c r="KM12" s="376">
        <f t="shared" si="455"/>
        <v>1</v>
      </c>
      <c r="KN12" s="376">
        <v>0</v>
      </c>
      <c r="KO12" s="376">
        <v>1</v>
      </c>
      <c r="KP12" s="376">
        <f t="shared" si="456"/>
        <v>1</v>
      </c>
      <c r="KQ12" s="376">
        <v>0</v>
      </c>
      <c r="KR12" s="376">
        <v>0</v>
      </c>
      <c r="KS12" s="376">
        <f t="shared" si="457"/>
        <v>0</v>
      </c>
      <c r="KT12" s="376">
        <v>0</v>
      </c>
      <c r="KU12" s="376">
        <v>0</v>
      </c>
      <c r="KV12" s="376">
        <f t="shared" si="458"/>
        <v>0</v>
      </c>
      <c r="KW12" s="376">
        <v>0</v>
      </c>
      <c r="KX12" s="376">
        <v>0</v>
      </c>
      <c r="KY12" s="376">
        <f t="shared" si="459"/>
        <v>0</v>
      </c>
      <c r="KZ12" s="376">
        <v>0</v>
      </c>
      <c r="LA12" s="376">
        <v>0</v>
      </c>
      <c r="LB12" s="376">
        <f t="shared" si="460"/>
        <v>0</v>
      </c>
      <c r="LC12" s="376">
        <v>0</v>
      </c>
      <c r="LD12" s="376">
        <v>0</v>
      </c>
      <c r="LE12" s="376">
        <f t="shared" si="461"/>
        <v>0</v>
      </c>
      <c r="LF12" s="376">
        <v>0</v>
      </c>
      <c r="LG12" s="376">
        <v>0</v>
      </c>
      <c r="LH12" s="376">
        <f t="shared" si="462"/>
        <v>0</v>
      </c>
      <c r="LI12" s="376">
        <v>0</v>
      </c>
      <c r="LJ12" s="376">
        <v>0</v>
      </c>
      <c r="LK12" s="376">
        <f t="shared" si="463"/>
        <v>0</v>
      </c>
      <c r="LL12" s="376">
        <v>0</v>
      </c>
      <c r="LM12" s="376">
        <v>0</v>
      </c>
      <c r="LN12" s="376">
        <f t="shared" si="464"/>
        <v>0</v>
      </c>
      <c r="LO12" s="376">
        <v>0</v>
      </c>
      <c r="LP12" s="376">
        <v>0</v>
      </c>
      <c r="LQ12" s="376">
        <f t="shared" si="465"/>
        <v>0</v>
      </c>
      <c r="LR12" s="376">
        <v>0</v>
      </c>
      <c r="LS12" s="376">
        <v>0</v>
      </c>
      <c r="LT12" s="376">
        <f t="shared" si="466"/>
        <v>0</v>
      </c>
      <c r="LU12" s="376">
        <v>0</v>
      </c>
      <c r="LV12" s="376">
        <v>0</v>
      </c>
      <c r="LW12" s="376">
        <f t="shared" si="467"/>
        <v>0</v>
      </c>
      <c r="LX12" s="376">
        <v>0</v>
      </c>
      <c r="LY12" s="376">
        <v>0</v>
      </c>
      <c r="LZ12" s="376">
        <f t="shared" si="468"/>
        <v>0</v>
      </c>
      <c r="MA12" s="376">
        <v>0</v>
      </c>
      <c r="MB12" s="376">
        <v>0</v>
      </c>
      <c r="MC12" s="376">
        <f t="shared" si="469"/>
        <v>0</v>
      </c>
      <c r="MD12" s="376">
        <v>0</v>
      </c>
      <c r="ME12" s="376">
        <v>0</v>
      </c>
      <c r="MF12" s="376">
        <f t="shared" si="470"/>
        <v>0</v>
      </c>
      <c r="MG12" s="376">
        <v>0</v>
      </c>
      <c r="MH12" s="376">
        <v>0</v>
      </c>
      <c r="MI12" s="376">
        <f t="shared" si="471"/>
        <v>0</v>
      </c>
      <c r="MJ12" s="376">
        <v>0</v>
      </c>
      <c r="MK12" s="376">
        <v>0</v>
      </c>
      <c r="ML12" s="376">
        <f t="shared" si="472"/>
        <v>0</v>
      </c>
      <c r="MM12" s="376">
        <v>0</v>
      </c>
      <c r="MN12" s="376">
        <v>0</v>
      </c>
      <c r="MO12" s="376">
        <f t="shared" si="473"/>
        <v>0</v>
      </c>
      <c r="MP12" s="376">
        <v>0</v>
      </c>
      <c r="MQ12" s="376">
        <v>0</v>
      </c>
      <c r="MR12" s="376">
        <f t="shared" si="474"/>
        <v>0</v>
      </c>
      <c r="MS12" s="376">
        <v>0</v>
      </c>
      <c r="MT12" s="376">
        <v>0</v>
      </c>
      <c r="MU12" s="376">
        <f t="shared" si="475"/>
        <v>0</v>
      </c>
      <c r="MV12" s="376">
        <v>0</v>
      </c>
      <c r="MW12" s="376">
        <v>0</v>
      </c>
      <c r="MX12" s="376">
        <f t="shared" si="476"/>
        <v>0</v>
      </c>
      <c r="MY12" s="376">
        <v>0</v>
      </c>
      <c r="MZ12" s="376">
        <v>0</v>
      </c>
      <c r="NA12" s="545">
        <f t="shared" si="477"/>
        <v>0</v>
      </c>
      <c r="NB12" s="376">
        <v>0</v>
      </c>
      <c r="NC12" s="376">
        <v>0</v>
      </c>
      <c r="ND12" s="543">
        <f t="shared" si="478"/>
        <v>0</v>
      </c>
      <c r="NE12" s="542">
        <f t="shared" si="479"/>
        <v>33420</v>
      </c>
      <c r="NF12" s="376">
        <f t="shared" si="479"/>
        <v>33339</v>
      </c>
      <c r="NG12" s="543">
        <f t="shared" si="480"/>
        <v>66759</v>
      </c>
      <c r="NH12" s="542">
        <f t="shared" si="481"/>
        <v>2699</v>
      </c>
      <c r="NI12" s="376">
        <f t="shared" si="481"/>
        <v>2541</v>
      </c>
      <c r="NJ12" s="543">
        <f t="shared" si="482"/>
        <v>5240</v>
      </c>
    </row>
    <row r="13" spans="1:374" x14ac:dyDescent="0.3">
      <c r="A13" s="541" t="s">
        <v>256</v>
      </c>
      <c r="B13" s="589" t="s">
        <v>25</v>
      </c>
      <c r="C13" s="544">
        <v>320</v>
      </c>
      <c r="D13" s="376">
        <v>318</v>
      </c>
      <c r="E13" s="376">
        <f t="shared" si="357"/>
        <v>638</v>
      </c>
      <c r="F13" s="376">
        <v>410</v>
      </c>
      <c r="G13" s="376">
        <v>388</v>
      </c>
      <c r="H13" s="376">
        <f t="shared" si="358"/>
        <v>798</v>
      </c>
      <c r="I13" s="376">
        <v>509</v>
      </c>
      <c r="J13" s="376">
        <v>465</v>
      </c>
      <c r="K13" s="376">
        <f t="shared" si="359"/>
        <v>974</v>
      </c>
      <c r="L13" s="376">
        <v>615</v>
      </c>
      <c r="M13" s="376">
        <v>561</v>
      </c>
      <c r="N13" s="376">
        <f t="shared" si="360"/>
        <v>1176</v>
      </c>
      <c r="O13" s="376">
        <v>613</v>
      </c>
      <c r="P13" s="376">
        <v>583</v>
      </c>
      <c r="Q13" s="376">
        <f t="shared" si="361"/>
        <v>1196</v>
      </c>
      <c r="R13" s="376">
        <v>652</v>
      </c>
      <c r="S13" s="376">
        <v>602</v>
      </c>
      <c r="T13" s="376">
        <f t="shared" si="362"/>
        <v>1254</v>
      </c>
      <c r="U13" s="376">
        <v>693</v>
      </c>
      <c r="V13" s="376">
        <v>699</v>
      </c>
      <c r="W13" s="376">
        <f t="shared" si="363"/>
        <v>1392</v>
      </c>
      <c r="X13" s="376">
        <v>716</v>
      </c>
      <c r="Y13" s="376">
        <v>696</v>
      </c>
      <c r="Z13" s="376">
        <f t="shared" si="364"/>
        <v>1412</v>
      </c>
      <c r="AA13" s="376">
        <v>670</v>
      </c>
      <c r="AB13" s="376">
        <v>625</v>
      </c>
      <c r="AC13" s="376">
        <f t="shared" si="365"/>
        <v>1295</v>
      </c>
      <c r="AD13" s="376">
        <v>770</v>
      </c>
      <c r="AE13" s="376">
        <v>677</v>
      </c>
      <c r="AF13" s="376">
        <f t="shared" si="366"/>
        <v>1447</v>
      </c>
      <c r="AG13" s="376">
        <v>738</v>
      </c>
      <c r="AH13" s="376">
        <v>649</v>
      </c>
      <c r="AI13" s="376">
        <f t="shared" si="367"/>
        <v>1387</v>
      </c>
      <c r="AJ13" s="376">
        <v>673</v>
      </c>
      <c r="AK13" s="376">
        <v>599</v>
      </c>
      <c r="AL13" s="376">
        <f t="shared" si="368"/>
        <v>1272</v>
      </c>
      <c r="AM13" s="376">
        <v>639</v>
      </c>
      <c r="AN13" s="376">
        <v>615</v>
      </c>
      <c r="AO13" s="376">
        <f t="shared" si="369"/>
        <v>1254</v>
      </c>
      <c r="AP13" s="376">
        <v>605</v>
      </c>
      <c r="AQ13" s="376">
        <v>648</v>
      </c>
      <c r="AR13" s="376">
        <f t="shared" si="370"/>
        <v>1253</v>
      </c>
      <c r="AS13" s="376">
        <v>671</v>
      </c>
      <c r="AT13" s="376">
        <v>626</v>
      </c>
      <c r="AU13" s="376">
        <f t="shared" si="371"/>
        <v>1297</v>
      </c>
      <c r="AV13" s="376">
        <v>646</v>
      </c>
      <c r="AW13" s="376">
        <v>561</v>
      </c>
      <c r="AX13" s="376">
        <f t="shared" si="372"/>
        <v>1207</v>
      </c>
      <c r="AY13" s="376">
        <v>562</v>
      </c>
      <c r="AZ13" s="376">
        <v>590</v>
      </c>
      <c r="BA13" s="376">
        <f t="shared" si="373"/>
        <v>1152</v>
      </c>
      <c r="BB13" s="376">
        <v>536</v>
      </c>
      <c r="BC13" s="376">
        <v>498</v>
      </c>
      <c r="BD13" s="376">
        <f t="shared" si="374"/>
        <v>1034</v>
      </c>
      <c r="BE13" s="376">
        <v>590</v>
      </c>
      <c r="BF13" s="376">
        <v>518</v>
      </c>
      <c r="BG13" s="376">
        <f t="shared" si="375"/>
        <v>1108</v>
      </c>
      <c r="BH13" s="376">
        <v>556</v>
      </c>
      <c r="BI13" s="376">
        <v>570</v>
      </c>
      <c r="BJ13" s="376">
        <f t="shared" si="376"/>
        <v>1126</v>
      </c>
      <c r="BK13" s="376">
        <v>502</v>
      </c>
      <c r="BL13" s="376">
        <v>500</v>
      </c>
      <c r="BM13" s="376">
        <f t="shared" si="377"/>
        <v>1002</v>
      </c>
      <c r="BN13" s="376">
        <v>522</v>
      </c>
      <c r="BO13" s="376">
        <v>502</v>
      </c>
      <c r="BP13" s="376">
        <f t="shared" si="378"/>
        <v>1024</v>
      </c>
      <c r="BQ13" s="376">
        <v>550</v>
      </c>
      <c r="BR13" s="376">
        <v>570</v>
      </c>
      <c r="BS13" s="376">
        <f t="shared" si="379"/>
        <v>1120</v>
      </c>
      <c r="BT13" s="376">
        <v>570</v>
      </c>
      <c r="BU13" s="376">
        <v>541</v>
      </c>
      <c r="BV13" s="376">
        <f t="shared" si="380"/>
        <v>1111</v>
      </c>
      <c r="BW13" s="376">
        <v>551</v>
      </c>
      <c r="BX13" s="376">
        <v>529</v>
      </c>
      <c r="BY13" s="376">
        <f t="shared" si="381"/>
        <v>1080</v>
      </c>
      <c r="BZ13" s="376">
        <v>591</v>
      </c>
      <c r="CA13" s="376">
        <v>541</v>
      </c>
      <c r="CB13" s="376">
        <f t="shared" si="382"/>
        <v>1132</v>
      </c>
      <c r="CC13" s="376">
        <v>570</v>
      </c>
      <c r="CD13" s="376">
        <v>595</v>
      </c>
      <c r="CE13" s="376">
        <f t="shared" si="383"/>
        <v>1165</v>
      </c>
      <c r="CF13" s="376">
        <v>489</v>
      </c>
      <c r="CG13" s="376">
        <v>547</v>
      </c>
      <c r="CH13" s="376">
        <f t="shared" si="384"/>
        <v>1036</v>
      </c>
      <c r="CI13" s="376">
        <v>573</v>
      </c>
      <c r="CJ13" s="376">
        <v>595</v>
      </c>
      <c r="CK13" s="376">
        <f t="shared" si="385"/>
        <v>1168</v>
      </c>
      <c r="CL13" s="376">
        <v>577</v>
      </c>
      <c r="CM13" s="376">
        <v>581</v>
      </c>
      <c r="CN13" s="376">
        <f t="shared" si="386"/>
        <v>1158</v>
      </c>
      <c r="CO13" s="376">
        <v>623</v>
      </c>
      <c r="CP13" s="376">
        <v>603</v>
      </c>
      <c r="CQ13" s="376">
        <f t="shared" si="387"/>
        <v>1226</v>
      </c>
      <c r="CR13" s="376">
        <v>607</v>
      </c>
      <c r="CS13" s="376">
        <v>661</v>
      </c>
      <c r="CT13" s="376">
        <f t="shared" si="388"/>
        <v>1268</v>
      </c>
      <c r="CU13" s="376">
        <v>608</v>
      </c>
      <c r="CV13" s="376">
        <v>623</v>
      </c>
      <c r="CW13" s="376">
        <f t="shared" si="389"/>
        <v>1231</v>
      </c>
      <c r="CX13" s="376">
        <v>621</v>
      </c>
      <c r="CY13" s="376">
        <v>656</v>
      </c>
      <c r="CZ13" s="376">
        <f t="shared" si="390"/>
        <v>1277</v>
      </c>
      <c r="DA13" s="376">
        <v>681</v>
      </c>
      <c r="DB13" s="376">
        <v>663</v>
      </c>
      <c r="DC13" s="376">
        <f t="shared" si="391"/>
        <v>1344</v>
      </c>
      <c r="DD13" s="376">
        <v>633</v>
      </c>
      <c r="DE13" s="376">
        <v>651</v>
      </c>
      <c r="DF13" s="376">
        <f t="shared" si="392"/>
        <v>1284</v>
      </c>
      <c r="DG13" s="376">
        <v>616</v>
      </c>
      <c r="DH13" s="376">
        <v>697</v>
      </c>
      <c r="DI13" s="376">
        <f t="shared" si="393"/>
        <v>1313</v>
      </c>
      <c r="DJ13" s="376">
        <v>641</v>
      </c>
      <c r="DK13" s="376">
        <v>656</v>
      </c>
      <c r="DL13" s="376">
        <f t="shared" si="394"/>
        <v>1297</v>
      </c>
      <c r="DM13" s="376">
        <v>613</v>
      </c>
      <c r="DN13" s="376">
        <v>578</v>
      </c>
      <c r="DO13" s="376">
        <f t="shared" si="395"/>
        <v>1191</v>
      </c>
      <c r="DP13" s="376">
        <v>641</v>
      </c>
      <c r="DQ13" s="376">
        <v>609</v>
      </c>
      <c r="DR13" s="376">
        <f t="shared" si="396"/>
        <v>1250</v>
      </c>
      <c r="DS13" s="376">
        <v>700</v>
      </c>
      <c r="DT13" s="376">
        <v>590</v>
      </c>
      <c r="DU13" s="376">
        <f t="shared" si="397"/>
        <v>1290</v>
      </c>
      <c r="DV13" s="376">
        <v>690</v>
      </c>
      <c r="DW13" s="376">
        <v>692</v>
      </c>
      <c r="DX13" s="376">
        <f t="shared" si="398"/>
        <v>1382</v>
      </c>
      <c r="DY13" s="376">
        <v>584</v>
      </c>
      <c r="DZ13" s="376">
        <v>638</v>
      </c>
      <c r="EA13" s="376">
        <f t="shared" si="399"/>
        <v>1222</v>
      </c>
      <c r="EB13" s="376">
        <v>661</v>
      </c>
      <c r="EC13" s="376">
        <v>700</v>
      </c>
      <c r="ED13" s="376">
        <f t="shared" si="400"/>
        <v>1361</v>
      </c>
      <c r="EE13" s="376">
        <v>675</v>
      </c>
      <c r="EF13" s="376">
        <v>694</v>
      </c>
      <c r="EG13" s="376">
        <f t="shared" si="401"/>
        <v>1369</v>
      </c>
      <c r="EH13" s="376">
        <v>612</v>
      </c>
      <c r="EI13" s="376">
        <v>638</v>
      </c>
      <c r="EJ13" s="376">
        <f t="shared" si="402"/>
        <v>1250</v>
      </c>
      <c r="EK13" s="376">
        <v>558</v>
      </c>
      <c r="EL13" s="376">
        <v>579</v>
      </c>
      <c r="EM13" s="376">
        <f t="shared" si="403"/>
        <v>1137</v>
      </c>
      <c r="EN13" s="376">
        <v>554</v>
      </c>
      <c r="EO13" s="376">
        <v>486</v>
      </c>
      <c r="EP13" s="376">
        <f t="shared" si="404"/>
        <v>1040</v>
      </c>
      <c r="EQ13" s="376">
        <v>463</v>
      </c>
      <c r="ER13" s="376">
        <v>516</v>
      </c>
      <c r="ES13" s="376">
        <f t="shared" si="405"/>
        <v>979</v>
      </c>
      <c r="ET13" s="376">
        <v>463</v>
      </c>
      <c r="EU13" s="376">
        <v>466</v>
      </c>
      <c r="EV13" s="376">
        <f t="shared" si="406"/>
        <v>929</v>
      </c>
      <c r="EW13" s="376">
        <v>475</v>
      </c>
      <c r="EX13" s="376">
        <v>465</v>
      </c>
      <c r="EY13" s="376">
        <f t="shared" si="407"/>
        <v>940</v>
      </c>
      <c r="EZ13" s="376">
        <v>370</v>
      </c>
      <c r="FA13" s="376">
        <v>426</v>
      </c>
      <c r="FB13" s="376">
        <f t="shared" si="408"/>
        <v>796</v>
      </c>
      <c r="FC13" s="376">
        <v>408</v>
      </c>
      <c r="FD13" s="376">
        <v>406</v>
      </c>
      <c r="FE13" s="376">
        <f t="shared" si="409"/>
        <v>814</v>
      </c>
      <c r="FF13" s="376">
        <v>386</v>
      </c>
      <c r="FG13" s="376">
        <v>448</v>
      </c>
      <c r="FH13" s="376">
        <f t="shared" si="410"/>
        <v>834</v>
      </c>
      <c r="FI13" s="376">
        <v>366</v>
      </c>
      <c r="FJ13" s="376">
        <v>371</v>
      </c>
      <c r="FK13" s="376">
        <f t="shared" si="411"/>
        <v>737</v>
      </c>
      <c r="FL13" s="376">
        <v>342</v>
      </c>
      <c r="FM13" s="376">
        <v>369</v>
      </c>
      <c r="FN13" s="376">
        <f t="shared" si="412"/>
        <v>711</v>
      </c>
      <c r="FO13" s="376">
        <v>371</v>
      </c>
      <c r="FP13" s="376">
        <v>427</v>
      </c>
      <c r="FQ13" s="376">
        <f t="shared" si="413"/>
        <v>798</v>
      </c>
      <c r="FR13" s="376">
        <v>363</v>
      </c>
      <c r="FS13" s="376">
        <v>422</v>
      </c>
      <c r="FT13" s="376">
        <f t="shared" si="414"/>
        <v>785</v>
      </c>
      <c r="FU13" s="376">
        <v>314</v>
      </c>
      <c r="FV13" s="376">
        <v>419</v>
      </c>
      <c r="FW13" s="376">
        <f t="shared" si="415"/>
        <v>733</v>
      </c>
      <c r="FX13" s="376">
        <v>269</v>
      </c>
      <c r="FY13" s="376">
        <v>364</v>
      </c>
      <c r="FZ13" s="376">
        <f t="shared" si="416"/>
        <v>633</v>
      </c>
      <c r="GA13" s="376">
        <v>313</v>
      </c>
      <c r="GB13" s="376">
        <v>393</v>
      </c>
      <c r="GC13" s="376">
        <f t="shared" si="417"/>
        <v>706</v>
      </c>
      <c r="GD13" s="376">
        <v>288</v>
      </c>
      <c r="GE13" s="376">
        <v>418</v>
      </c>
      <c r="GF13" s="376">
        <f t="shared" si="418"/>
        <v>706</v>
      </c>
      <c r="GG13" s="376">
        <v>261</v>
      </c>
      <c r="GH13" s="376">
        <v>460</v>
      </c>
      <c r="GI13" s="376">
        <f t="shared" si="419"/>
        <v>721</v>
      </c>
      <c r="GJ13" s="376">
        <v>287</v>
      </c>
      <c r="GK13" s="376">
        <v>401</v>
      </c>
      <c r="GL13" s="376">
        <f t="shared" si="420"/>
        <v>688</v>
      </c>
      <c r="GM13" s="376">
        <v>259</v>
      </c>
      <c r="GN13" s="376">
        <v>424</v>
      </c>
      <c r="GO13" s="376">
        <f t="shared" si="421"/>
        <v>683</v>
      </c>
      <c r="GP13" s="376">
        <v>272</v>
      </c>
      <c r="GQ13" s="376">
        <v>382</v>
      </c>
      <c r="GR13" s="376">
        <f t="shared" si="422"/>
        <v>654</v>
      </c>
      <c r="GS13" s="376">
        <v>298</v>
      </c>
      <c r="GT13" s="376">
        <v>397</v>
      </c>
      <c r="GU13" s="376">
        <f t="shared" si="423"/>
        <v>695</v>
      </c>
      <c r="GV13" s="376">
        <v>284</v>
      </c>
      <c r="GW13" s="376">
        <v>341</v>
      </c>
      <c r="GX13" s="376">
        <f t="shared" si="424"/>
        <v>625</v>
      </c>
      <c r="GY13" s="376">
        <v>305</v>
      </c>
      <c r="GZ13" s="376">
        <v>320</v>
      </c>
      <c r="HA13" s="376">
        <f t="shared" si="425"/>
        <v>625</v>
      </c>
      <c r="HB13" s="376">
        <v>236</v>
      </c>
      <c r="HC13" s="376">
        <v>258</v>
      </c>
      <c r="HD13" s="376">
        <f t="shared" si="426"/>
        <v>494</v>
      </c>
      <c r="HE13" s="376">
        <v>243</v>
      </c>
      <c r="HF13" s="376">
        <v>217</v>
      </c>
      <c r="HG13" s="376">
        <f t="shared" si="427"/>
        <v>460</v>
      </c>
      <c r="HH13" s="376">
        <v>240</v>
      </c>
      <c r="HI13" s="376">
        <v>202</v>
      </c>
      <c r="HJ13" s="376">
        <f t="shared" si="428"/>
        <v>442</v>
      </c>
      <c r="HK13" s="376">
        <v>189</v>
      </c>
      <c r="HL13" s="376">
        <v>153</v>
      </c>
      <c r="HM13" s="376">
        <f t="shared" si="429"/>
        <v>342</v>
      </c>
      <c r="HN13" s="376">
        <v>184</v>
      </c>
      <c r="HO13" s="376">
        <v>134</v>
      </c>
      <c r="HP13" s="376">
        <f t="shared" si="430"/>
        <v>318</v>
      </c>
      <c r="HQ13" s="376">
        <v>144</v>
      </c>
      <c r="HR13" s="376">
        <v>94</v>
      </c>
      <c r="HS13" s="376">
        <f t="shared" si="431"/>
        <v>238</v>
      </c>
      <c r="HT13" s="376">
        <v>118</v>
      </c>
      <c r="HU13" s="376">
        <v>97</v>
      </c>
      <c r="HV13" s="376">
        <f t="shared" si="432"/>
        <v>215</v>
      </c>
      <c r="HW13" s="376">
        <v>83</v>
      </c>
      <c r="HX13" s="376">
        <v>61</v>
      </c>
      <c r="HY13" s="376">
        <f t="shared" si="433"/>
        <v>144</v>
      </c>
      <c r="HZ13" s="376">
        <v>56</v>
      </c>
      <c r="IA13" s="376">
        <v>63</v>
      </c>
      <c r="IB13" s="376">
        <f t="shared" si="434"/>
        <v>119</v>
      </c>
      <c r="IC13" s="376">
        <v>48</v>
      </c>
      <c r="ID13" s="376">
        <v>42</v>
      </c>
      <c r="IE13" s="376">
        <f t="shared" si="435"/>
        <v>90</v>
      </c>
      <c r="IF13" s="376">
        <v>36</v>
      </c>
      <c r="IG13" s="376">
        <v>34</v>
      </c>
      <c r="IH13" s="376">
        <f t="shared" si="436"/>
        <v>70</v>
      </c>
      <c r="II13" s="376">
        <v>39</v>
      </c>
      <c r="IJ13" s="376">
        <v>34</v>
      </c>
      <c r="IK13" s="376">
        <f t="shared" si="437"/>
        <v>73</v>
      </c>
      <c r="IL13" s="376">
        <v>34</v>
      </c>
      <c r="IM13" s="376">
        <v>28</v>
      </c>
      <c r="IN13" s="376">
        <f t="shared" si="438"/>
        <v>62</v>
      </c>
      <c r="IO13" s="376">
        <v>21</v>
      </c>
      <c r="IP13" s="376">
        <v>23</v>
      </c>
      <c r="IQ13" s="376">
        <f t="shared" si="439"/>
        <v>44</v>
      </c>
      <c r="IR13" s="376">
        <v>21</v>
      </c>
      <c r="IS13" s="376">
        <v>23</v>
      </c>
      <c r="IT13" s="376">
        <f t="shared" si="440"/>
        <v>44</v>
      </c>
      <c r="IU13" s="376">
        <v>18</v>
      </c>
      <c r="IV13" s="376">
        <v>20</v>
      </c>
      <c r="IW13" s="376">
        <f t="shared" si="441"/>
        <v>38</v>
      </c>
      <c r="IX13" s="376">
        <v>10</v>
      </c>
      <c r="IY13" s="376">
        <v>11</v>
      </c>
      <c r="IZ13" s="376">
        <f t="shared" si="442"/>
        <v>21</v>
      </c>
      <c r="JA13" s="376">
        <v>14</v>
      </c>
      <c r="JB13" s="376">
        <v>17</v>
      </c>
      <c r="JC13" s="376">
        <f t="shared" si="443"/>
        <v>31</v>
      </c>
      <c r="JD13" s="376">
        <v>12</v>
      </c>
      <c r="JE13" s="376">
        <v>8</v>
      </c>
      <c r="JF13" s="376">
        <f t="shared" si="444"/>
        <v>20</v>
      </c>
      <c r="JG13" s="376">
        <v>5</v>
      </c>
      <c r="JH13" s="376">
        <v>14</v>
      </c>
      <c r="JI13" s="376">
        <f t="shared" si="445"/>
        <v>19</v>
      </c>
      <c r="JJ13" s="376">
        <v>2</v>
      </c>
      <c r="JK13" s="376">
        <v>7</v>
      </c>
      <c r="JL13" s="376">
        <f t="shared" si="446"/>
        <v>9</v>
      </c>
      <c r="JM13" s="376">
        <v>3</v>
      </c>
      <c r="JN13" s="376">
        <v>8</v>
      </c>
      <c r="JO13" s="376">
        <f t="shared" si="447"/>
        <v>11</v>
      </c>
      <c r="JP13" s="376">
        <v>1</v>
      </c>
      <c r="JQ13" s="376">
        <v>3</v>
      </c>
      <c r="JR13" s="376">
        <f t="shared" si="448"/>
        <v>4</v>
      </c>
      <c r="JS13" s="376">
        <v>3</v>
      </c>
      <c r="JT13" s="376">
        <v>4</v>
      </c>
      <c r="JU13" s="376">
        <f t="shared" si="449"/>
        <v>7</v>
      </c>
      <c r="JV13" s="376">
        <v>4</v>
      </c>
      <c r="JW13" s="376">
        <v>1</v>
      </c>
      <c r="JX13" s="376">
        <f t="shared" si="450"/>
        <v>5</v>
      </c>
      <c r="JY13" s="376">
        <v>3</v>
      </c>
      <c r="JZ13" s="376">
        <v>1</v>
      </c>
      <c r="KA13" s="376">
        <f t="shared" si="451"/>
        <v>4</v>
      </c>
      <c r="KB13" s="376">
        <v>0</v>
      </c>
      <c r="KC13" s="376">
        <v>0</v>
      </c>
      <c r="KD13" s="376">
        <f t="shared" si="452"/>
        <v>0</v>
      </c>
      <c r="KE13" s="376">
        <v>0</v>
      </c>
      <c r="KF13" s="376">
        <v>0</v>
      </c>
      <c r="KG13" s="376">
        <f t="shared" si="453"/>
        <v>0</v>
      </c>
      <c r="KH13" s="376">
        <v>0</v>
      </c>
      <c r="KI13" s="376">
        <v>0</v>
      </c>
      <c r="KJ13" s="376">
        <f t="shared" si="454"/>
        <v>0</v>
      </c>
      <c r="KK13" s="376">
        <v>1</v>
      </c>
      <c r="KL13" s="376">
        <v>1</v>
      </c>
      <c r="KM13" s="376">
        <f t="shared" si="455"/>
        <v>2</v>
      </c>
      <c r="KN13" s="376">
        <v>0</v>
      </c>
      <c r="KO13" s="376">
        <v>0</v>
      </c>
      <c r="KP13" s="376">
        <f t="shared" si="456"/>
        <v>0</v>
      </c>
      <c r="KQ13" s="376">
        <v>0</v>
      </c>
      <c r="KR13" s="376">
        <v>0</v>
      </c>
      <c r="KS13" s="376">
        <f t="shared" si="457"/>
        <v>0</v>
      </c>
      <c r="KT13" s="376">
        <v>0</v>
      </c>
      <c r="KU13" s="376">
        <v>0</v>
      </c>
      <c r="KV13" s="376">
        <f t="shared" si="458"/>
        <v>0</v>
      </c>
      <c r="KW13" s="376">
        <v>0</v>
      </c>
      <c r="KX13" s="376">
        <v>0</v>
      </c>
      <c r="KY13" s="376">
        <f t="shared" si="459"/>
        <v>0</v>
      </c>
      <c r="KZ13" s="376">
        <v>0</v>
      </c>
      <c r="LA13" s="376">
        <v>0</v>
      </c>
      <c r="LB13" s="376">
        <f t="shared" si="460"/>
        <v>0</v>
      </c>
      <c r="LC13" s="376">
        <v>0</v>
      </c>
      <c r="LD13" s="376">
        <v>0</v>
      </c>
      <c r="LE13" s="376">
        <f t="shared" si="461"/>
        <v>0</v>
      </c>
      <c r="LF13" s="376">
        <v>0</v>
      </c>
      <c r="LG13" s="376">
        <v>0</v>
      </c>
      <c r="LH13" s="376">
        <f t="shared" si="462"/>
        <v>0</v>
      </c>
      <c r="LI13" s="376">
        <v>0</v>
      </c>
      <c r="LJ13" s="376">
        <v>0</v>
      </c>
      <c r="LK13" s="376">
        <f t="shared" si="463"/>
        <v>0</v>
      </c>
      <c r="LL13" s="376">
        <v>0</v>
      </c>
      <c r="LM13" s="376">
        <v>0</v>
      </c>
      <c r="LN13" s="376">
        <f t="shared" si="464"/>
        <v>0</v>
      </c>
      <c r="LO13" s="376">
        <v>0</v>
      </c>
      <c r="LP13" s="376">
        <v>0</v>
      </c>
      <c r="LQ13" s="376">
        <f t="shared" si="465"/>
        <v>0</v>
      </c>
      <c r="LR13" s="376">
        <v>0</v>
      </c>
      <c r="LS13" s="376">
        <v>0</v>
      </c>
      <c r="LT13" s="376">
        <f t="shared" si="466"/>
        <v>0</v>
      </c>
      <c r="LU13" s="376">
        <v>0</v>
      </c>
      <c r="LV13" s="376">
        <v>0</v>
      </c>
      <c r="LW13" s="376">
        <f t="shared" si="467"/>
        <v>0</v>
      </c>
      <c r="LX13" s="376">
        <v>0</v>
      </c>
      <c r="LY13" s="376">
        <v>0</v>
      </c>
      <c r="LZ13" s="376">
        <f t="shared" si="468"/>
        <v>0</v>
      </c>
      <c r="MA13" s="376">
        <v>0</v>
      </c>
      <c r="MB13" s="376">
        <v>0</v>
      </c>
      <c r="MC13" s="376">
        <f t="shared" si="469"/>
        <v>0</v>
      </c>
      <c r="MD13" s="376">
        <v>0</v>
      </c>
      <c r="ME13" s="376">
        <v>0</v>
      </c>
      <c r="MF13" s="376">
        <f t="shared" si="470"/>
        <v>0</v>
      </c>
      <c r="MG13" s="376">
        <v>0</v>
      </c>
      <c r="MH13" s="376">
        <v>0</v>
      </c>
      <c r="MI13" s="376">
        <f t="shared" si="471"/>
        <v>0</v>
      </c>
      <c r="MJ13" s="376">
        <v>0</v>
      </c>
      <c r="MK13" s="376">
        <v>0</v>
      </c>
      <c r="ML13" s="376">
        <f t="shared" si="472"/>
        <v>0</v>
      </c>
      <c r="MM13" s="376">
        <v>0</v>
      </c>
      <c r="MN13" s="376">
        <v>0</v>
      </c>
      <c r="MO13" s="376">
        <f t="shared" si="473"/>
        <v>0</v>
      </c>
      <c r="MP13" s="376">
        <v>0</v>
      </c>
      <c r="MQ13" s="376">
        <v>0</v>
      </c>
      <c r="MR13" s="376">
        <f t="shared" si="474"/>
        <v>0</v>
      </c>
      <c r="MS13" s="376">
        <v>0</v>
      </c>
      <c r="MT13" s="376">
        <v>0</v>
      </c>
      <c r="MU13" s="376">
        <f t="shared" si="475"/>
        <v>0</v>
      </c>
      <c r="MV13" s="376">
        <v>0</v>
      </c>
      <c r="MW13" s="376">
        <v>0</v>
      </c>
      <c r="MX13" s="376">
        <f t="shared" si="476"/>
        <v>0</v>
      </c>
      <c r="MY13" s="376">
        <v>0</v>
      </c>
      <c r="MZ13" s="376">
        <v>0</v>
      </c>
      <c r="NA13" s="545">
        <f t="shared" si="477"/>
        <v>0</v>
      </c>
      <c r="NB13" s="376">
        <v>0</v>
      </c>
      <c r="NC13" s="376">
        <v>0</v>
      </c>
      <c r="ND13" s="543">
        <f t="shared" si="478"/>
        <v>0</v>
      </c>
      <c r="NE13" s="542">
        <f t="shared" si="479"/>
        <v>37922</v>
      </c>
      <c r="NF13" s="376">
        <f t="shared" si="479"/>
        <v>38596</v>
      </c>
      <c r="NG13" s="543">
        <f t="shared" si="480"/>
        <v>76518</v>
      </c>
      <c r="NH13" s="542">
        <f t="shared" si="481"/>
        <v>3119</v>
      </c>
      <c r="NI13" s="376">
        <f t="shared" si="481"/>
        <v>2917</v>
      </c>
      <c r="NJ13" s="543">
        <f t="shared" si="482"/>
        <v>6036</v>
      </c>
    </row>
    <row r="14" spans="1:374" ht="14.5" thickBot="1" x14ac:dyDescent="0.35">
      <c r="A14" s="568" t="s">
        <v>257</v>
      </c>
      <c r="B14" s="590" t="s">
        <v>27</v>
      </c>
      <c r="C14" s="550">
        <v>265</v>
      </c>
      <c r="D14" s="380">
        <v>236</v>
      </c>
      <c r="E14" s="380">
        <f t="shared" si="357"/>
        <v>501</v>
      </c>
      <c r="F14" s="380">
        <v>361</v>
      </c>
      <c r="G14" s="380">
        <v>317</v>
      </c>
      <c r="H14" s="380">
        <f t="shared" si="358"/>
        <v>678</v>
      </c>
      <c r="I14" s="380">
        <v>399</v>
      </c>
      <c r="J14" s="380">
        <v>409</v>
      </c>
      <c r="K14" s="380">
        <f t="shared" si="359"/>
        <v>808</v>
      </c>
      <c r="L14" s="380">
        <v>471</v>
      </c>
      <c r="M14" s="380">
        <v>454</v>
      </c>
      <c r="N14" s="380">
        <f t="shared" si="360"/>
        <v>925</v>
      </c>
      <c r="O14" s="380">
        <v>524</v>
      </c>
      <c r="P14" s="380">
        <v>481</v>
      </c>
      <c r="Q14" s="380">
        <f t="shared" si="361"/>
        <v>1005</v>
      </c>
      <c r="R14" s="380">
        <v>567</v>
      </c>
      <c r="S14" s="380">
        <v>530</v>
      </c>
      <c r="T14" s="380">
        <f t="shared" si="362"/>
        <v>1097</v>
      </c>
      <c r="U14" s="380">
        <v>638</v>
      </c>
      <c r="V14" s="380">
        <v>533</v>
      </c>
      <c r="W14" s="380">
        <f t="shared" si="363"/>
        <v>1171</v>
      </c>
      <c r="X14" s="380">
        <v>656</v>
      </c>
      <c r="Y14" s="380">
        <v>575</v>
      </c>
      <c r="Z14" s="380">
        <f t="shared" si="364"/>
        <v>1231</v>
      </c>
      <c r="AA14" s="380">
        <v>595</v>
      </c>
      <c r="AB14" s="380">
        <v>581</v>
      </c>
      <c r="AC14" s="380">
        <f t="shared" si="365"/>
        <v>1176</v>
      </c>
      <c r="AD14" s="380">
        <v>538</v>
      </c>
      <c r="AE14" s="380">
        <v>539</v>
      </c>
      <c r="AF14" s="380">
        <f t="shared" si="366"/>
        <v>1077</v>
      </c>
      <c r="AG14" s="380">
        <v>612</v>
      </c>
      <c r="AH14" s="380">
        <v>552</v>
      </c>
      <c r="AI14" s="380">
        <f t="shared" si="367"/>
        <v>1164</v>
      </c>
      <c r="AJ14" s="380">
        <v>595</v>
      </c>
      <c r="AK14" s="380">
        <v>508</v>
      </c>
      <c r="AL14" s="380">
        <f t="shared" si="368"/>
        <v>1103</v>
      </c>
      <c r="AM14" s="380">
        <v>573</v>
      </c>
      <c r="AN14" s="380">
        <v>538</v>
      </c>
      <c r="AO14" s="380">
        <f t="shared" si="369"/>
        <v>1111</v>
      </c>
      <c r="AP14" s="380">
        <v>593</v>
      </c>
      <c r="AQ14" s="380">
        <v>511</v>
      </c>
      <c r="AR14" s="380">
        <f t="shared" si="370"/>
        <v>1104</v>
      </c>
      <c r="AS14" s="380">
        <v>578</v>
      </c>
      <c r="AT14" s="380">
        <v>563</v>
      </c>
      <c r="AU14" s="380">
        <f t="shared" si="371"/>
        <v>1141</v>
      </c>
      <c r="AV14" s="380">
        <v>539</v>
      </c>
      <c r="AW14" s="380">
        <v>475</v>
      </c>
      <c r="AX14" s="380">
        <f t="shared" si="372"/>
        <v>1014</v>
      </c>
      <c r="AY14" s="380">
        <v>490</v>
      </c>
      <c r="AZ14" s="380">
        <v>456</v>
      </c>
      <c r="BA14" s="380">
        <f t="shared" si="373"/>
        <v>946</v>
      </c>
      <c r="BB14" s="380">
        <v>435</v>
      </c>
      <c r="BC14" s="380">
        <v>389</v>
      </c>
      <c r="BD14" s="380">
        <f t="shared" si="374"/>
        <v>824</v>
      </c>
      <c r="BE14" s="380">
        <v>474</v>
      </c>
      <c r="BF14" s="380">
        <v>432</v>
      </c>
      <c r="BG14" s="380">
        <f t="shared" si="375"/>
        <v>906</v>
      </c>
      <c r="BH14" s="380">
        <v>470</v>
      </c>
      <c r="BI14" s="380">
        <v>482</v>
      </c>
      <c r="BJ14" s="380">
        <f t="shared" si="376"/>
        <v>952</v>
      </c>
      <c r="BK14" s="380">
        <v>461</v>
      </c>
      <c r="BL14" s="380">
        <v>435</v>
      </c>
      <c r="BM14" s="380">
        <f t="shared" si="377"/>
        <v>896</v>
      </c>
      <c r="BN14" s="380">
        <v>447</v>
      </c>
      <c r="BO14" s="380">
        <v>456</v>
      </c>
      <c r="BP14" s="380">
        <f t="shared" si="378"/>
        <v>903</v>
      </c>
      <c r="BQ14" s="380">
        <v>469</v>
      </c>
      <c r="BR14" s="380">
        <v>454</v>
      </c>
      <c r="BS14" s="380">
        <f t="shared" si="379"/>
        <v>923</v>
      </c>
      <c r="BT14" s="380">
        <v>499</v>
      </c>
      <c r="BU14" s="380">
        <v>449</v>
      </c>
      <c r="BV14" s="380">
        <f t="shared" si="380"/>
        <v>948</v>
      </c>
      <c r="BW14" s="380">
        <v>453</v>
      </c>
      <c r="BX14" s="380">
        <v>430</v>
      </c>
      <c r="BY14" s="380">
        <f t="shared" si="381"/>
        <v>883</v>
      </c>
      <c r="BZ14" s="380">
        <v>499</v>
      </c>
      <c r="CA14" s="380">
        <v>504</v>
      </c>
      <c r="CB14" s="380">
        <f t="shared" si="382"/>
        <v>1003</v>
      </c>
      <c r="CC14" s="380">
        <v>491</v>
      </c>
      <c r="CD14" s="380">
        <v>476</v>
      </c>
      <c r="CE14" s="380">
        <f t="shared" si="383"/>
        <v>967</v>
      </c>
      <c r="CF14" s="380">
        <v>441</v>
      </c>
      <c r="CG14" s="380">
        <v>452</v>
      </c>
      <c r="CH14" s="380">
        <f t="shared" si="384"/>
        <v>893</v>
      </c>
      <c r="CI14" s="380">
        <v>477</v>
      </c>
      <c r="CJ14" s="380">
        <v>536</v>
      </c>
      <c r="CK14" s="380">
        <f t="shared" si="385"/>
        <v>1013</v>
      </c>
      <c r="CL14" s="380">
        <v>510</v>
      </c>
      <c r="CM14" s="380">
        <v>555</v>
      </c>
      <c r="CN14" s="380">
        <f t="shared" si="386"/>
        <v>1065</v>
      </c>
      <c r="CO14" s="380">
        <v>468</v>
      </c>
      <c r="CP14" s="380">
        <v>514</v>
      </c>
      <c r="CQ14" s="380">
        <f t="shared" si="387"/>
        <v>982</v>
      </c>
      <c r="CR14" s="380">
        <v>556</v>
      </c>
      <c r="CS14" s="380">
        <v>586</v>
      </c>
      <c r="CT14" s="380">
        <f t="shared" si="388"/>
        <v>1142</v>
      </c>
      <c r="CU14" s="380">
        <v>538</v>
      </c>
      <c r="CV14" s="380">
        <v>536</v>
      </c>
      <c r="CW14" s="380">
        <f t="shared" si="389"/>
        <v>1074</v>
      </c>
      <c r="CX14" s="380">
        <v>542</v>
      </c>
      <c r="CY14" s="380">
        <v>566</v>
      </c>
      <c r="CZ14" s="380">
        <f t="shared" si="390"/>
        <v>1108</v>
      </c>
      <c r="DA14" s="380">
        <v>589</v>
      </c>
      <c r="DB14" s="380">
        <v>596</v>
      </c>
      <c r="DC14" s="380">
        <f t="shared" si="391"/>
        <v>1185</v>
      </c>
      <c r="DD14" s="380">
        <v>494</v>
      </c>
      <c r="DE14" s="380">
        <v>572</v>
      </c>
      <c r="DF14" s="380">
        <f t="shared" si="392"/>
        <v>1066</v>
      </c>
      <c r="DG14" s="380">
        <v>580</v>
      </c>
      <c r="DH14" s="380">
        <v>608</v>
      </c>
      <c r="DI14" s="380">
        <f t="shared" si="393"/>
        <v>1188</v>
      </c>
      <c r="DJ14" s="380">
        <v>526</v>
      </c>
      <c r="DK14" s="380">
        <v>532</v>
      </c>
      <c r="DL14" s="380">
        <f t="shared" si="394"/>
        <v>1058</v>
      </c>
      <c r="DM14" s="380">
        <v>517</v>
      </c>
      <c r="DN14" s="380">
        <v>551</v>
      </c>
      <c r="DO14" s="380">
        <f t="shared" si="395"/>
        <v>1068</v>
      </c>
      <c r="DP14" s="380">
        <v>608</v>
      </c>
      <c r="DQ14" s="380">
        <v>507</v>
      </c>
      <c r="DR14" s="380">
        <f t="shared" si="396"/>
        <v>1115</v>
      </c>
      <c r="DS14" s="380">
        <v>565</v>
      </c>
      <c r="DT14" s="380">
        <v>552</v>
      </c>
      <c r="DU14" s="380">
        <f t="shared" si="397"/>
        <v>1117</v>
      </c>
      <c r="DV14" s="380">
        <v>566</v>
      </c>
      <c r="DW14" s="380">
        <v>557</v>
      </c>
      <c r="DX14" s="380">
        <f t="shared" si="398"/>
        <v>1123</v>
      </c>
      <c r="DY14" s="380">
        <v>547</v>
      </c>
      <c r="DZ14" s="380">
        <v>542</v>
      </c>
      <c r="EA14" s="380">
        <f t="shared" si="399"/>
        <v>1089</v>
      </c>
      <c r="EB14" s="380">
        <v>616</v>
      </c>
      <c r="EC14" s="380">
        <v>607</v>
      </c>
      <c r="ED14" s="380">
        <f t="shared" si="400"/>
        <v>1223</v>
      </c>
      <c r="EE14" s="380">
        <v>587</v>
      </c>
      <c r="EF14" s="380">
        <v>538</v>
      </c>
      <c r="EG14" s="380">
        <f t="shared" si="401"/>
        <v>1125</v>
      </c>
      <c r="EH14" s="380">
        <v>535</v>
      </c>
      <c r="EI14" s="380">
        <v>561</v>
      </c>
      <c r="EJ14" s="380">
        <f t="shared" si="402"/>
        <v>1096</v>
      </c>
      <c r="EK14" s="380">
        <v>527</v>
      </c>
      <c r="EL14" s="380">
        <v>513</v>
      </c>
      <c r="EM14" s="380">
        <f t="shared" si="403"/>
        <v>1040</v>
      </c>
      <c r="EN14" s="380">
        <v>459</v>
      </c>
      <c r="EO14" s="380">
        <v>453</v>
      </c>
      <c r="EP14" s="380">
        <f t="shared" si="404"/>
        <v>912</v>
      </c>
      <c r="EQ14" s="380">
        <v>469</v>
      </c>
      <c r="ER14" s="380">
        <v>421</v>
      </c>
      <c r="ES14" s="380">
        <f t="shared" si="405"/>
        <v>890</v>
      </c>
      <c r="ET14" s="380">
        <v>378</v>
      </c>
      <c r="EU14" s="380">
        <v>414</v>
      </c>
      <c r="EV14" s="380">
        <f t="shared" si="406"/>
        <v>792</v>
      </c>
      <c r="EW14" s="380">
        <v>389</v>
      </c>
      <c r="EX14" s="380">
        <v>422</v>
      </c>
      <c r="EY14" s="380">
        <f t="shared" si="407"/>
        <v>811</v>
      </c>
      <c r="EZ14" s="380">
        <v>341</v>
      </c>
      <c r="FA14" s="380">
        <v>371</v>
      </c>
      <c r="FB14" s="380">
        <f t="shared" si="408"/>
        <v>712</v>
      </c>
      <c r="FC14" s="380">
        <v>339</v>
      </c>
      <c r="FD14" s="380">
        <v>347</v>
      </c>
      <c r="FE14" s="380">
        <f t="shared" si="409"/>
        <v>686</v>
      </c>
      <c r="FF14" s="380">
        <v>349</v>
      </c>
      <c r="FG14" s="380">
        <v>360</v>
      </c>
      <c r="FH14" s="380">
        <f t="shared" si="410"/>
        <v>709</v>
      </c>
      <c r="FI14" s="380">
        <v>291</v>
      </c>
      <c r="FJ14" s="380">
        <v>377</v>
      </c>
      <c r="FK14" s="380">
        <f t="shared" si="411"/>
        <v>668</v>
      </c>
      <c r="FL14" s="380">
        <v>300</v>
      </c>
      <c r="FM14" s="380">
        <v>307</v>
      </c>
      <c r="FN14" s="380">
        <f t="shared" si="412"/>
        <v>607</v>
      </c>
      <c r="FO14" s="380">
        <v>330</v>
      </c>
      <c r="FP14" s="380">
        <v>355</v>
      </c>
      <c r="FQ14" s="380">
        <f t="shared" si="413"/>
        <v>685</v>
      </c>
      <c r="FR14" s="380">
        <v>267</v>
      </c>
      <c r="FS14" s="380">
        <v>381</v>
      </c>
      <c r="FT14" s="380">
        <f t="shared" si="414"/>
        <v>648</v>
      </c>
      <c r="FU14" s="380">
        <v>290</v>
      </c>
      <c r="FV14" s="380">
        <v>352</v>
      </c>
      <c r="FW14" s="380">
        <f t="shared" si="415"/>
        <v>642</v>
      </c>
      <c r="FX14" s="380">
        <v>239</v>
      </c>
      <c r="FY14" s="380">
        <v>356</v>
      </c>
      <c r="FZ14" s="380">
        <f t="shared" si="416"/>
        <v>595</v>
      </c>
      <c r="GA14" s="380">
        <v>292</v>
      </c>
      <c r="GB14" s="380">
        <v>381</v>
      </c>
      <c r="GC14" s="380">
        <f t="shared" si="417"/>
        <v>673</v>
      </c>
      <c r="GD14" s="380">
        <v>256</v>
      </c>
      <c r="GE14" s="380">
        <v>395</v>
      </c>
      <c r="GF14" s="380">
        <f t="shared" si="418"/>
        <v>651</v>
      </c>
      <c r="GG14" s="380">
        <v>247</v>
      </c>
      <c r="GH14" s="380">
        <v>382</v>
      </c>
      <c r="GI14" s="380">
        <f t="shared" si="419"/>
        <v>629</v>
      </c>
      <c r="GJ14" s="380">
        <v>276</v>
      </c>
      <c r="GK14" s="380">
        <v>400</v>
      </c>
      <c r="GL14" s="380">
        <f t="shared" si="420"/>
        <v>676</v>
      </c>
      <c r="GM14" s="380">
        <v>238</v>
      </c>
      <c r="GN14" s="380">
        <v>386</v>
      </c>
      <c r="GO14" s="380">
        <f t="shared" si="421"/>
        <v>624</v>
      </c>
      <c r="GP14" s="380">
        <v>240</v>
      </c>
      <c r="GQ14" s="380">
        <v>392</v>
      </c>
      <c r="GR14" s="380">
        <f t="shared" si="422"/>
        <v>632</v>
      </c>
      <c r="GS14" s="380">
        <v>253</v>
      </c>
      <c r="GT14" s="380">
        <v>344</v>
      </c>
      <c r="GU14" s="380">
        <f t="shared" si="423"/>
        <v>597</v>
      </c>
      <c r="GV14" s="380">
        <v>224</v>
      </c>
      <c r="GW14" s="380">
        <v>358</v>
      </c>
      <c r="GX14" s="380">
        <f t="shared" si="424"/>
        <v>582</v>
      </c>
      <c r="GY14" s="380">
        <v>260</v>
      </c>
      <c r="GZ14" s="380">
        <v>353</v>
      </c>
      <c r="HA14" s="380">
        <f t="shared" si="425"/>
        <v>613</v>
      </c>
      <c r="HB14" s="380">
        <v>186</v>
      </c>
      <c r="HC14" s="380">
        <v>249</v>
      </c>
      <c r="HD14" s="380">
        <f t="shared" si="426"/>
        <v>435</v>
      </c>
      <c r="HE14" s="380">
        <v>177</v>
      </c>
      <c r="HF14" s="380">
        <v>217</v>
      </c>
      <c r="HG14" s="380">
        <f t="shared" si="427"/>
        <v>394</v>
      </c>
      <c r="HH14" s="380">
        <v>222</v>
      </c>
      <c r="HI14" s="380">
        <v>197</v>
      </c>
      <c r="HJ14" s="380">
        <f t="shared" si="428"/>
        <v>419</v>
      </c>
      <c r="HK14" s="380">
        <v>218</v>
      </c>
      <c r="HL14" s="380">
        <v>174</v>
      </c>
      <c r="HM14" s="380">
        <f t="shared" si="429"/>
        <v>392</v>
      </c>
      <c r="HN14" s="380">
        <v>235</v>
      </c>
      <c r="HO14" s="380">
        <v>142</v>
      </c>
      <c r="HP14" s="380">
        <f t="shared" si="430"/>
        <v>377</v>
      </c>
      <c r="HQ14" s="380">
        <v>160</v>
      </c>
      <c r="HR14" s="380">
        <v>120</v>
      </c>
      <c r="HS14" s="380">
        <f t="shared" si="431"/>
        <v>280</v>
      </c>
      <c r="HT14" s="380">
        <v>121</v>
      </c>
      <c r="HU14" s="380">
        <v>90</v>
      </c>
      <c r="HV14" s="380">
        <f t="shared" si="432"/>
        <v>211</v>
      </c>
      <c r="HW14" s="380">
        <v>87</v>
      </c>
      <c r="HX14" s="380">
        <v>96</v>
      </c>
      <c r="HY14" s="380">
        <f t="shared" si="433"/>
        <v>183</v>
      </c>
      <c r="HZ14" s="380">
        <v>93</v>
      </c>
      <c r="IA14" s="380">
        <v>58</v>
      </c>
      <c r="IB14" s="380">
        <f t="shared" si="434"/>
        <v>151</v>
      </c>
      <c r="IC14" s="380">
        <v>55</v>
      </c>
      <c r="ID14" s="380">
        <v>48</v>
      </c>
      <c r="IE14" s="380">
        <f t="shared" si="435"/>
        <v>103</v>
      </c>
      <c r="IF14" s="380">
        <v>35</v>
      </c>
      <c r="IG14" s="380">
        <v>43</v>
      </c>
      <c r="IH14" s="380">
        <f t="shared" si="436"/>
        <v>78</v>
      </c>
      <c r="II14" s="380">
        <v>30</v>
      </c>
      <c r="IJ14" s="380">
        <v>33</v>
      </c>
      <c r="IK14" s="380">
        <f t="shared" si="437"/>
        <v>63</v>
      </c>
      <c r="IL14" s="380">
        <v>21</v>
      </c>
      <c r="IM14" s="380">
        <v>33</v>
      </c>
      <c r="IN14" s="380">
        <f t="shared" si="438"/>
        <v>54</v>
      </c>
      <c r="IO14" s="380">
        <v>21</v>
      </c>
      <c r="IP14" s="380">
        <v>27</v>
      </c>
      <c r="IQ14" s="380">
        <f t="shared" si="439"/>
        <v>48</v>
      </c>
      <c r="IR14" s="380">
        <v>18</v>
      </c>
      <c r="IS14" s="380">
        <v>21</v>
      </c>
      <c r="IT14" s="380">
        <f t="shared" si="440"/>
        <v>39</v>
      </c>
      <c r="IU14" s="380">
        <v>23</v>
      </c>
      <c r="IV14" s="380">
        <v>16</v>
      </c>
      <c r="IW14" s="380">
        <f t="shared" si="441"/>
        <v>39</v>
      </c>
      <c r="IX14" s="380">
        <v>17</v>
      </c>
      <c r="IY14" s="380">
        <v>11</v>
      </c>
      <c r="IZ14" s="380">
        <f t="shared" si="442"/>
        <v>28</v>
      </c>
      <c r="JA14" s="380">
        <v>12</v>
      </c>
      <c r="JB14" s="380">
        <v>11</v>
      </c>
      <c r="JC14" s="380">
        <f t="shared" si="443"/>
        <v>23</v>
      </c>
      <c r="JD14" s="380">
        <v>6</v>
      </c>
      <c r="JE14" s="380">
        <v>11</v>
      </c>
      <c r="JF14" s="380">
        <f t="shared" si="444"/>
        <v>17</v>
      </c>
      <c r="JG14" s="380">
        <v>4</v>
      </c>
      <c r="JH14" s="380">
        <v>11</v>
      </c>
      <c r="JI14" s="380">
        <f t="shared" si="445"/>
        <v>15</v>
      </c>
      <c r="JJ14" s="380">
        <v>2</v>
      </c>
      <c r="JK14" s="380">
        <v>8</v>
      </c>
      <c r="JL14" s="380">
        <f t="shared" si="446"/>
        <v>10</v>
      </c>
      <c r="JM14" s="380">
        <v>6</v>
      </c>
      <c r="JN14" s="380">
        <v>2</v>
      </c>
      <c r="JO14" s="380">
        <f t="shared" si="447"/>
        <v>8</v>
      </c>
      <c r="JP14" s="380">
        <v>2</v>
      </c>
      <c r="JQ14" s="380">
        <v>7</v>
      </c>
      <c r="JR14" s="380">
        <f t="shared" si="448"/>
        <v>9</v>
      </c>
      <c r="JS14" s="380">
        <v>4</v>
      </c>
      <c r="JT14" s="380">
        <v>3</v>
      </c>
      <c r="JU14" s="380">
        <f t="shared" si="449"/>
        <v>7</v>
      </c>
      <c r="JV14" s="380">
        <v>1</v>
      </c>
      <c r="JW14" s="380">
        <v>1</v>
      </c>
      <c r="JX14" s="380">
        <f t="shared" si="450"/>
        <v>2</v>
      </c>
      <c r="JY14" s="380">
        <v>0</v>
      </c>
      <c r="JZ14" s="380">
        <v>0</v>
      </c>
      <c r="KA14" s="380">
        <f t="shared" si="451"/>
        <v>0</v>
      </c>
      <c r="KB14" s="380">
        <v>0</v>
      </c>
      <c r="KC14" s="380">
        <v>1</v>
      </c>
      <c r="KD14" s="380">
        <f t="shared" si="452"/>
        <v>1</v>
      </c>
      <c r="KE14" s="380">
        <v>0</v>
      </c>
      <c r="KF14" s="380">
        <v>1</v>
      </c>
      <c r="KG14" s="380">
        <f t="shared" si="453"/>
        <v>1</v>
      </c>
      <c r="KH14" s="380">
        <v>0</v>
      </c>
      <c r="KI14" s="380">
        <v>0</v>
      </c>
      <c r="KJ14" s="380">
        <f t="shared" si="454"/>
        <v>0</v>
      </c>
      <c r="KK14" s="380">
        <v>0</v>
      </c>
      <c r="KL14" s="380">
        <v>1</v>
      </c>
      <c r="KM14" s="380">
        <f t="shared" si="455"/>
        <v>1</v>
      </c>
      <c r="KN14" s="380">
        <v>1</v>
      </c>
      <c r="KO14" s="380">
        <v>0</v>
      </c>
      <c r="KP14" s="380">
        <f t="shared" si="456"/>
        <v>1</v>
      </c>
      <c r="KQ14" s="380">
        <v>0</v>
      </c>
      <c r="KR14" s="380">
        <v>0</v>
      </c>
      <c r="KS14" s="380">
        <f t="shared" si="457"/>
        <v>0</v>
      </c>
      <c r="KT14" s="380">
        <v>0</v>
      </c>
      <c r="KU14" s="380">
        <v>1</v>
      </c>
      <c r="KV14" s="380">
        <f t="shared" si="458"/>
        <v>1</v>
      </c>
      <c r="KW14" s="380">
        <v>0</v>
      </c>
      <c r="KX14" s="380">
        <v>0</v>
      </c>
      <c r="KY14" s="380">
        <f t="shared" si="459"/>
        <v>0</v>
      </c>
      <c r="KZ14" s="380">
        <v>0</v>
      </c>
      <c r="LA14" s="380">
        <v>0</v>
      </c>
      <c r="LB14" s="380">
        <f t="shared" si="460"/>
        <v>0</v>
      </c>
      <c r="LC14" s="380">
        <v>0</v>
      </c>
      <c r="LD14" s="380">
        <v>0</v>
      </c>
      <c r="LE14" s="380">
        <f t="shared" si="461"/>
        <v>0</v>
      </c>
      <c r="LF14" s="380">
        <v>0</v>
      </c>
      <c r="LG14" s="380">
        <v>0</v>
      </c>
      <c r="LH14" s="380">
        <f t="shared" si="462"/>
        <v>0</v>
      </c>
      <c r="LI14" s="380">
        <v>0</v>
      </c>
      <c r="LJ14" s="380">
        <v>0</v>
      </c>
      <c r="LK14" s="380">
        <f t="shared" si="463"/>
        <v>0</v>
      </c>
      <c r="LL14" s="380">
        <v>0</v>
      </c>
      <c r="LM14" s="380">
        <v>0</v>
      </c>
      <c r="LN14" s="380">
        <f t="shared" si="464"/>
        <v>0</v>
      </c>
      <c r="LO14" s="380">
        <v>0</v>
      </c>
      <c r="LP14" s="380">
        <v>0</v>
      </c>
      <c r="LQ14" s="380">
        <f t="shared" si="465"/>
        <v>0</v>
      </c>
      <c r="LR14" s="380">
        <v>0</v>
      </c>
      <c r="LS14" s="380">
        <v>0</v>
      </c>
      <c r="LT14" s="380">
        <f t="shared" si="466"/>
        <v>0</v>
      </c>
      <c r="LU14" s="380">
        <v>0</v>
      </c>
      <c r="LV14" s="380">
        <v>0</v>
      </c>
      <c r="LW14" s="380">
        <f t="shared" si="467"/>
        <v>0</v>
      </c>
      <c r="LX14" s="380">
        <v>0</v>
      </c>
      <c r="LY14" s="380">
        <v>0</v>
      </c>
      <c r="LZ14" s="380">
        <f t="shared" si="468"/>
        <v>0</v>
      </c>
      <c r="MA14" s="380">
        <v>0</v>
      </c>
      <c r="MB14" s="380">
        <v>0</v>
      </c>
      <c r="MC14" s="380">
        <f t="shared" si="469"/>
        <v>0</v>
      </c>
      <c r="MD14" s="380">
        <v>0</v>
      </c>
      <c r="ME14" s="380">
        <v>0</v>
      </c>
      <c r="MF14" s="380">
        <f t="shared" si="470"/>
        <v>0</v>
      </c>
      <c r="MG14" s="380">
        <v>0</v>
      </c>
      <c r="MH14" s="380">
        <v>0</v>
      </c>
      <c r="MI14" s="380">
        <f t="shared" si="471"/>
        <v>0</v>
      </c>
      <c r="MJ14" s="380">
        <v>0</v>
      </c>
      <c r="MK14" s="380">
        <v>0</v>
      </c>
      <c r="ML14" s="380">
        <f t="shared" si="472"/>
        <v>0</v>
      </c>
      <c r="MM14" s="380">
        <v>0</v>
      </c>
      <c r="MN14" s="380">
        <v>0</v>
      </c>
      <c r="MO14" s="380">
        <f t="shared" si="473"/>
        <v>0</v>
      </c>
      <c r="MP14" s="380">
        <v>0</v>
      </c>
      <c r="MQ14" s="380">
        <v>0</v>
      </c>
      <c r="MR14" s="380">
        <f t="shared" si="474"/>
        <v>0</v>
      </c>
      <c r="MS14" s="380">
        <v>0</v>
      </c>
      <c r="MT14" s="380">
        <v>0</v>
      </c>
      <c r="MU14" s="380">
        <f t="shared" si="475"/>
        <v>0</v>
      </c>
      <c r="MV14" s="380">
        <v>0</v>
      </c>
      <c r="MW14" s="380">
        <v>0</v>
      </c>
      <c r="MX14" s="380">
        <f t="shared" si="476"/>
        <v>0</v>
      </c>
      <c r="MY14" s="380">
        <v>0</v>
      </c>
      <c r="MZ14" s="380">
        <v>0</v>
      </c>
      <c r="NA14" s="551">
        <f t="shared" si="477"/>
        <v>0</v>
      </c>
      <c r="NB14" s="380">
        <v>0</v>
      </c>
      <c r="NC14" s="380">
        <v>0</v>
      </c>
      <c r="ND14" s="549">
        <f t="shared" si="478"/>
        <v>0</v>
      </c>
      <c r="NE14" s="542">
        <f t="shared" si="479"/>
        <v>32965</v>
      </c>
      <c r="NF14" s="376">
        <f t="shared" si="479"/>
        <v>33686</v>
      </c>
      <c r="NG14" s="549">
        <f t="shared" si="480"/>
        <v>66651</v>
      </c>
      <c r="NH14" s="548">
        <f t="shared" si="481"/>
        <v>2587</v>
      </c>
      <c r="NI14" s="380">
        <f t="shared" si="481"/>
        <v>2427</v>
      </c>
      <c r="NJ14" s="549">
        <f t="shared" si="482"/>
        <v>5014</v>
      </c>
    </row>
    <row r="15" spans="1:374" x14ac:dyDescent="0.3">
      <c r="A15" s="569" t="s">
        <v>258</v>
      </c>
      <c r="B15" s="591" t="s">
        <v>34</v>
      </c>
      <c r="C15" s="556">
        <v>1123</v>
      </c>
      <c r="D15" s="384">
        <v>987</v>
      </c>
      <c r="E15" s="384">
        <f t="shared" si="357"/>
        <v>2110</v>
      </c>
      <c r="F15" s="384">
        <v>1374</v>
      </c>
      <c r="G15" s="384">
        <v>1348</v>
      </c>
      <c r="H15" s="384">
        <f t="shared" si="358"/>
        <v>2722</v>
      </c>
      <c r="I15" s="384">
        <v>1733</v>
      </c>
      <c r="J15" s="384">
        <v>1566</v>
      </c>
      <c r="K15" s="384">
        <f t="shared" si="359"/>
        <v>3299</v>
      </c>
      <c r="L15" s="384">
        <v>1874</v>
      </c>
      <c r="M15" s="384">
        <v>1724</v>
      </c>
      <c r="N15" s="384">
        <f t="shared" si="360"/>
        <v>3598</v>
      </c>
      <c r="O15" s="384">
        <v>2046</v>
      </c>
      <c r="P15" s="384">
        <v>1883</v>
      </c>
      <c r="Q15" s="384">
        <f t="shared" si="361"/>
        <v>3929</v>
      </c>
      <c r="R15" s="384">
        <v>2208</v>
      </c>
      <c r="S15" s="384">
        <v>2029</v>
      </c>
      <c r="T15" s="384">
        <f t="shared" si="362"/>
        <v>4237</v>
      </c>
      <c r="U15" s="384">
        <v>2351</v>
      </c>
      <c r="V15" s="384">
        <v>2216</v>
      </c>
      <c r="W15" s="384">
        <f t="shared" si="363"/>
        <v>4567</v>
      </c>
      <c r="X15" s="384">
        <v>2505</v>
      </c>
      <c r="Y15" s="384">
        <v>2309</v>
      </c>
      <c r="Z15" s="384">
        <f t="shared" si="364"/>
        <v>4814</v>
      </c>
      <c r="AA15" s="384">
        <v>2448</v>
      </c>
      <c r="AB15" s="384">
        <v>2249</v>
      </c>
      <c r="AC15" s="384">
        <f t="shared" si="365"/>
        <v>4697</v>
      </c>
      <c r="AD15" s="384">
        <v>2269</v>
      </c>
      <c r="AE15" s="384">
        <v>2008</v>
      </c>
      <c r="AF15" s="384">
        <f t="shared" si="366"/>
        <v>4277</v>
      </c>
      <c r="AG15" s="384">
        <v>2334</v>
      </c>
      <c r="AH15" s="384">
        <v>2163</v>
      </c>
      <c r="AI15" s="384">
        <f t="shared" si="367"/>
        <v>4497</v>
      </c>
      <c r="AJ15" s="384">
        <v>2350</v>
      </c>
      <c r="AK15" s="384">
        <v>2203</v>
      </c>
      <c r="AL15" s="384">
        <f t="shared" si="368"/>
        <v>4553</v>
      </c>
      <c r="AM15" s="384">
        <v>2289</v>
      </c>
      <c r="AN15" s="384">
        <v>2090</v>
      </c>
      <c r="AO15" s="384">
        <f t="shared" si="369"/>
        <v>4379</v>
      </c>
      <c r="AP15" s="384">
        <v>2221</v>
      </c>
      <c r="AQ15" s="384">
        <v>2080</v>
      </c>
      <c r="AR15" s="384">
        <f t="shared" si="370"/>
        <v>4301</v>
      </c>
      <c r="AS15" s="384">
        <v>2385</v>
      </c>
      <c r="AT15" s="384">
        <v>2246</v>
      </c>
      <c r="AU15" s="384">
        <f t="shared" si="371"/>
        <v>4631</v>
      </c>
      <c r="AV15" s="384">
        <v>2135</v>
      </c>
      <c r="AW15" s="384">
        <v>2003</v>
      </c>
      <c r="AX15" s="384">
        <f t="shared" si="372"/>
        <v>4138</v>
      </c>
      <c r="AY15" s="384">
        <v>2224</v>
      </c>
      <c r="AZ15" s="384">
        <v>2040</v>
      </c>
      <c r="BA15" s="384">
        <f t="shared" si="373"/>
        <v>4264</v>
      </c>
      <c r="BB15" s="384">
        <v>2005</v>
      </c>
      <c r="BC15" s="384">
        <v>1868</v>
      </c>
      <c r="BD15" s="384">
        <f t="shared" si="374"/>
        <v>3873</v>
      </c>
      <c r="BE15" s="384">
        <v>2039</v>
      </c>
      <c r="BF15" s="384">
        <v>1953</v>
      </c>
      <c r="BG15" s="384">
        <f t="shared" si="375"/>
        <v>3992</v>
      </c>
      <c r="BH15" s="384">
        <v>2131</v>
      </c>
      <c r="BI15" s="384">
        <v>2066</v>
      </c>
      <c r="BJ15" s="384">
        <f t="shared" si="376"/>
        <v>4197</v>
      </c>
      <c r="BK15" s="384">
        <v>1930</v>
      </c>
      <c r="BL15" s="384">
        <v>1896</v>
      </c>
      <c r="BM15" s="384">
        <f t="shared" si="377"/>
        <v>3826</v>
      </c>
      <c r="BN15" s="384">
        <v>1978</v>
      </c>
      <c r="BO15" s="384">
        <v>1886</v>
      </c>
      <c r="BP15" s="384">
        <f t="shared" si="378"/>
        <v>3864</v>
      </c>
      <c r="BQ15" s="384">
        <v>2117</v>
      </c>
      <c r="BR15" s="384">
        <v>1935</v>
      </c>
      <c r="BS15" s="384">
        <f t="shared" si="379"/>
        <v>4052</v>
      </c>
      <c r="BT15" s="384">
        <v>2183</v>
      </c>
      <c r="BU15" s="384">
        <v>2004</v>
      </c>
      <c r="BV15" s="384">
        <f t="shared" si="380"/>
        <v>4187</v>
      </c>
      <c r="BW15" s="384">
        <v>2048</v>
      </c>
      <c r="BX15" s="384">
        <v>2045</v>
      </c>
      <c r="BY15" s="384">
        <f t="shared" si="381"/>
        <v>4093</v>
      </c>
      <c r="BZ15" s="384">
        <v>2108</v>
      </c>
      <c r="CA15" s="384">
        <v>2213</v>
      </c>
      <c r="CB15" s="384">
        <f t="shared" si="382"/>
        <v>4321</v>
      </c>
      <c r="CC15" s="384">
        <v>2163</v>
      </c>
      <c r="CD15" s="384">
        <v>2200</v>
      </c>
      <c r="CE15" s="384">
        <f t="shared" si="383"/>
        <v>4363</v>
      </c>
      <c r="CF15" s="384">
        <v>1957</v>
      </c>
      <c r="CG15" s="384">
        <v>1846</v>
      </c>
      <c r="CH15" s="384">
        <f t="shared" si="384"/>
        <v>3803</v>
      </c>
      <c r="CI15" s="384">
        <v>2279</v>
      </c>
      <c r="CJ15" s="384">
        <v>2090</v>
      </c>
      <c r="CK15" s="384">
        <f t="shared" si="385"/>
        <v>4369</v>
      </c>
      <c r="CL15" s="384">
        <v>2023</v>
      </c>
      <c r="CM15" s="384">
        <v>2092</v>
      </c>
      <c r="CN15" s="384">
        <f t="shared" si="386"/>
        <v>4115</v>
      </c>
      <c r="CO15" s="384">
        <v>2103</v>
      </c>
      <c r="CP15" s="384">
        <v>2238</v>
      </c>
      <c r="CQ15" s="384">
        <f t="shared" si="387"/>
        <v>4341</v>
      </c>
      <c r="CR15" s="384">
        <v>2172</v>
      </c>
      <c r="CS15" s="384">
        <v>2237</v>
      </c>
      <c r="CT15" s="384">
        <f t="shared" si="388"/>
        <v>4409</v>
      </c>
      <c r="CU15" s="384">
        <v>2200</v>
      </c>
      <c r="CV15" s="384">
        <v>2216</v>
      </c>
      <c r="CW15" s="384">
        <f t="shared" si="389"/>
        <v>4416</v>
      </c>
      <c r="CX15" s="384">
        <v>2034</v>
      </c>
      <c r="CY15" s="384">
        <v>2131</v>
      </c>
      <c r="CZ15" s="384">
        <f t="shared" si="390"/>
        <v>4165</v>
      </c>
      <c r="DA15" s="384">
        <v>2204</v>
      </c>
      <c r="DB15" s="384">
        <v>2259</v>
      </c>
      <c r="DC15" s="384">
        <f t="shared" si="391"/>
        <v>4463</v>
      </c>
      <c r="DD15" s="384">
        <v>2240</v>
      </c>
      <c r="DE15" s="384">
        <v>2174</v>
      </c>
      <c r="DF15" s="384">
        <f t="shared" si="392"/>
        <v>4414</v>
      </c>
      <c r="DG15" s="384">
        <v>2219</v>
      </c>
      <c r="DH15" s="384">
        <v>2215</v>
      </c>
      <c r="DI15" s="384">
        <f t="shared" si="393"/>
        <v>4434</v>
      </c>
      <c r="DJ15" s="384">
        <v>2164</v>
      </c>
      <c r="DK15" s="384">
        <v>2091</v>
      </c>
      <c r="DL15" s="384">
        <f t="shared" si="394"/>
        <v>4255</v>
      </c>
      <c r="DM15" s="384">
        <v>2120</v>
      </c>
      <c r="DN15" s="384">
        <v>2046</v>
      </c>
      <c r="DO15" s="384">
        <f t="shared" si="395"/>
        <v>4166</v>
      </c>
      <c r="DP15" s="384">
        <v>2162</v>
      </c>
      <c r="DQ15" s="384">
        <v>2062</v>
      </c>
      <c r="DR15" s="384">
        <f t="shared" si="396"/>
        <v>4224</v>
      </c>
      <c r="DS15" s="384">
        <v>2103</v>
      </c>
      <c r="DT15" s="384">
        <v>2118</v>
      </c>
      <c r="DU15" s="384">
        <f t="shared" si="397"/>
        <v>4221</v>
      </c>
      <c r="DV15" s="384">
        <v>2205</v>
      </c>
      <c r="DW15" s="384">
        <v>2104</v>
      </c>
      <c r="DX15" s="384">
        <f t="shared" si="398"/>
        <v>4309</v>
      </c>
      <c r="DY15" s="384">
        <v>2129</v>
      </c>
      <c r="DZ15" s="384">
        <v>2170</v>
      </c>
      <c r="EA15" s="384">
        <f t="shared" si="399"/>
        <v>4299</v>
      </c>
      <c r="EB15" s="384">
        <v>2306</v>
      </c>
      <c r="EC15" s="384">
        <v>2395</v>
      </c>
      <c r="ED15" s="384">
        <f t="shared" si="400"/>
        <v>4701</v>
      </c>
      <c r="EE15" s="384">
        <v>2242</v>
      </c>
      <c r="EF15" s="384">
        <v>2312</v>
      </c>
      <c r="EG15" s="384">
        <f t="shared" si="401"/>
        <v>4554</v>
      </c>
      <c r="EH15" s="384">
        <v>2062</v>
      </c>
      <c r="EI15" s="384">
        <v>2137</v>
      </c>
      <c r="EJ15" s="384">
        <f t="shared" si="402"/>
        <v>4199</v>
      </c>
      <c r="EK15" s="384">
        <v>2097</v>
      </c>
      <c r="EL15" s="384">
        <v>2204</v>
      </c>
      <c r="EM15" s="384">
        <f t="shared" si="403"/>
        <v>4301</v>
      </c>
      <c r="EN15" s="384">
        <v>1954</v>
      </c>
      <c r="EO15" s="384">
        <v>2015</v>
      </c>
      <c r="EP15" s="384">
        <f t="shared" si="404"/>
        <v>3969</v>
      </c>
      <c r="EQ15" s="384">
        <v>1890</v>
      </c>
      <c r="ER15" s="384">
        <v>1966</v>
      </c>
      <c r="ES15" s="384">
        <f t="shared" si="405"/>
        <v>3856</v>
      </c>
      <c r="ET15" s="384">
        <v>1846</v>
      </c>
      <c r="EU15" s="384">
        <v>1888</v>
      </c>
      <c r="EV15" s="384">
        <f t="shared" si="406"/>
        <v>3734</v>
      </c>
      <c r="EW15" s="384">
        <v>1889</v>
      </c>
      <c r="EX15" s="384">
        <v>1860</v>
      </c>
      <c r="EY15" s="384">
        <f t="shared" si="407"/>
        <v>3749</v>
      </c>
      <c r="EZ15" s="384">
        <v>1739</v>
      </c>
      <c r="FA15" s="384">
        <v>1773</v>
      </c>
      <c r="FB15" s="384">
        <f t="shared" si="408"/>
        <v>3512</v>
      </c>
      <c r="FC15" s="384">
        <v>1581</v>
      </c>
      <c r="FD15" s="384">
        <v>1695</v>
      </c>
      <c r="FE15" s="384">
        <f t="shared" si="409"/>
        <v>3276</v>
      </c>
      <c r="FF15" s="384">
        <v>1586</v>
      </c>
      <c r="FG15" s="384">
        <v>1741</v>
      </c>
      <c r="FH15" s="384">
        <f t="shared" si="410"/>
        <v>3327</v>
      </c>
      <c r="FI15" s="384">
        <v>1586</v>
      </c>
      <c r="FJ15" s="384">
        <v>1738</v>
      </c>
      <c r="FK15" s="384">
        <f t="shared" si="411"/>
        <v>3324</v>
      </c>
      <c r="FL15" s="384">
        <v>1488</v>
      </c>
      <c r="FM15" s="384">
        <v>1541</v>
      </c>
      <c r="FN15" s="384">
        <f t="shared" si="412"/>
        <v>3029</v>
      </c>
      <c r="FO15" s="384">
        <v>1477</v>
      </c>
      <c r="FP15" s="384">
        <v>1681</v>
      </c>
      <c r="FQ15" s="384">
        <f t="shared" si="413"/>
        <v>3158</v>
      </c>
      <c r="FR15" s="384">
        <v>1394</v>
      </c>
      <c r="FS15" s="384">
        <v>1584</v>
      </c>
      <c r="FT15" s="384">
        <f t="shared" si="414"/>
        <v>2978</v>
      </c>
      <c r="FU15" s="384">
        <v>1287</v>
      </c>
      <c r="FV15" s="384">
        <v>1451</v>
      </c>
      <c r="FW15" s="384">
        <f t="shared" si="415"/>
        <v>2738</v>
      </c>
      <c r="FX15" s="384">
        <v>1219</v>
      </c>
      <c r="FY15" s="384">
        <v>1347</v>
      </c>
      <c r="FZ15" s="384">
        <f t="shared" si="416"/>
        <v>2566</v>
      </c>
      <c r="GA15" s="384">
        <v>1210</v>
      </c>
      <c r="GB15" s="384">
        <v>1502</v>
      </c>
      <c r="GC15" s="384">
        <f t="shared" si="417"/>
        <v>2712</v>
      </c>
      <c r="GD15" s="384">
        <v>1097</v>
      </c>
      <c r="GE15" s="384">
        <v>1498</v>
      </c>
      <c r="GF15" s="384">
        <f t="shared" si="418"/>
        <v>2595</v>
      </c>
      <c r="GG15" s="384">
        <v>1117</v>
      </c>
      <c r="GH15" s="384">
        <v>1338</v>
      </c>
      <c r="GI15" s="384">
        <f t="shared" si="419"/>
        <v>2455</v>
      </c>
      <c r="GJ15" s="384">
        <v>1033</v>
      </c>
      <c r="GK15" s="384">
        <v>1373</v>
      </c>
      <c r="GL15" s="384">
        <f t="shared" si="420"/>
        <v>2406</v>
      </c>
      <c r="GM15" s="384">
        <v>999</v>
      </c>
      <c r="GN15" s="384">
        <v>1247</v>
      </c>
      <c r="GO15" s="384">
        <f t="shared" si="421"/>
        <v>2246</v>
      </c>
      <c r="GP15" s="384">
        <v>981</v>
      </c>
      <c r="GQ15" s="384">
        <v>1228</v>
      </c>
      <c r="GR15" s="384">
        <f t="shared" si="422"/>
        <v>2209</v>
      </c>
      <c r="GS15" s="384">
        <v>1028</v>
      </c>
      <c r="GT15" s="384">
        <v>1206</v>
      </c>
      <c r="GU15" s="384">
        <f t="shared" si="423"/>
        <v>2234</v>
      </c>
      <c r="GV15" s="384">
        <v>937</v>
      </c>
      <c r="GW15" s="384">
        <v>1074</v>
      </c>
      <c r="GX15" s="384">
        <f t="shared" si="424"/>
        <v>2011</v>
      </c>
      <c r="GY15" s="384">
        <v>878</v>
      </c>
      <c r="GZ15" s="384">
        <v>997</v>
      </c>
      <c r="HA15" s="384">
        <f t="shared" si="425"/>
        <v>1875</v>
      </c>
      <c r="HB15" s="384">
        <v>713</v>
      </c>
      <c r="HC15" s="384">
        <v>845</v>
      </c>
      <c r="HD15" s="384">
        <f t="shared" si="426"/>
        <v>1558</v>
      </c>
      <c r="HE15" s="384">
        <v>679</v>
      </c>
      <c r="HF15" s="384">
        <v>789</v>
      </c>
      <c r="HG15" s="384">
        <f t="shared" si="427"/>
        <v>1468</v>
      </c>
      <c r="HH15" s="384">
        <v>695</v>
      </c>
      <c r="HI15" s="384">
        <v>710</v>
      </c>
      <c r="HJ15" s="384">
        <f t="shared" si="428"/>
        <v>1405</v>
      </c>
      <c r="HK15" s="384">
        <v>673</v>
      </c>
      <c r="HL15" s="384">
        <v>581</v>
      </c>
      <c r="HM15" s="384">
        <f t="shared" si="429"/>
        <v>1254</v>
      </c>
      <c r="HN15" s="384">
        <v>535</v>
      </c>
      <c r="HO15" s="384">
        <v>529</v>
      </c>
      <c r="HP15" s="384">
        <f t="shared" si="430"/>
        <v>1064</v>
      </c>
      <c r="HQ15" s="384">
        <v>480</v>
      </c>
      <c r="HR15" s="384">
        <v>423</v>
      </c>
      <c r="HS15" s="384">
        <f t="shared" si="431"/>
        <v>903</v>
      </c>
      <c r="HT15" s="384">
        <v>368</v>
      </c>
      <c r="HU15" s="384">
        <v>397</v>
      </c>
      <c r="HV15" s="384">
        <f t="shared" si="432"/>
        <v>765</v>
      </c>
      <c r="HW15" s="384">
        <v>348</v>
      </c>
      <c r="HX15" s="384">
        <v>362</v>
      </c>
      <c r="HY15" s="384">
        <f t="shared" si="433"/>
        <v>710</v>
      </c>
      <c r="HZ15" s="384">
        <v>284</v>
      </c>
      <c r="IA15" s="384">
        <v>241</v>
      </c>
      <c r="IB15" s="384">
        <f t="shared" si="434"/>
        <v>525</v>
      </c>
      <c r="IC15" s="384">
        <v>225</v>
      </c>
      <c r="ID15" s="384">
        <v>213</v>
      </c>
      <c r="IE15" s="384">
        <f t="shared" si="435"/>
        <v>438</v>
      </c>
      <c r="IF15" s="384">
        <v>162</v>
      </c>
      <c r="IG15" s="384">
        <v>180</v>
      </c>
      <c r="IH15" s="384">
        <f t="shared" si="436"/>
        <v>342</v>
      </c>
      <c r="II15" s="384">
        <v>156</v>
      </c>
      <c r="IJ15" s="384">
        <v>192</v>
      </c>
      <c r="IK15" s="384">
        <f t="shared" si="437"/>
        <v>348</v>
      </c>
      <c r="IL15" s="384">
        <v>139</v>
      </c>
      <c r="IM15" s="384">
        <v>161</v>
      </c>
      <c r="IN15" s="384">
        <f t="shared" si="438"/>
        <v>300</v>
      </c>
      <c r="IO15" s="384">
        <v>113</v>
      </c>
      <c r="IP15" s="384">
        <v>115</v>
      </c>
      <c r="IQ15" s="384">
        <f t="shared" si="439"/>
        <v>228</v>
      </c>
      <c r="IR15" s="384">
        <v>110</v>
      </c>
      <c r="IS15" s="384">
        <v>124</v>
      </c>
      <c r="IT15" s="384">
        <f t="shared" si="440"/>
        <v>234</v>
      </c>
      <c r="IU15" s="384">
        <v>76</v>
      </c>
      <c r="IV15" s="384">
        <v>107</v>
      </c>
      <c r="IW15" s="384">
        <f t="shared" si="441"/>
        <v>183</v>
      </c>
      <c r="IX15" s="384">
        <v>60</v>
      </c>
      <c r="IY15" s="384">
        <v>67</v>
      </c>
      <c r="IZ15" s="384">
        <f t="shared" si="442"/>
        <v>127</v>
      </c>
      <c r="JA15" s="384">
        <v>48</v>
      </c>
      <c r="JB15" s="384">
        <v>78</v>
      </c>
      <c r="JC15" s="384">
        <f t="shared" si="443"/>
        <v>126</v>
      </c>
      <c r="JD15" s="384">
        <v>38</v>
      </c>
      <c r="JE15" s="384">
        <v>49</v>
      </c>
      <c r="JF15" s="384">
        <f t="shared" si="444"/>
        <v>87</v>
      </c>
      <c r="JG15" s="384">
        <v>28</v>
      </c>
      <c r="JH15" s="384">
        <v>42</v>
      </c>
      <c r="JI15" s="384">
        <f t="shared" si="445"/>
        <v>70</v>
      </c>
      <c r="JJ15" s="384">
        <v>27</v>
      </c>
      <c r="JK15" s="384">
        <v>28</v>
      </c>
      <c r="JL15" s="384">
        <f t="shared" si="446"/>
        <v>55</v>
      </c>
      <c r="JM15" s="384">
        <v>15</v>
      </c>
      <c r="JN15" s="384">
        <v>21</v>
      </c>
      <c r="JO15" s="384">
        <f t="shared" si="447"/>
        <v>36</v>
      </c>
      <c r="JP15" s="384">
        <v>9</v>
      </c>
      <c r="JQ15" s="384">
        <v>23</v>
      </c>
      <c r="JR15" s="384">
        <f t="shared" si="448"/>
        <v>32</v>
      </c>
      <c r="JS15" s="384">
        <v>12</v>
      </c>
      <c r="JT15" s="384">
        <v>16</v>
      </c>
      <c r="JU15" s="384">
        <f t="shared" si="449"/>
        <v>28</v>
      </c>
      <c r="JV15" s="384">
        <v>11</v>
      </c>
      <c r="JW15" s="384">
        <v>17</v>
      </c>
      <c r="JX15" s="384">
        <f t="shared" si="450"/>
        <v>28</v>
      </c>
      <c r="JY15" s="384">
        <v>8</v>
      </c>
      <c r="JZ15" s="384">
        <v>3</v>
      </c>
      <c r="KA15" s="384">
        <f t="shared" si="451"/>
        <v>11</v>
      </c>
      <c r="KB15" s="384">
        <v>3</v>
      </c>
      <c r="KC15" s="384">
        <v>9</v>
      </c>
      <c r="KD15" s="384">
        <f t="shared" si="452"/>
        <v>12</v>
      </c>
      <c r="KE15" s="384">
        <v>0</v>
      </c>
      <c r="KF15" s="384">
        <v>9</v>
      </c>
      <c r="KG15" s="384">
        <f t="shared" si="453"/>
        <v>9</v>
      </c>
      <c r="KH15" s="384">
        <v>1</v>
      </c>
      <c r="KI15" s="384">
        <v>1</v>
      </c>
      <c r="KJ15" s="384">
        <f t="shared" si="454"/>
        <v>2</v>
      </c>
      <c r="KK15" s="384">
        <v>2</v>
      </c>
      <c r="KL15" s="384">
        <v>2</v>
      </c>
      <c r="KM15" s="384">
        <f t="shared" si="455"/>
        <v>4</v>
      </c>
      <c r="KN15" s="384">
        <v>1</v>
      </c>
      <c r="KO15" s="384">
        <v>1</v>
      </c>
      <c r="KP15" s="384">
        <f t="shared" si="456"/>
        <v>2</v>
      </c>
      <c r="KQ15" s="384">
        <v>2</v>
      </c>
      <c r="KR15" s="384">
        <v>1</v>
      </c>
      <c r="KS15" s="384">
        <f t="shared" si="457"/>
        <v>3</v>
      </c>
      <c r="KT15" s="384">
        <v>0</v>
      </c>
      <c r="KU15" s="384">
        <v>1</v>
      </c>
      <c r="KV15" s="384">
        <f t="shared" si="458"/>
        <v>1</v>
      </c>
      <c r="KW15" s="384">
        <v>0</v>
      </c>
      <c r="KX15" s="384">
        <v>0</v>
      </c>
      <c r="KY15" s="384">
        <f t="shared" si="459"/>
        <v>0</v>
      </c>
      <c r="KZ15" s="384">
        <v>0</v>
      </c>
      <c r="LA15" s="384">
        <v>0</v>
      </c>
      <c r="LB15" s="384">
        <f t="shared" si="460"/>
        <v>0</v>
      </c>
      <c r="LC15" s="384">
        <v>0</v>
      </c>
      <c r="LD15" s="384">
        <v>0</v>
      </c>
      <c r="LE15" s="384">
        <f t="shared" si="461"/>
        <v>0</v>
      </c>
      <c r="LF15" s="384">
        <v>0</v>
      </c>
      <c r="LG15" s="384">
        <v>0</v>
      </c>
      <c r="LH15" s="384">
        <f t="shared" si="462"/>
        <v>0</v>
      </c>
      <c r="LI15" s="384">
        <v>0</v>
      </c>
      <c r="LJ15" s="384">
        <v>0</v>
      </c>
      <c r="LK15" s="384">
        <f t="shared" si="463"/>
        <v>0</v>
      </c>
      <c r="LL15" s="384">
        <v>0</v>
      </c>
      <c r="LM15" s="384">
        <v>0</v>
      </c>
      <c r="LN15" s="384">
        <f t="shared" si="464"/>
        <v>0</v>
      </c>
      <c r="LO15" s="384">
        <v>0</v>
      </c>
      <c r="LP15" s="384">
        <v>0</v>
      </c>
      <c r="LQ15" s="384">
        <f t="shared" si="465"/>
        <v>0</v>
      </c>
      <c r="LR15" s="384">
        <v>0</v>
      </c>
      <c r="LS15" s="384">
        <v>0</v>
      </c>
      <c r="LT15" s="384">
        <f t="shared" si="466"/>
        <v>0</v>
      </c>
      <c r="LU15" s="384">
        <v>0</v>
      </c>
      <c r="LV15" s="384">
        <v>0</v>
      </c>
      <c r="LW15" s="384">
        <f t="shared" si="467"/>
        <v>0</v>
      </c>
      <c r="LX15" s="384">
        <v>0</v>
      </c>
      <c r="LY15" s="384">
        <v>0</v>
      </c>
      <c r="LZ15" s="384">
        <f t="shared" si="468"/>
        <v>0</v>
      </c>
      <c r="MA15" s="384">
        <v>0</v>
      </c>
      <c r="MB15" s="384">
        <v>0</v>
      </c>
      <c r="MC15" s="384">
        <f t="shared" si="469"/>
        <v>0</v>
      </c>
      <c r="MD15" s="384">
        <v>0</v>
      </c>
      <c r="ME15" s="384">
        <v>0</v>
      </c>
      <c r="MF15" s="384">
        <f t="shared" si="470"/>
        <v>0</v>
      </c>
      <c r="MG15" s="384">
        <v>0</v>
      </c>
      <c r="MH15" s="384">
        <v>0</v>
      </c>
      <c r="MI15" s="384">
        <f t="shared" si="471"/>
        <v>0</v>
      </c>
      <c r="MJ15" s="384">
        <v>0</v>
      </c>
      <c r="MK15" s="384">
        <v>0</v>
      </c>
      <c r="ML15" s="384">
        <f t="shared" si="472"/>
        <v>0</v>
      </c>
      <c r="MM15" s="384">
        <v>0</v>
      </c>
      <c r="MN15" s="384">
        <v>0</v>
      </c>
      <c r="MO15" s="384">
        <f t="shared" si="473"/>
        <v>0</v>
      </c>
      <c r="MP15" s="384">
        <v>0</v>
      </c>
      <c r="MQ15" s="384">
        <v>0</v>
      </c>
      <c r="MR15" s="384">
        <f t="shared" si="474"/>
        <v>0</v>
      </c>
      <c r="MS15" s="384">
        <v>0</v>
      </c>
      <c r="MT15" s="384">
        <v>0</v>
      </c>
      <c r="MU15" s="384">
        <f t="shared" si="475"/>
        <v>0</v>
      </c>
      <c r="MV15" s="384">
        <v>0</v>
      </c>
      <c r="MW15" s="384">
        <v>0</v>
      </c>
      <c r="MX15" s="384">
        <f t="shared" si="476"/>
        <v>0</v>
      </c>
      <c r="MY15" s="384">
        <v>0</v>
      </c>
      <c r="MZ15" s="384">
        <v>0</v>
      </c>
      <c r="NA15" s="557">
        <f t="shared" si="477"/>
        <v>0</v>
      </c>
      <c r="NB15" s="384">
        <v>0</v>
      </c>
      <c r="NC15" s="384">
        <v>0</v>
      </c>
      <c r="ND15" s="555">
        <f t="shared" si="478"/>
        <v>0</v>
      </c>
      <c r="NE15" s="570">
        <f t="shared" si="479"/>
        <v>135829</v>
      </c>
      <c r="NF15" s="571">
        <f t="shared" si="479"/>
        <v>136427</v>
      </c>
      <c r="NG15" s="572">
        <f t="shared" si="480"/>
        <v>272256</v>
      </c>
      <c r="NH15" s="570">
        <f t="shared" si="481"/>
        <v>10358</v>
      </c>
      <c r="NI15" s="571">
        <f t="shared" si="481"/>
        <v>9537</v>
      </c>
      <c r="NJ15" s="572">
        <f t="shared" si="482"/>
        <v>19895</v>
      </c>
    </row>
    <row r="16" spans="1:374" x14ac:dyDescent="0.3">
      <c r="A16" s="558" t="s">
        <v>259</v>
      </c>
      <c r="B16" s="592" t="s">
        <v>30</v>
      </c>
      <c r="C16" s="561">
        <v>274</v>
      </c>
      <c r="D16" s="388">
        <v>227</v>
      </c>
      <c r="E16" s="388">
        <f t="shared" si="357"/>
        <v>501</v>
      </c>
      <c r="F16" s="388">
        <v>359</v>
      </c>
      <c r="G16" s="388">
        <v>330</v>
      </c>
      <c r="H16" s="388">
        <f t="shared" si="358"/>
        <v>689</v>
      </c>
      <c r="I16" s="388">
        <v>423</v>
      </c>
      <c r="J16" s="388">
        <v>375</v>
      </c>
      <c r="K16" s="388">
        <f t="shared" si="359"/>
        <v>798</v>
      </c>
      <c r="L16" s="388">
        <v>468</v>
      </c>
      <c r="M16" s="388">
        <v>443</v>
      </c>
      <c r="N16" s="388">
        <f t="shared" si="360"/>
        <v>911</v>
      </c>
      <c r="O16" s="388">
        <v>509</v>
      </c>
      <c r="P16" s="388">
        <v>463</v>
      </c>
      <c r="Q16" s="388">
        <f t="shared" si="361"/>
        <v>972</v>
      </c>
      <c r="R16" s="388">
        <v>545</v>
      </c>
      <c r="S16" s="388">
        <v>494</v>
      </c>
      <c r="T16" s="388">
        <f t="shared" si="362"/>
        <v>1039</v>
      </c>
      <c r="U16" s="388">
        <v>593</v>
      </c>
      <c r="V16" s="388">
        <v>516</v>
      </c>
      <c r="W16" s="388">
        <f t="shared" si="363"/>
        <v>1109</v>
      </c>
      <c r="X16" s="388">
        <v>588</v>
      </c>
      <c r="Y16" s="388">
        <v>567</v>
      </c>
      <c r="Z16" s="388">
        <f t="shared" si="364"/>
        <v>1155</v>
      </c>
      <c r="AA16" s="388">
        <v>587</v>
      </c>
      <c r="AB16" s="388">
        <v>547</v>
      </c>
      <c r="AC16" s="388">
        <f t="shared" si="365"/>
        <v>1134</v>
      </c>
      <c r="AD16" s="388">
        <v>529</v>
      </c>
      <c r="AE16" s="388">
        <v>477</v>
      </c>
      <c r="AF16" s="388">
        <f t="shared" si="366"/>
        <v>1006</v>
      </c>
      <c r="AG16" s="388">
        <v>525</v>
      </c>
      <c r="AH16" s="388">
        <v>551</v>
      </c>
      <c r="AI16" s="388">
        <f t="shared" si="367"/>
        <v>1076</v>
      </c>
      <c r="AJ16" s="388">
        <v>546</v>
      </c>
      <c r="AK16" s="388">
        <v>489</v>
      </c>
      <c r="AL16" s="388">
        <f t="shared" si="368"/>
        <v>1035</v>
      </c>
      <c r="AM16" s="388">
        <v>575</v>
      </c>
      <c r="AN16" s="388">
        <v>449</v>
      </c>
      <c r="AO16" s="388">
        <f t="shared" si="369"/>
        <v>1024</v>
      </c>
      <c r="AP16" s="388">
        <v>538</v>
      </c>
      <c r="AQ16" s="388">
        <v>503</v>
      </c>
      <c r="AR16" s="388">
        <f t="shared" si="370"/>
        <v>1041</v>
      </c>
      <c r="AS16" s="388">
        <v>565</v>
      </c>
      <c r="AT16" s="388">
        <v>547</v>
      </c>
      <c r="AU16" s="388">
        <f t="shared" si="371"/>
        <v>1112</v>
      </c>
      <c r="AV16" s="388">
        <v>532</v>
      </c>
      <c r="AW16" s="388">
        <v>449</v>
      </c>
      <c r="AX16" s="388">
        <f t="shared" si="372"/>
        <v>981</v>
      </c>
      <c r="AY16" s="388">
        <v>502</v>
      </c>
      <c r="AZ16" s="388">
        <v>500</v>
      </c>
      <c r="BA16" s="388">
        <f t="shared" si="373"/>
        <v>1002</v>
      </c>
      <c r="BB16" s="388">
        <v>489</v>
      </c>
      <c r="BC16" s="388">
        <v>458</v>
      </c>
      <c r="BD16" s="388">
        <f t="shared" si="374"/>
        <v>947</v>
      </c>
      <c r="BE16" s="388">
        <v>508</v>
      </c>
      <c r="BF16" s="388">
        <v>470</v>
      </c>
      <c r="BG16" s="388">
        <f t="shared" si="375"/>
        <v>978</v>
      </c>
      <c r="BH16" s="388">
        <v>483</v>
      </c>
      <c r="BI16" s="388">
        <v>502</v>
      </c>
      <c r="BJ16" s="388">
        <f t="shared" si="376"/>
        <v>985</v>
      </c>
      <c r="BK16" s="388">
        <v>468</v>
      </c>
      <c r="BL16" s="388">
        <v>429</v>
      </c>
      <c r="BM16" s="388">
        <f t="shared" si="377"/>
        <v>897</v>
      </c>
      <c r="BN16" s="388">
        <v>468</v>
      </c>
      <c r="BO16" s="388">
        <v>460</v>
      </c>
      <c r="BP16" s="388">
        <f t="shared" si="378"/>
        <v>928</v>
      </c>
      <c r="BQ16" s="388">
        <v>529</v>
      </c>
      <c r="BR16" s="388">
        <v>450</v>
      </c>
      <c r="BS16" s="388">
        <f t="shared" si="379"/>
        <v>979</v>
      </c>
      <c r="BT16" s="388">
        <v>540</v>
      </c>
      <c r="BU16" s="388">
        <v>478</v>
      </c>
      <c r="BV16" s="388">
        <f t="shared" si="380"/>
        <v>1018</v>
      </c>
      <c r="BW16" s="388">
        <v>514</v>
      </c>
      <c r="BX16" s="388">
        <v>482</v>
      </c>
      <c r="BY16" s="388">
        <f t="shared" si="381"/>
        <v>996</v>
      </c>
      <c r="BZ16" s="388">
        <v>546</v>
      </c>
      <c r="CA16" s="388">
        <v>550</v>
      </c>
      <c r="CB16" s="388">
        <f t="shared" si="382"/>
        <v>1096</v>
      </c>
      <c r="CC16" s="388">
        <v>573</v>
      </c>
      <c r="CD16" s="388">
        <v>564</v>
      </c>
      <c r="CE16" s="388">
        <f t="shared" si="383"/>
        <v>1137</v>
      </c>
      <c r="CF16" s="388">
        <v>517</v>
      </c>
      <c r="CG16" s="388">
        <v>432</v>
      </c>
      <c r="CH16" s="388">
        <f t="shared" si="384"/>
        <v>949</v>
      </c>
      <c r="CI16" s="388">
        <v>582</v>
      </c>
      <c r="CJ16" s="388">
        <v>482</v>
      </c>
      <c r="CK16" s="388">
        <f t="shared" si="385"/>
        <v>1064</v>
      </c>
      <c r="CL16" s="388">
        <v>541</v>
      </c>
      <c r="CM16" s="388">
        <v>562</v>
      </c>
      <c r="CN16" s="388">
        <f t="shared" si="386"/>
        <v>1103</v>
      </c>
      <c r="CO16" s="388">
        <v>521</v>
      </c>
      <c r="CP16" s="388">
        <v>542</v>
      </c>
      <c r="CQ16" s="388">
        <f t="shared" si="387"/>
        <v>1063</v>
      </c>
      <c r="CR16" s="388">
        <v>563</v>
      </c>
      <c r="CS16" s="388">
        <v>543</v>
      </c>
      <c r="CT16" s="388">
        <f t="shared" si="388"/>
        <v>1106</v>
      </c>
      <c r="CU16" s="388">
        <v>537</v>
      </c>
      <c r="CV16" s="388">
        <v>547</v>
      </c>
      <c r="CW16" s="388">
        <f t="shared" si="389"/>
        <v>1084</v>
      </c>
      <c r="CX16" s="388">
        <v>514</v>
      </c>
      <c r="CY16" s="388">
        <v>537</v>
      </c>
      <c r="CZ16" s="388">
        <f t="shared" si="390"/>
        <v>1051</v>
      </c>
      <c r="DA16" s="388">
        <v>541</v>
      </c>
      <c r="DB16" s="388">
        <v>559</v>
      </c>
      <c r="DC16" s="388">
        <f t="shared" si="391"/>
        <v>1100</v>
      </c>
      <c r="DD16" s="388">
        <v>551</v>
      </c>
      <c r="DE16" s="388">
        <v>534</v>
      </c>
      <c r="DF16" s="388">
        <f t="shared" si="392"/>
        <v>1085</v>
      </c>
      <c r="DG16" s="388">
        <v>498</v>
      </c>
      <c r="DH16" s="388">
        <v>530</v>
      </c>
      <c r="DI16" s="388">
        <f t="shared" si="393"/>
        <v>1028</v>
      </c>
      <c r="DJ16" s="388">
        <v>535</v>
      </c>
      <c r="DK16" s="388">
        <v>477</v>
      </c>
      <c r="DL16" s="388">
        <f t="shared" si="394"/>
        <v>1012</v>
      </c>
      <c r="DM16" s="388">
        <v>500</v>
      </c>
      <c r="DN16" s="388">
        <v>508</v>
      </c>
      <c r="DO16" s="388">
        <f t="shared" si="395"/>
        <v>1008</v>
      </c>
      <c r="DP16" s="388">
        <v>524</v>
      </c>
      <c r="DQ16" s="388">
        <v>507</v>
      </c>
      <c r="DR16" s="388">
        <f t="shared" si="396"/>
        <v>1031</v>
      </c>
      <c r="DS16" s="388">
        <v>475</v>
      </c>
      <c r="DT16" s="388">
        <v>504</v>
      </c>
      <c r="DU16" s="388">
        <f t="shared" si="397"/>
        <v>979</v>
      </c>
      <c r="DV16" s="388">
        <v>514</v>
      </c>
      <c r="DW16" s="388">
        <v>470</v>
      </c>
      <c r="DX16" s="388">
        <f t="shared" si="398"/>
        <v>984</v>
      </c>
      <c r="DY16" s="388">
        <v>512</v>
      </c>
      <c r="DZ16" s="388">
        <v>546</v>
      </c>
      <c r="EA16" s="388">
        <f t="shared" si="399"/>
        <v>1058</v>
      </c>
      <c r="EB16" s="388">
        <v>518</v>
      </c>
      <c r="EC16" s="388">
        <v>540</v>
      </c>
      <c r="ED16" s="388">
        <f t="shared" si="400"/>
        <v>1058</v>
      </c>
      <c r="EE16" s="388">
        <v>551</v>
      </c>
      <c r="EF16" s="388">
        <v>546</v>
      </c>
      <c r="EG16" s="388">
        <f t="shared" si="401"/>
        <v>1097</v>
      </c>
      <c r="EH16" s="388">
        <v>454</v>
      </c>
      <c r="EI16" s="388">
        <v>513</v>
      </c>
      <c r="EJ16" s="388">
        <f t="shared" si="402"/>
        <v>967</v>
      </c>
      <c r="EK16" s="388">
        <v>495</v>
      </c>
      <c r="EL16" s="388">
        <v>522</v>
      </c>
      <c r="EM16" s="388">
        <f t="shared" si="403"/>
        <v>1017</v>
      </c>
      <c r="EN16" s="388">
        <v>437</v>
      </c>
      <c r="EO16" s="388">
        <v>455</v>
      </c>
      <c r="EP16" s="388">
        <f t="shared" si="404"/>
        <v>892</v>
      </c>
      <c r="EQ16" s="388">
        <v>405</v>
      </c>
      <c r="ER16" s="388">
        <v>454</v>
      </c>
      <c r="ES16" s="388">
        <f t="shared" si="405"/>
        <v>859</v>
      </c>
      <c r="ET16" s="388">
        <v>416</v>
      </c>
      <c r="EU16" s="388">
        <v>416</v>
      </c>
      <c r="EV16" s="388">
        <f t="shared" si="406"/>
        <v>832</v>
      </c>
      <c r="EW16" s="388">
        <v>448</v>
      </c>
      <c r="EX16" s="388">
        <v>460</v>
      </c>
      <c r="EY16" s="388">
        <f t="shared" si="407"/>
        <v>908</v>
      </c>
      <c r="EZ16" s="388">
        <v>384</v>
      </c>
      <c r="FA16" s="388">
        <v>407</v>
      </c>
      <c r="FB16" s="388">
        <f t="shared" si="408"/>
        <v>791</v>
      </c>
      <c r="FC16" s="388">
        <v>411</v>
      </c>
      <c r="FD16" s="388">
        <v>434</v>
      </c>
      <c r="FE16" s="388">
        <f t="shared" si="409"/>
        <v>845</v>
      </c>
      <c r="FF16" s="388">
        <v>378</v>
      </c>
      <c r="FG16" s="388">
        <v>398</v>
      </c>
      <c r="FH16" s="388">
        <f t="shared" si="410"/>
        <v>776</v>
      </c>
      <c r="FI16" s="388">
        <v>387</v>
      </c>
      <c r="FJ16" s="388">
        <v>439</v>
      </c>
      <c r="FK16" s="388">
        <f t="shared" si="411"/>
        <v>826</v>
      </c>
      <c r="FL16" s="388">
        <v>346</v>
      </c>
      <c r="FM16" s="388">
        <v>401</v>
      </c>
      <c r="FN16" s="388">
        <f t="shared" si="412"/>
        <v>747</v>
      </c>
      <c r="FO16" s="388">
        <v>373</v>
      </c>
      <c r="FP16" s="388">
        <v>435</v>
      </c>
      <c r="FQ16" s="388">
        <f t="shared" si="413"/>
        <v>808</v>
      </c>
      <c r="FR16" s="388">
        <v>345</v>
      </c>
      <c r="FS16" s="388">
        <v>391</v>
      </c>
      <c r="FT16" s="388">
        <f t="shared" si="414"/>
        <v>736</v>
      </c>
      <c r="FU16" s="388">
        <v>334</v>
      </c>
      <c r="FV16" s="388">
        <v>372</v>
      </c>
      <c r="FW16" s="388">
        <f t="shared" si="415"/>
        <v>706</v>
      </c>
      <c r="FX16" s="388">
        <v>335</v>
      </c>
      <c r="FY16" s="388">
        <v>324</v>
      </c>
      <c r="FZ16" s="388">
        <f t="shared" si="416"/>
        <v>659</v>
      </c>
      <c r="GA16" s="388">
        <v>303</v>
      </c>
      <c r="GB16" s="388">
        <v>370</v>
      </c>
      <c r="GC16" s="388">
        <f t="shared" si="417"/>
        <v>673</v>
      </c>
      <c r="GD16" s="388">
        <v>269</v>
      </c>
      <c r="GE16" s="388">
        <v>371</v>
      </c>
      <c r="GF16" s="388">
        <f t="shared" si="418"/>
        <v>640</v>
      </c>
      <c r="GG16" s="388">
        <v>298</v>
      </c>
      <c r="GH16" s="388">
        <v>359</v>
      </c>
      <c r="GI16" s="388">
        <f t="shared" si="419"/>
        <v>657</v>
      </c>
      <c r="GJ16" s="388">
        <v>266</v>
      </c>
      <c r="GK16" s="388">
        <v>346</v>
      </c>
      <c r="GL16" s="388">
        <f t="shared" si="420"/>
        <v>612</v>
      </c>
      <c r="GM16" s="388">
        <v>267</v>
      </c>
      <c r="GN16" s="388">
        <v>318</v>
      </c>
      <c r="GO16" s="388">
        <f t="shared" si="421"/>
        <v>585</v>
      </c>
      <c r="GP16" s="388">
        <v>234</v>
      </c>
      <c r="GQ16" s="388">
        <v>297</v>
      </c>
      <c r="GR16" s="388">
        <f t="shared" si="422"/>
        <v>531</v>
      </c>
      <c r="GS16" s="388">
        <v>248</v>
      </c>
      <c r="GT16" s="388">
        <v>286</v>
      </c>
      <c r="GU16" s="388">
        <f t="shared" si="423"/>
        <v>534</v>
      </c>
      <c r="GV16" s="388">
        <v>241</v>
      </c>
      <c r="GW16" s="388">
        <v>246</v>
      </c>
      <c r="GX16" s="388">
        <f t="shared" si="424"/>
        <v>487</v>
      </c>
      <c r="GY16" s="388">
        <v>216</v>
      </c>
      <c r="GZ16" s="388">
        <v>224</v>
      </c>
      <c r="HA16" s="388">
        <f t="shared" si="425"/>
        <v>440</v>
      </c>
      <c r="HB16" s="388">
        <v>152</v>
      </c>
      <c r="HC16" s="388">
        <v>192</v>
      </c>
      <c r="HD16" s="388">
        <f t="shared" si="426"/>
        <v>344</v>
      </c>
      <c r="HE16" s="388">
        <v>163</v>
      </c>
      <c r="HF16" s="388">
        <v>161</v>
      </c>
      <c r="HG16" s="388">
        <f t="shared" si="427"/>
        <v>324</v>
      </c>
      <c r="HH16" s="388">
        <v>143</v>
      </c>
      <c r="HI16" s="388">
        <v>146</v>
      </c>
      <c r="HJ16" s="388">
        <f t="shared" si="428"/>
        <v>289</v>
      </c>
      <c r="HK16" s="388">
        <v>155</v>
      </c>
      <c r="HL16" s="388">
        <v>115</v>
      </c>
      <c r="HM16" s="388">
        <f t="shared" si="429"/>
        <v>270</v>
      </c>
      <c r="HN16" s="388">
        <v>114</v>
      </c>
      <c r="HO16" s="388">
        <v>112</v>
      </c>
      <c r="HP16" s="388">
        <f t="shared" si="430"/>
        <v>226</v>
      </c>
      <c r="HQ16" s="388">
        <v>101</v>
      </c>
      <c r="HR16" s="388">
        <v>75</v>
      </c>
      <c r="HS16" s="388">
        <f t="shared" si="431"/>
        <v>176</v>
      </c>
      <c r="HT16" s="388">
        <v>72</v>
      </c>
      <c r="HU16" s="388">
        <v>74</v>
      </c>
      <c r="HV16" s="388">
        <f t="shared" si="432"/>
        <v>146</v>
      </c>
      <c r="HW16" s="388">
        <v>71</v>
      </c>
      <c r="HX16" s="388">
        <v>69</v>
      </c>
      <c r="HY16" s="388">
        <f t="shared" si="433"/>
        <v>140</v>
      </c>
      <c r="HZ16" s="388">
        <v>49</v>
      </c>
      <c r="IA16" s="388">
        <v>52</v>
      </c>
      <c r="IB16" s="388">
        <f t="shared" si="434"/>
        <v>101</v>
      </c>
      <c r="IC16" s="388">
        <v>41</v>
      </c>
      <c r="ID16" s="388">
        <v>51</v>
      </c>
      <c r="IE16" s="388">
        <f t="shared" si="435"/>
        <v>92</v>
      </c>
      <c r="IF16" s="388">
        <v>25</v>
      </c>
      <c r="IG16" s="388">
        <v>39</v>
      </c>
      <c r="IH16" s="388">
        <f t="shared" si="436"/>
        <v>64</v>
      </c>
      <c r="II16" s="388">
        <v>33</v>
      </c>
      <c r="IJ16" s="388">
        <v>38</v>
      </c>
      <c r="IK16" s="388">
        <f t="shared" si="437"/>
        <v>71</v>
      </c>
      <c r="IL16" s="388">
        <v>25</v>
      </c>
      <c r="IM16" s="388">
        <v>30</v>
      </c>
      <c r="IN16" s="388">
        <f t="shared" si="438"/>
        <v>55</v>
      </c>
      <c r="IO16" s="388">
        <v>24</v>
      </c>
      <c r="IP16" s="388">
        <v>23</v>
      </c>
      <c r="IQ16" s="388">
        <f t="shared" si="439"/>
        <v>47</v>
      </c>
      <c r="IR16" s="388">
        <v>27</v>
      </c>
      <c r="IS16" s="388">
        <v>30</v>
      </c>
      <c r="IT16" s="388">
        <f t="shared" si="440"/>
        <v>57</v>
      </c>
      <c r="IU16" s="388">
        <v>17</v>
      </c>
      <c r="IV16" s="388">
        <v>19</v>
      </c>
      <c r="IW16" s="388">
        <f t="shared" si="441"/>
        <v>36</v>
      </c>
      <c r="IX16" s="388">
        <v>10</v>
      </c>
      <c r="IY16" s="388">
        <v>22</v>
      </c>
      <c r="IZ16" s="388">
        <f t="shared" si="442"/>
        <v>32</v>
      </c>
      <c r="JA16" s="388">
        <v>12</v>
      </c>
      <c r="JB16" s="388">
        <v>14</v>
      </c>
      <c r="JC16" s="388">
        <f t="shared" si="443"/>
        <v>26</v>
      </c>
      <c r="JD16" s="388">
        <v>11</v>
      </c>
      <c r="JE16" s="388">
        <v>12</v>
      </c>
      <c r="JF16" s="388">
        <f t="shared" si="444"/>
        <v>23</v>
      </c>
      <c r="JG16" s="388">
        <v>4</v>
      </c>
      <c r="JH16" s="388">
        <v>11</v>
      </c>
      <c r="JI16" s="388">
        <f t="shared" si="445"/>
        <v>15</v>
      </c>
      <c r="JJ16" s="388">
        <v>6</v>
      </c>
      <c r="JK16" s="388">
        <v>6</v>
      </c>
      <c r="JL16" s="388">
        <f t="shared" si="446"/>
        <v>12</v>
      </c>
      <c r="JM16" s="388">
        <v>1</v>
      </c>
      <c r="JN16" s="388">
        <v>5</v>
      </c>
      <c r="JO16" s="388">
        <f t="shared" si="447"/>
        <v>6</v>
      </c>
      <c r="JP16" s="388">
        <v>4</v>
      </c>
      <c r="JQ16" s="388">
        <v>2</v>
      </c>
      <c r="JR16" s="388">
        <f t="shared" si="448"/>
        <v>6</v>
      </c>
      <c r="JS16" s="388">
        <v>4</v>
      </c>
      <c r="JT16" s="388">
        <v>4</v>
      </c>
      <c r="JU16" s="388">
        <f t="shared" si="449"/>
        <v>8</v>
      </c>
      <c r="JV16" s="388">
        <v>2</v>
      </c>
      <c r="JW16" s="388">
        <v>3</v>
      </c>
      <c r="JX16" s="388">
        <f t="shared" si="450"/>
        <v>5</v>
      </c>
      <c r="JY16" s="388">
        <v>3</v>
      </c>
      <c r="JZ16" s="388">
        <v>3</v>
      </c>
      <c r="KA16" s="388">
        <f t="shared" si="451"/>
        <v>6</v>
      </c>
      <c r="KB16" s="388">
        <v>0</v>
      </c>
      <c r="KC16" s="388">
        <v>3</v>
      </c>
      <c r="KD16" s="388">
        <f t="shared" si="452"/>
        <v>3</v>
      </c>
      <c r="KE16" s="388">
        <v>0</v>
      </c>
      <c r="KF16" s="388">
        <v>1</v>
      </c>
      <c r="KG16" s="388">
        <f t="shared" si="453"/>
        <v>1</v>
      </c>
      <c r="KH16" s="388">
        <v>0</v>
      </c>
      <c r="KI16" s="388">
        <v>0</v>
      </c>
      <c r="KJ16" s="388">
        <f t="shared" si="454"/>
        <v>0</v>
      </c>
      <c r="KK16" s="388">
        <v>0</v>
      </c>
      <c r="KL16" s="388">
        <v>0</v>
      </c>
      <c r="KM16" s="388">
        <f t="shared" si="455"/>
        <v>0</v>
      </c>
      <c r="KN16" s="388">
        <v>1</v>
      </c>
      <c r="KO16" s="388">
        <v>0</v>
      </c>
      <c r="KP16" s="388">
        <f t="shared" si="456"/>
        <v>1</v>
      </c>
      <c r="KQ16" s="388">
        <v>0</v>
      </c>
      <c r="KR16" s="388">
        <v>0</v>
      </c>
      <c r="KS16" s="388">
        <f t="shared" si="457"/>
        <v>0</v>
      </c>
      <c r="KT16" s="388">
        <v>0</v>
      </c>
      <c r="KU16" s="388">
        <v>0</v>
      </c>
      <c r="KV16" s="388">
        <f t="shared" si="458"/>
        <v>0</v>
      </c>
      <c r="KW16" s="388">
        <v>0</v>
      </c>
      <c r="KX16" s="388">
        <v>0</v>
      </c>
      <c r="KY16" s="388">
        <f t="shared" si="459"/>
        <v>0</v>
      </c>
      <c r="KZ16" s="388">
        <v>0</v>
      </c>
      <c r="LA16" s="388">
        <v>0</v>
      </c>
      <c r="LB16" s="388">
        <f t="shared" si="460"/>
        <v>0</v>
      </c>
      <c r="LC16" s="388">
        <v>0</v>
      </c>
      <c r="LD16" s="388">
        <v>0</v>
      </c>
      <c r="LE16" s="388">
        <f t="shared" si="461"/>
        <v>0</v>
      </c>
      <c r="LF16" s="388">
        <v>0</v>
      </c>
      <c r="LG16" s="388">
        <v>0</v>
      </c>
      <c r="LH16" s="388">
        <f t="shared" si="462"/>
        <v>0</v>
      </c>
      <c r="LI16" s="388">
        <v>0</v>
      </c>
      <c r="LJ16" s="388">
        <v>0</v>
      </c>
      <c r="LK16" s="388">
        <f t="shared" si="463"/>
        <v>0</v>
      </c>
      <c r="LL16" s="388">
        <v>0</v>
      </c>
      <c r="LM16" s="388">
        <v>0</v>
      </c>
      <c r="LN16" s="388">
        <f t="shared" si="464"/>
        <v>0</v>
      </c>
      <c r="LO16" s="388">
        <v>0</v>
      </c>
      <c r="LP16" s="388">
        <v>0</v>
      </c>
      <c r="LQ16" s="388">
        <f t="shared" si="465"/>
        <v>0</v>
      </c>
      <c r="LR16" s="388">
        <v>0</v>
      </c>
      <c r="LS16" s="388">
        <v>0</v>
      </c>
      <c r="LT16" s="388">
        <f t="shared" si="466"/>
        <v>0</v>
      </c>
      <c r="LU16" s="388">
        <v>0</v>
      </c>
      <c r="LV16" s="388">
        <v>0</v>
      </c>
      <c r="LW16" s="388">
        <f t="shared" si="467"/>
        <v>0</v>
      </c>
      <c r="LX16" s="388">
        <v>0</v>
      </c>
      <c r="LY16" s="388">
        <v>0</v>
      </c>
      <c r="LZ16" s="388">
        <f t="shared" si="468"/>
        <v>0</v>
      </c>
      <c r="MA16" s="388">
        <v>0</v>
      </c>
      <c r="MB16" s="388">
        <v>0</v>
      </c>
      <c r="MC16" s="388">
        <f t="shared" si="469"/>
        <v>0</v>
      </c>
      <c r="MD16" s="388">
        <v>0</v>
      </c>
      <c r="ME16" s="388">
        <v>0</v>
      </c>
      <c r="MF16" s="388">
        <f t="shared" si="470"/>
        <v>0</v>
      </c>
      <c r="MG16" s="388">
        <v>0</v>
      </c>
      <c r="MH16" s="388">
        <v>0</v>
      </c>
      <c r="MI16" s="388">
        <f t="shared" si="471"/>
        <v>0</v>
      </c>
      <c r="MJ16" s="388">
        <v>0</v>
      </c>
      <c r="MK16" s="388">
        <v>0</v>
      </c>
      <c r="ML16" s="388">
        <f t="shared" si="472"/>
        <v>0</v>
      </c>
      <c r="MM16" s="388">
        <v>0</v>
      </c>
      <c r="MN16" s="388">
        <v>0</v>
      </c>
      <c r="MO16" s="388">
        <f t="shared" si="473"/>
        <v>0</v>
      </c>
      <c r="MP16" s="388">
        <v>0</v>
      </c>
      <c r="MQ16" s="388">
        <v>0</v>
      </c>
      <c r="MR16" s="388">
        <f t="shared" si="474"/>
        <v>0</v>
      </c>
      <c r="MS16" s="388">
        <v>0</v>
      </c>
      <c r="MT16" s="388">
        <v>0</v>
      </c>
      <c r="MU16" s="388">
        <f t="shared" si="475"/>
        <v>0</v>
      </c>
      <c r="MV16" s="388">
        <v>0</v>
      </c>
      <c r="MW16" s="388">
        <v>0</v>
      </c>
      <c r="MX16" s="388">
        <f t="shared" si="476"/>
        <v>0</v>
      </c>
      <c r="MY16" s="388">
        <v>0</v>
      </c>
      <c r="MZ16" s="388">
        <v>0</v>
      </c>
      <c r="NA16" s="562">
        <f t="shared" si="477"/>
        <v>0</v>
      </c>
      <c r="NB16" s="388">
        <v>0</v>
      </c>
      <c r="NC16" s="388">
        <v>0</v>
      </c>
      <c r="ND16" s="560">
        <f t="shared" si="478"/>
        <v>0</v>
      </c>
      <c r="NE16" s="559">
        <f t="shared" si="479"/>
        <v>32830</v>
      </c>
      <c r="NF16" s="388">
        <f t="shared" si="479"/>
        <v>32686</v>
      </c>
      <c r="NG16" s="560">
        <f t="shared" si="480"/>
        <v>65516</v>
      </c>
      <c r="NH16" s="559">
        <f t="shared" si="481"/>
        <v>2578</v>
      </c>
      <c r="NI16" s="388">
        <f t="shared" si="481"/>
        <v>2332</v>
      </c>
      <c r="NJ16" s="560">
        <f t="shared" si="482"/>
        <v>4910</v>
      </c>
    </row>
    <row r="17" spans="1:374" x14ac:dyDescent="0.3">
      <c r="A17" s="558" t="s">
        <v>260</v>
      </c>
      <c r="B17" s="592" t="s">
        <v>33</v>
      </c>
      <c r="C17" s="561">
        <v>216</v>
      </c>
      <c r="D17" s="388">
        <v>171</v>
      </c>
      <c r="E17" s="388">
        <f t="shared" si="357"/>
        <v>387</v>
      </c>
      <c r="F17" s="388">
        <v>250</v>
      </c>
      <c r="G17" s="388">
        <v>276</v>
      </c>
      <c r="H17" s="388">
        <f t="shared" si="358"/>
        <v>526</v>
      </c>
      <c r="I17" s="388">
        <v>343</v>
      </c>
      <c r="J17" s="388">
        <v>299</v>
      </c>
      <c r="K17" s="388">
        <f t="shared" si="359"/>
        <v>642</v>
      </c>
      <c r="L17" s="388">
        <v>350</v>
      </c>
      <c r="M17" s="388">
        <v>319</v>
      </c>
      <c r="N17" s="388">
        <f t="shared" si="360"/>
        <v>669</v>
      </c>
      <c r="O17" s="388">
        <v>368</v>
      </c>
      <c r="P17" s="388">
        <v>348</v>
      </c>
      <c r="Q17" s="388">
        <f t="shared" si="361"/>
        <v>716</v>
      </c>
      <c r="R17" s="388">
        <v>428</v>
      </c>
      <c r="S17" s="388">
        <v>386</v>
      </c>
      <c r="T17" s="388">
        <f t="shared" si="362"/>
        <v>814</v>
      </c>
      <c r="U17" s="388">
        <v>410</v>
      </c>
      <c r="V17" s="388">
        <v>441</v>
      </c>
      <c r="W17" s="388">
        <f t="shared" si="363"/>
        <v>851</v>
      </c>
      <c r="X17" s="388">
        <v>457</v>
      </c>
      <c r="Y17" s="388">
        <v>416</v>
      </c>
      <c r="Z17" s="388">
        <f t="shared" si="364"/>
        <v>873</v>
      </c>
      <c r="AA17" s="388">
        <v>423</v>
      </c>
      <c r="AB17" s="388">
        <v>417</v>
      </c>
      <c r="AC17" s="388">
        <f t="shared" si="365"/>
        <v>840</v>
      </c>
      <c r="AD17" s="388">
        <v>415</v>
      </c>
      <c r="AE17" s="388">
        <v>383</v>
      </c>
      <c r="AF17" s="388">
        <f t="shared" si="366"/>
        <v>798</v>
      </c>
      <c r="AG17" s="388">
        <v>456</v>
      </c>
      <c r="AH17" s="388">
        <v>410</v>
      </c>
      <c r="AI17" s="388">
        <f t="shared" si="367"/>
        <v>866</v>
      </c>
      <c r="AJ17" s="388">
        <v>457</v>
      </c>
      <c r="AK17" s="388">
        <v>445</v>
      </c>
      <c r="AL17" s="388">
        <f t="shared" si="368"/>
        <v>902</v>
      </c>
      <c r="AM17" s="388">
        <v>442</v>
      </c>
      <c r="AN17" s="388">
        <v>436</v>
      </c>
      <c r="AO17" s="388">
        <f t="shared" si="369"/>
        <v>878</v>
      </c>
      <c r="AP17" s="388">
        <v>405</v>
      </c>
      <c r="AQ17" s="388">
        <v>390</v>
      </c>
      <c r="AR17" s="388">
        <f t="shared" si="370"/>
        <v>795</v>
      </c>
      <c r="AS17" s="388">
        <v>484</v>
      </c>
      <c r="AT17" s="388">
        <v>428</v>
      </c>
      <c r="AU17" s="388">
        <f t="shared" si="371"/>
        <v>912</v>
      </c>
      <c r="AV17" s="388">
        <v>390</v>
      </c>
      <c r="AW17" s="388">
        <v>398</v>
      </c>
      <c r="AX17" s="388">
        <f t="shared" si="372"/>
        <v>788</v>
      </c>
      <c r="AY17" s="388">
        <v>448</v>
      </c>
      <c r="AZ17" s="388">
        <v>388</v>
      </c>
      <c r="BA17" s="388">
        <f t="shared" si="373"/>
        <v>836</v>
      </c>
      <c r="BB17" s="388">
        <v>355</v>
      </c>
      <c r="BC17" s="388">
        <v>391</v>
      </c>
      <c r="BD17" s="388">
        <f t="shared" si="374"/>
        <v>746</v>
      </c>
      <c r="BE17" s="388">
        <v>386</v>
      </c>
      <c r="BF17" s="388">
        <v>359</v>
      </c>
      <c r="BG17" s="388">
        <f t="shared" si="375"/>
        <v>745</v>
      </c>
      <c r="BH17" s="388">
        <v>412</v>
      </c>
      <c r="BI17" s="388">
        <v>404</v>
      </c>
      <c r="BJ17" s="388">
        <f t="shared" si="376"/>
        <v>816</v>
      </c>
      <c r="BK17" s="388">
        <v>361</v>
      </c>
      <c r="BL17" s="388">
        <v>386</v>
      </c>
      <c r="BM17" s="388">
        <f t="shared" si="377"/>
        <v>747</v>
      </c>
      <c r="BN17" s="388">
        <v>386</v>
      </c>
      <c r="BO17" s="388">
        <v>345</v>
      </c>
      <c r="BP17" s="388">
        <f t="shared" si="378"/>
        <v>731</v>
      </c>
      <c r="BQ17" s="388">
        <v>371</v>
      </c>
      <c r="BR17" s="388">
        <v>345</v>
      </c>
      <c r="BS17" s="388">
        <f t="shared" si="379"/>
        <v>716</v>
      </c>
      <c r="BT17" s="388">
        <v>405</v>
      </c>
      <c r="BU17" s="388">
        <v>395</v>
      </c>
      <c r="BV17" s="388">
        <f t="shared" si="380"/>
        <v>800</v>
      </c>
      <c r="BW17" s="388">
        <v>365</v>
      </c>
      <c r="BX17" s="388">
        <v>376</v>
      </c>
      <c r="BY17" s="388">
        <f t="shared" si="381"/>
        <v>741</v>
      </c>
      <c r="BZ17" s="388">
        <v>372</v>
      </c>
      <c r="CA17" s="388">
        <v>389</v>
      </c>
      <c r="CB17" s="388">
        <f t="shared" si="382"/>
        <v>761</v>
      </c>
      <c r="CC17" s="388">
        <v>371</v>
      </c>
      <c r="CD17" s="388">
        <v>390</v>
      </c>
      <c r="CE17" s="388">
        <f t="shared" si="383"/>
        <v>761</v>
      </c>
      <c r="CF17" s="388">
        <v>320</v>
      </c>
      <c r="CG17" s="388">
        <v>327</v>
      </c>
      <c r="CH17" s="388">
        <f t="shared" si="384"/>
        <v>647</v>
      </c>
      <c r="CI17" s="388">
        <v>425</v>
      </c>
      <c r="CJ17" s="388">
        <v>390</v>
      </c>
      <c r="CK17" s="388">
        <f t="shared" si="385"/>
        <v>815</v>
      </c>
      <c r="CL17" s="388">
        <v>352</v>
      </c>
      <c r="CM17" s="388">
        <v>348</v>
      </c>
      <c r="CN17" s="388">
        <f t="shared" si="386"/>
        <v>700</v>
      </c>
      <c r="CO17" s="388">
        <v>378</v>
      </c>
      <c r="CP17" s="388">
        <v>385</v>
      </c>
      <c r="CQ17" s="388">
        <f t="shared" si="387"/>
        <v>763</v>
      </c>
      <c r="CR17" s="388">
        <v>379</v>
      </c>
      <c r="CS17" s="388">
        <v>407</v>
      </c>
      <c r="CT17" s="388">
        <f t="shared" si="388"/>
        <v>786</v>
      </c>
      <c r="CU17" s="388">
        <v>404</v>
      </c>
      <c r="CV17" s="388">
        <v>396</v>
      </c>
      <c r="CW17" s="388">
        <f t="shared" si="389"/>
        <v>800</v>
      </c>
      <c r="CX17" s="388">
        <v>360</v>
      </c>
      <c r="CY17" s="388">
        <v>373</v>
      </c>
      <c r="CZ17" s="388">
        <f t="shared" si="390"/>
        <v>733</v>
      </c>
      <c r="DA17" s="388">
        <v>397</v>
      </c>
      <c r="DB17" s="388">
        <v>426</v>
      </c>
      <c r="DC17" s="388">
        <f t="shared" si="391"/>
        <v>823</v>
      </c>
      <c r="DD17" s="388">
        <v>405</v>
      </c>
      <c r="DE17" s="388">
        <v>350</v>
      </c>
      <c r="DF17" s="388">
        <f t="shared" si="392"/>
        <v>755</v>
      </c>
      <c r="DG17" s="388">
        <v>387</v>
      </c>
      <c r="DH17" s="388">
        <v>404</v>
      </c>
      <c r="DI17" s="388">
        <f t="shared" si="393"/>
        <v>791</v>
      </c>
      <c r="DJ17" s="388">
        <v>384</v>
      </c>
      <c r="DK17" s="388">
        <v>371</v>
      </c>
      <c r="DL17" s="388">
        <f t="shared" si="394"/>
        <v>755</v>
      </c>
      <c r="DM17" s="388">
        <v>408</v>
      </c>
      <c r="DN17" s="388">
        <v>362</v>
      </c>
      <c r="DO17" s="388">
        <f t="shared" si="395"/>
        <v>770</v>
      </c>
      <c r="DP17" s="388">
        <v>379</v>
      </c>
      <c r="DQ17" s="388">
        <v>362</v>
      </c>
      <c r="DR17" s="388">
        <f t="shared" si="396"/>
        <v>741</v>
      </c>
      <c r="DS17" s="388">
        <v>383</v>
      </c>
      <c r="DT17" s="388">
        <v>354</v>
      </c>
      <c r="DU17" s="388">
        <f t="shared" si="397"/>
        <v>737</v>
      </c>
      <c r="DV17" s="388">
        <v>442</v>
      </c>
      <c r="DW17" s="388">
        <v>399</v>
      </c>
      <c r="DX17" s="388">
        <f t="shared" si="398"/>
        <v>841</v>
      </c>
      <c r="DY17" s="388">
        <v>390</v>
      </c>
      <c r="DZ17" s="388">
        <v>417</v>
      </c>
      <c r="EA17" s="388">
        <f t="shared" si="399"/>
        <v>807</v>
      </c>
      <c r="EB17" s="388">
        <v>442</v>
      </c>
      <c r="EC17" s="388">
        <v>445</v>
      </c>
      <c r="ED17" s="388">
        <f t="shared" si="400"/>
        <v>887</v>
      </c>
      <c r="EE17" s="388">
        <v>441</v>
      </c>
      <c r="EF17" s="388">
        <v>443</v>
      </c>
      <c r="EG17" s="388">
        <f t="shared" si="401"/>
        <v>884</v>
      </c>
      <c r="EH17" s="388">
        <v>416</v>
      </c>
      <c r="EI17" s="388">
        <v>411</v>
      </c>
      <c r="EJ17" s="388">
        <f t="shared" si="402"/>
        <v>827</v>
      </c>
      <c r="EK17" s="388">
        <v>429</v>
      </c>
      <c r="EL17" s="388">
        <v>417</v>
      </c>
      <c r="EM17" s="388">
        <f t="shared" si="403"/>
        <v>846</v>
      </c>
      <c r="EN17" s="388">
        <v>360</v>
      </c>
      <c r="EO17" s="388">
        <v>401</v>
      </c>
      <c r="EP17" s="388">
        <f t="shared" si="404"/>
        <v>761</v>
      </c>
      <c r="EQ17" s="388">
        <v>369</v>
      </c>
      <c r="ER17" s="388">
        <v>391</v>
      </c>
      <c r="ES17" s="388">
        <f t="shared" si="405"/>
        <v>760</v>
      </c>
      <c r="ET17" s="388">
        <v>352</v>
      </c>
      <c r="EU17" s="388">
        <v>370</v>
      </c>
      <c r="EV17" s="388">
        <f t="shared" si="406"/>
        <v>722</v>
      </c>
      <c r="EW17" s="388">
        <v>379</v>
      </c>
      <c r="EX17" s="388">
        <v>335</v>
      </c>
      <c r="EY17" s="388">
        <f t="shared" si="407"/>
        <v>714</v>
      </c>
      <c r="EZ17" s="388">
        <v>357</v>
      </c>
      <c r="FA17" s="388">
        <v>321</v>
      </c>
      <c r="FB17" s="388">
        <f t="shared" si="408"/>
        <v>678</v>
      </c>
      <c r="FC17" s="388">
        <v>300</v>
      </c>
      <c r="FD17" s="388">
        <v>310</v>
      </c>
      <c r="FE17" s="388">
        <f t="shared" si="409"/>
        <v>610</v>
      </c>
      <c r="FF17" s="388">
        <v>305</v>
      </c>
      <c r="FG17" s="388">
        <v>347</v>
      </c>
      <c r="FH17" s="388">
        <f t="shared" si="410"/>
        <v>652</v>
      </c>
      <c r="FI17" s="388">
        <v>304</v>
      </c>
      <c r="FJ17" s="388">
        <v>321</v>
      </c>
      <c r="FK17" s="388">
        <f t="shared" si="411"/>
        <v>625</v>
      </c>
      <c r="FL17" s="388">
        <v>290</v>
      </c>
      <c r="FM17" s="388">
        <v>282</v>
      </c>
      <c r="FN17" s="388">
        <f t="shared" si="412"/>
        <v>572</v>
      </c>
      <c r="FO17" s="388">
        <v>273</v>
      </c>
      <c r="FP17" s="388">
        <v>284</v>
      </c>
      <c r="FQ17" s="388">
        <f t="shared" si="413"/>
        <v>557</v>
      </c>
      <c r="FR17" s="388">
        <v>257</v>
      </c>
      <c r="FS17" s="388">
        <v>286</v>
      </c>
      <c r="FT17" s="388">
        <f t="shared" si="414"/>
        <v>543</v>
      </c>
      <c r="FU17" s="388">
        <v>253</v>
      </c>
      <c r="FV17" s="388">
        <v>269</v>
      </c>
      <c r="FW17" s="388">
        <f t="shared" si="415"/>
        <v>522</v>
      </c>
      <c r="FX17" s="388">
        <v>204</v>
      </c>
      <c r="FY17" s="388">
        <v>252</v>
      </c>
      <c r="FZ17" s="388">
        <f t="shared" si="416"/>
        <v>456</v>
      </c>
      <c r="GA17" s="388">
        <v>190</v>
      </c>
      <c r="GB17" s="388">
        <v>254</v>
      </c>
      <c r="GC17" s="388">
        <f t="shared" si="417"/>
        <v>444</v>
      </c>
      <c r="GD17" s="388">
        <v>197</v>
      </c>
      <c r="GE17" s="388">
        <v>255</v>
      </c>
      <c r="GF17" s="388">
        <f t="shared" si="418"/>
        <v>452</v>
      </c>
      <c r="GG17" s="388">
        <v>181</v>
      </c>
      <c r="GH17" s="388">
        <v>220</v>
      </c>
      <c r="GI17" s="388">
        <f t="shared" si="419"/>
        <v>401</v>
      </c>
      <c r="GJ17" s="388">
        <v>176</v>
      </c>
      <c r="GK17" s="388">
        <v>210</v>
      </c>
      <c r="GL17" s="388">
        <f t="shared" si="420"/>
        <v>386</v>
      </c>
      <c r="GM17" s="388">
        <v>151</v>
      </c>
      <c r="GN17" s="388">
        <v>185</v>
      </c>
      <c r="GO17" s="388">
        <f t="shared" si="421"/>
        <v>336</v>
      </c>
      <c r="GP17" s="388">
        <v>167</v>
      </c>
      <c r="GQ17" s="388">
        <v>199</v>
      </c>
      <c r="GR17" s="388">
        <f t="shared" si="422"/>
        <v>366</v>
      </c>
      <c r="GS17" s="388">
        <v>166</v>
      </c>
      <c r="GT17" s="388">
        <v>190</v>
      </c>
      <c r="GU17" s="388">
        <f t="shared" si="423"/>
        <v>356</v>
      </c>
      <c r="GV17" s="388">
        <v>144</v>
      </c>
      <c r="GW17" s="388">
        <v>176</v>
      </c>
      <c r="GX17" s="388">
        <f t="shared" si="424"/>
        <v>320</v>
      </c>
      <c r="GY17" s="388">
        <v>116</v>
      </c>
      <c r="GZ17" s="388">
        <v>158</v>
      </c>
      <c r="HA17" s="388">
        <f t="shared" si="425"/>
        <v>274</v>
      </c>
      <c r="HB17" s="388">
        <v>112</v>
      </c>
      <c r="HC17" s="388">
        <v>138</v>
      </c>
      <c r="HD17" s="388">
        <f t="shared" si="426"/>
        <v>250</v>
      </c>
      <c r="HE17" s="388">
        <v>122</v>
      </c>
      <c r="HF17" s="388">
        <v>132</v>
      </c>
      <c r="HG17" s="388">
        <f t="shared" si="427"/>
        <v>254</v>
      </c>
      <c r="HH17" s="388">
        <v>100</v>
      </c>
      <c r="HI17" s="388">
        <v>115</v>
      </c>
      <c r="HJ17" s="388">
        <f t="shared" si="428"/>
        <v>215</v>
      </c>
      <c r="HK17" s="388">
        <v>106</v>
      </c>
      <c r="HL17" s="388">
        <v>99</v>
      </c>
      <c r="HM17" s="388">
        <f t="shared" si="429"/>
        <v>205</v>
      </c>
      <c r="HN17" s="388">
        <v>84</v>
      </c>
      <c r="HO17" s="388">
        <v>84</v>
      </c>
      <c r="HP17" s="388">
        <f t="shared" si="430"/>
        <v>168</v>
      </c>
      <c r="HQ17" s="388">
        <v>70</v>
      </c>
      <c r="HR17" s="388">
        <v>81</v>
      </c>
      <c r="HS17" s="388">
        <f t="shared" si="431"/>
        <v>151</v>
      </c>
      <c r="HT17" s="388">
        <v>57</v>
      </c>
      <c r="HU17" s="388">
        <v>71</v>
      </c>
      <c r="HV17" s="388">
        <f t="shared" si="432"/>
        <v>128</v>
      </c>
      <c r="HW17" s="388">
        <v>60</v>
      </c>
      <c r="HX17" s="388">
        <v>67</v>
      </c>
      <c r="HY17" s="388">
        <f t="shared" si="433"/>
        <v>127</v>
      </c>
      <c r="HZ17" s="388">
        <v>46</v>
      </c>
      <c r="IA17" s="388">
        <v>45</v>
      </c>
      <c r="IB17" s="388">
        <f t="shared" si="434"/>
        <v>91</v>
      </c>
      <c r="IC17" s="388">
        <v>40</v>
      </c>
      <c r="ID17" s="388">
        <v>38</v>
      </c>
      <c r="IE17" s="388">
        <f t="shared" si="435"/>
        <v>78</v>
      </c>
      <c r="IF17" s="388">
        <v>33</v>
      </c>
      <c r="IG17" s="388">
        <v>33</v>
      </c>
      <c r="IH17" s="388">
        <f t="shared" si="436"/>
        <v>66</v>
      </c>
      <c r="II17" s="388">
        <v>18</v>
      </c>
      <c r="IJ17" s="388">
        <v>30</v>
      </c>
      <c r="IK17" s="388">
        <f t="shared" si="437"/>
        <v>48</v>
      </c>
      <c r="IL17" s="388">
        <v>25</v>
      </c>
      <c r="IM17" s="388">
        <v>23</v>
      </c>
      <c r="IN17" s="388">
        <f t="shared" si="438"/>
        <v>48</v>
      </c>
      <c r="IO17" s="388">
        <v>16</v>
      </c>
      <c r="IP17" s="388">
        <v>20</v>
      </c>
      <c r="IQ17" s="388">
        <f t="shared" si="439"/>
        <v>36</v>
      </c>
      <c r="IR17" s="388">
        <v>21</v>
      </c>
      <c r="IS17" s="388">
        <v>24</v>
      </c>
      <c r="IT17" s="388">
        <f t="shared" si="440"/>
        <v>45</v>
      </c>
      <c r="IU17" s="388">
        <v>16</v>
      </c>
      <c r="IV17" s="388">
        <v>16</v>
      </c>
      <c r="IW17" s="388">
        <f t="shared" si="441"/>
        <v>32</v>
      </c>
      <c r="IX17" s="388">
        <v>15</v>
      </c>
      <c r="IY17" s="388">
        <v>12</v>
      </c>
      <c r="IZ17" s="388">
        <f t="shared" si="442"/>
        <v>27</v>
      </c>
      <c r="JA17" s="388">
        <v>8</v>
      </c>
      <c r="JB17" s="388">
        <v>13</v>
      </c>
      <c r="JC17" s="388">
        <f t="shared" si="443"/>
        <v>21</v>
      </c>
      <c r="JD17" s="388">
        <v>5</v>
      </c>
      <c r="JE17" s="388">
        <v>9</v>
      </c>
      <c r="JF17" s="388">
        <f t="shared" si="444"/>
        <v>14</v>
      </c>
      <c r="JG17" s="388">
        <v>3</v>
      </c>
      <c r="JH17" s="388">
        <v>6</v>
      </c>
      <c r="JI17" s="388">
        <f t="shared" si="445"/>
        <v>9</v>
      </c>
      <c r="JJ17" s="388">
        <v>3</v>
      </c>
      <c r="JK17" s="388">
        <v>1</v>
      </c>
      <c r="JL17" s="388">
        <f t="shared" si="446"/>
        <v>4</v>
      </c>
      <c r="JM17" s="388">
        <v>1</v>
      </c>
      <c r="JN17" s="388">
        <v>1</v>
      </c>
      <c r="JO17" s="388">
        <f t="shared" si="447"/>
        <v>2</v>
      </c>
      <c r="JP17" s="388">
        <v>1</v>
      </c>
      <c r="JQ17" s="388">
        <v>8</v>
      </c>
      <c r="JR17" s="388">
        <f t="shared" si="448"/>
        <v>9</v>
      </c>
      <c r="JS17" s="388">
        <v>5</v>
      </c>
      <c r="JT17" s="388">
        <v>2</v>
      </c>
      <c r="JU17" s="388">
        <f t="shared" si="449"/>
        <v>7</v>
      </c>
      <c r="JV17" s="388">
        <v>3</v>
      </c>
      <c r="JW17" s="388">
        <v>3</v>
      </c>
      <c r="JX17" s="388">
        <f t="shared" si="450"/>
        <v>6</v>
      </c>
      <c r="JY17" s="388">
        <v>2</v>
      </c>
      <c r="JZ17" s="388">
        <v>0</v>
      </c>
      <c r="KA17" s="388">
        <f t="shared" si="451"/>
        <v>2</v>
      </c>
      <c r="KB17" s="388">
        <v>0</v>
      </c>
      <c r="KC17" s="388">
        <v>0</v>
      </c>
      <c r="KD17" s="388">
        <f t="shared" si="452"/>
        <v>0</v>
      </c>
      <c r="KE17" s="388">
        <v>0</v>
      </c>
      <c r="KF17" s="388">
        <v>3</v>
      </c>
      <c r="KG17" s="388">
        <f t="shared" si="453"/>
        <v>3</v>
      </c>
      <c r="KH17" s="388">
        <v>0</v>
      </c>
      <c r="KI17" s="388">
        <v>0</v>
      </c>
      <c r="KJ17" s="388">
        <f t="shared" si="454"/>
        <v>0</v>
      </c>
      <c r="KK17" s="388">
        <v>0</v>
      </c>
      <c r="KL17" s="388">
        <v>0</v>
      </c>
      <c r="KM17" s="388">
        <f t="shared" si="455"/>
        <v>0</v>
      </c>
      <c r="KN17" s="388">
        <v>0</v>
      </c>
      <c r="KO17" s="388">
        <v>0</v>
      </c>
      <c r="KP17" s="388">
        <f t="shared" si="456"/>
        <v>0</v>
      </c>
      <c r="KQ17" s="388">
        <v>0</v>
      </c>
      <c r="KR17" s="388">
        <v>0</v>
      </c>
      <c r="KS17" s="388">
        <f t="shared" si="457"/>
        <v>0</v>
      </c>
      <c r="KT17" s="388">
        <v>0</v>
      </c>
      <c r="KU17" s="388">
        <v>1</v>
      </c>
      <c r="KV17" s="388">
        <f t="shared" si="458"/>
        <v>1</v>
      </c>
      <c r="KW17" s="388">
        <v>0</v>
      </c>
      <c r="KX17" s="388">
        <v>0</v>
      </c>
      <c r="KY17" s="388">
        <f t="shared" si="459"/>
        <v>0</v>
      </c>
      <c r="KZ17" s="388">
        <v>0</v>
      </c>
      <c r="LA17" s="388">
        <v>0</v>
      </c>
      <c r="LB17" s="388">
        <f t="shared" si="460"/>
        <v>0</v>
      </c>
      <c r="LC17" s="388">
        <v>0</v>
      </c>
      <c r="LD17" s="388">
        <v>0</v>
      </c>
      <c r="LE17" s="388">
        <f t="shared" si="461"/>
        <v>0</v>
      </c>
      <c r="LF17" s="388">
        <v>0</v>
      </c>
      <c r="LG17" s="388">
        <v>0</v>
      </c>
      <c r="LH17" s="388">
        <f t="shared" si="462"/>
        <v>0</v>
      </c>
      <c r="LI17" s="388">
        <v>0</v>
      </c>
      <c r="LJ17" s="388">
        <v>0</v>
      </c>
      <c r="LK17" s="388">
        <f t="shared" si="463"/>
        <v>0</v>
      </c>
      <c r="LL17" s="388">
        <v>0</v>
      </c>
      <c r="LM17" s="388">
        <v>0</v>
      </c>
      <c r="LN17" s="388">
        <f t="shared" si="464"/>
        <v>0</v>
      </c>
      <c r="LO17" s="388">
        <v>0</v>
      </c>
      <c r="LP17" s="388">
        <v>0</v>
      </c>
      <c r="LQ17" s="388">
        <f t="shared" si="465"/>
        <v>0</v>
      </c>
      <c r="LR17" s="388">
        <v>0</v>
      </c>
      <c r="LS17" s="388">
        <v>0</v>
      </c>
      <c r="LT17" s="388">
        <f t="shared" si="466"/>
        <v>0</v>
      </c>
      <c r="LU17" s="388">
        <v>0</v>
      </c>
      <c r="LV17" s="388">
        <v>0</v>
      </c>
      <c r="LW17" s="388">
        <f t="shared" si="467"/>
        <v>0</v>
      </c>
      <c r="LX17" s="388">
        <v>0</v>
      </c>
      <c r="LY17" s="388">
        <v>0</v>
      </c>
      <c r="LZ17" s="388">
        <f t="shared" si="468"/>
        <v>0</v>
      </c>
      <c r="MA17" s="388">
        <v>0</v>
      </c>
      <c r="MB17" s="388">
        <v>0</v>
      </c>
      <c r="MC17" s="388">
        <f t="shared" si="469"/>
        <v>0</v>
      </c>
      <c r="MD17" s="388">
        <v>0</v>
      </c>
      <c r="ME17" s="388">
        <v>0</v>
      </c>
      <c r="MF17" s="388">
        <f t="shared" si="470"/>
        <v>0</v>
      </c>
      <c r="MG17" s="388">
        <v>0</v>
      </c>
      <c r="MH17" s="388">
        <v>0</v>
      </c>
      <c r="MI17" s="388">
        <f t="shared" si="471"/>
        <v>0</v>
      </c>
      <c r="MJ17" s="388">
        <v>0</v>
      </c>
      <c r="MK17" s="388">
        <v>0</v>
      </c>
      <c r="ML17" s="388">
        <f t="shared" si="472"/>
        <v>0</v>
      </c>
      <c r="MM17" s="388">
        <v>0</v>
      </c>
      <c r="MN17" s="388">
        <v>0</v>
      </c>
      <c r="MO17" s="388">
        <f t="shared" si="473"/>
        <v>0</v>
      </c>
      <c r="MP17" s="388">
        <v>0</v>
      </c>
      <c r="MQ17" s="388">
        <v>0</v>
      </c>
      <c r="MR17" s="388">
        <f t="shared" si="474"/>
        <v>0</v>
      </c>
      <c r="MS17" s="388">
        <v>0</v>
      </c>
      <c r="MT17" s="388">
        <v>0</v>
      </c>
      <c r="MU17" s="388">
        <f t="shared" si="475"/>
        <v>0</v>
      </c>
      <c r="MV17" s="388">
        <v>0</v>
      </c>
      <c r="MW17" s="388">
        <v>0</v>
      </c>
      <c r="MX17" s="388">
        <f t="shared" si="476"/>
        <v>0</v>
      </c>
      <c r="MY17" s="388">
        <v>0</v>
      </c>
      <c r="MZ17" s="388">
        <v>0</v>
      </c>
      <c r="NA17" s="562">
        <f t="shared" si="477"/>
        <v>0</v>
      </c>
      <c r="NB17" s="388">
        <v>0</v>
      </c>
      <c r="NC17" s="388">
        <v>0</v>
      </c>
      <c r="ND17" s="560">
        <f t="shared" si="478"/>
        <v>0</v>
      </c>
      <c r="NE17" s="559">
        <f t="shared" si="479"/>
        <v>24910</v>
      </c>
      <c r="NF17" s="388">
        <f t="shared" si="479"/>
        <v>25009</v>
      </c>
      <c r="NG17" s="560">
        <f t="shared" si="480"/>
        <v>49919</v>
      </c>
      <c r="NH17" s="559">
        <f t="shared" si="481"/>
        <v>1955</v>
      </c>
      <c r="NI17" s="388">
        <f t="shared" si="481"/>
        <v>1799</v>
      </c>
      <c r="NJ17" s="560">
        <f t="shared" si="482"/>
        <v>3754</v>
      </c>
    </row>
    <row r="18" spans="1:374" x14ac:dyDescent="0.3">
      <c r="A18" s="558" t="s">
        <v>261</v>
      </c>
      <c r="B18" s="592" t="s">
        <v>36</v>
      </c>
      <c r="C18" s="561">
        <v>184</v>
      </c>
      <c r="D18" s="388">
        <v>185</v>
      </c>
      <c r="E18" s="388">
        <f t="shared" si="357"/>
        <v>369</v>
      </c>
      <c r="F18" s="388">
        <v>219</v>
      </c>
      <c r="G18" s="388">
        <v>232</v>
      </c>
      <c r="H18" s="388">
        <f t="shared" si="358"/>
        <v>451</v>
      </c>
      <c r="I18" s="388">
        <v>295</v>
      </c>
      <c r="J18" s="388">
        <v>289</v>
      </c>
      <c r="K18" s="388">
        <f t="shared" si="359"/>
        <v>584</v>
      </c>
      <c r="L18" s="388">
        <v>331</v>
      </c>
      <c r="M18" s="388">
        <v>308</v>
      </c>
      <c r="N18" s="388">
        <f t="shared" si="360"/>
        <v>639</v>
      </c>
      <c r="O18" s="388">
        <v>343</v>
      </c>
      <c r="P18" s="388">
        <v>330</v>
      </c>
      <c r="Q18" s="388">
        <f t="shared" si="361"/>
        <v>673</v>
      </c>
      <c r="R18" s="388">
        <v>339</v>
      </c>
      <c r="S18" s="388">
        <v>342</v>
      </c>
      <c r="T18" s="388">
        <f t="shared" si="362"/>
        <v>681</v>
      </c>
      <c r="U18" s="388">
        <v>423</v>
      </c>
      <c r="V18" s="388">
        <v>362</v>
      </c>
      <c r="W18" s="388">
        <f t="shared" si="363"/>
        <v>785</v>
      </c>
      <c r="X18" s="388">
        <v>463</v>
      </c>
      <c r="Y18" s="388">
        <v>409</v>
      </c>
      <c r="Z18" s="388">
        <f t="shared" si="364"/>
        <v>872</v>
      </c>
      <c r="AA18" s="388">
        <v>429</v>
      </c>
      <c r="AB18" s="388">
        <v>370</v>
      </c>
      <c r="AC18" s="388">
        <f t="shared" si="365"/>
        <v>799</v>
      </c>
      <c r="AD18" s="388">
        <v>377</v>
      </c>
      <c r="AE18" s="388">
        <v>318</v>
      </c>
      <c r="AF18" s="388">
        <f t="shared" si="366"/>
        <v>695</v>
      </c>
      <c r="AG18" s="388">
        <v>404</v>
      </c>
      <c r="AH18" s="388">
        <v>356</v>
      </c>
      <c r="AI18" s="388">
        <f t="shared" si="367"/>
        <v>760</v>
      </c>
      <c r="AJ18" s="388">
        <v>371</v>
      </c>
      <c r="AK18" s="388">
        <v>371</v>
      </c>
      <c r="AL18" s="388">
        <f t="shared" si="368"/>
        <v>742</v>
      </c>
      <c r="AM18" s="388">
        <v>362</v>
      </c>
      <c r="AN18" s="388">
        <v>331</v>
      </c>
      <c r="AO18" s="388">
        <f t="shared" si="369"/>
        <v>693</v>
      </c>
      <c r="AP18" s="388">
        <v>394</v>
      </c>
      <c r="AQ18" s="388">
        <v>292</v>
      </c>
      <c r="AR18" s="388">
        <f t="shared" si="370"/>
        <v>686</v>
      </c>
      <c r="AS18" s="388">
        <v>406</v>
      </c>
      <c r="AT18" s="388">
        <v>385</v>
      </c>
      <c r="AU18" s="388">
        <f t="shared" si="371"/>
        <v>791</v>
      </c>
      <c r="AV18" s="388">
        <v>328</v>
      </c>
      <c r="AW18" s="388">
        <v>309</v>
      </c>
      <c r="AX18" s="388">
        <f t="shared" si="372"/>
        <v>637</v>
      </c>
      <c r="AY18" s="388">
        <v>345</v>
      </c>
      <c r="AZ18" s="388">
        <v>313</v>
      </c>
      <c r="BA18" s="388">
        <f t="shared" si="373"/>
        <v>658</v>
      </c>
      <c r="BB18" s="388">
        <v>310</v>
      </c>
      <c r="BC18" s="388">
        <v>241</v>
      </c>
      <c r="BD18" s="388">
        <f t="shared" si="374"/>
        <v>551</v>
      </c>
      <c r="BE18" s="388">
        <v>332</v>
      </c>
      <c r="BF18" s="388">
        <v>279</v>
      </c>
      <c r="BG18" s="388">
        <f t="shared" si="375"/>
        <v>611</v>
      </c>
      <c r="BH18" s="388">
        <v>323</v>
      </c>
      <c r="BI18" s="388">
        <v>295</v>
      </c>
      <c r="BJ18" s="388">
        <f t="shared" si="376"/>
        <v>618</v>
      </c>
      <c r="BK18" s="388">
        <v>287</v>
      </c>
      <c r="BL18" s="388">
        <v>279</v>
      </c>
      <c r="BM18" s="388">
        <f t="shared" si="377"/>
        <v>566</v>
      </c>
      <c r="BN18" s="388">
        <v>290</v>
      </c>
      <c r="BO18" s="388">
        <v>269</v>
      </c>
      <c r="BP18" s="388">
        <f t="shared" si="378"/>
        <v>559</v>
      </c>
      <c r="BQ18" s="388">
        <v>338</v>
      </c>
      <c r="BR18" s="388">
        <v>309</v>
      </c>
      <c r="BS18" s="388">
        <f t="shared" si="379"/>
        <v>647</v>
      </c>
      <c r="BT18" s="388">
        <v>320</v>
      </c>
      <c r="BU18" s="388">
        <v>305</v>
      </c>
      <c r="BV18" s="388">
        <f t="shared" si="380"/>
        <v>625</v>
      </c>
      <c r="BW18" s="388">
        <v>319</v>
      </c>
      <c r="BX18" s="388">
        <v>322</v>
      </c>
      <c r="BY18" s="388">
        <f t="shared" si="381"/>
        <v>641</v>
      </c>
      <c r="BZ18" s="388">
        <v>300</v>
      </c>
      <c r="CA18" s="388">
        <v>359</v>
      </c>
      <c r="CB18" s="388">
        <f t="shared" si="382"/>
        <v>659</v>
      </c>
      <c r="CC18" s="388">
        <v>339</v>
      </c>
      <c r="CD18" s="388">
        <v>353</v>
      </c>
      <c r="CE18" s="388">
        <f t="shared" si="383"/>
        <v>692</v>
      </c>
      <c r="CF18" s="388">
        <v>337</v>
      </c>
      <c r="CG18" s="388">
        <v>314</v>
      </c>
      <c r="CH18" s="388">
        <f t="shared" si="384"/>
        <v>651</v>
      </c>
      <c r="CI18" s="388">
        <v>383</v>
      </c>
      <c r="CJ18" s="388">
        <v>377</v>
      </c>
      <c r="CK18" s="388">
        <f t="shared" si="385"/>
        <v>760</v>
      </c>
      <c r="CL18" s="388">
        <v>321</v>
      </c>
      <c r="CM18" s="388">
        <v>352</v>
      </c>
      <c r="CN18" s="388">
        <f t="shared" si="386"/>
        <v>673</v>
      </c>
      <c r="CO18" s="388">
        <v>376</v>
      </c>
      <c r="CP18" s="388">
        <v>406</v>
      </c>
      <c r="CQ18" s="388">
        <f t="shared" si="387"/>
        <v>782</v>
      </c>
      <c r="CR18" s="388">
        <v>372</v>
      </c>
      <c r="CS18" s="388">
        <v>423</v>
      </c>
      <c r="CT18" s="388">
        <f t="shared" si="388"/>
        <v>795</v>
      </c>
      <c r="CU18" s="388">
        <v>378</v>
      </c>
      <c r="CV18" s="388">
        <v>407</v>
      </c>
      <c r="CW18" s="388">
        <f t="shared" si="389"/>
        <v>785</v>
      </c>
      <c r="CX18" s="388">
        <v>363</v>
      </c>
      <c r="CY18" s="388">
        <v>376</v>
      </c>
      <c r="CZ18" s="388">
        <f t="shared" si="390"/>
        <v>739</v>
      </c>
      <c r="DA18" s="388">
        <v>405</v>
      </c>
      <c r="DB18" s="388">
        <v>392</v>
      </c>
      <c r="DC18" s="388">
        <f t="shared" si="391"/>
        <v>797</v>
      </c>
      <c r="DD18" s="388">
        <v>439</v>
      </c>
      <c r="DE18" s="388">
        <v>406</v>
      </c>
      <c r="DF18" s="388">
        <f t="shared" si="392"/>
        <v>845</v>
      </c>
      <c r="DG18" s="388">
        <v>414</v>
      </c>
      <c r="DH18" s="388">
        <v>402</v>
      </c>
      <c r="DI18" s="388">
        <f t="shared" si="393"/>
        <v>816</v>
      </c>
      <c r="DJ18" s="388">
        <v>382</v>
      </c>
      <c r="DK18" s="388">
        <v>414</v>
      </c>
      <c r="DL18" s="388">
        <f t="shared" si="394"/>
        <v>796</v>
      </c>
      <c r="DM18" s="388">
        <v>389</v>
      </c>
      <c r="DN18" s="388">
        <v>386</v>
      </c>
      <c r="DO18" s="388">
        <f t="shared" si="395"/>
        <v>775</v>
      </c>
      <c r="DP18" s="388">
        <v>407</v>
      </c>
      <c r="DQ18" s="388">
        <v>376</v>
      </c>
      <c r="DR18" s="388">
        <f t="shared" si="396"/>
        <v>783</v>
      </c>
      <c r="DS18" s="388">
        <v>406</v>
      </c>
      <c r="DT18" s="388">
        <v>353</v>
      </c>
      <c r="DU18" s="388">
        <f t="shared" si="397"/>
        <v>759</v>
      </c>
      <c r="DV18" s="388">
        <v>360</v>
      </c>
      <c r="DW18" s="388">
        <v>362</v>
      </c>
      <c r="DX18" s="388">
        <f t="shared" si="398"/>
        <v>722</v>
      </c>
      <c r="DY18" s="388">
        <v>336</v>
      </c>
      <c r="DZ18" s="388">
        <v>333</v>
      </c>
      <c r="EA18" s="388">
        <f t="shared" si="399"/>
        <v>669</v>
      </c>
      <c r="EB18" s="388">
        <v>418</v>
      </c>
      <c r="EC18" s="388">
        <v>377</v>
      </c>
      <c r="ED18" s="388">
        <f t="shared" si="400"/>
        <v>795</v>
      </c>
      <c r="EE18" s="388">
        <v>343</v>
      </c>
      <c r="EF18" s="388">
        <v>344</v>
      </c>
      <c r="EG18" s="388">
        <f t="shared" si="401"/>
        <v>687</v>
      </c>
      <c r="EH18" s="388">
        <v>292</v>
      </c>
      <c r="EI18" s="388">
        <v>299</v>
      </c>
      <c r="EJ18" s="388">
        <f t="shared" si="402"/>
        <v>591</v>
      </c>
      <c r="EK18" s="388">
        <v>311</v>
      </c>
      <c r="EL18" s="388">
        <v>325</v>
      </c>
      <c r="EM18" s="388">
        <f t="shared" si="403"/>
        <v>636</v>
      </c>
      <c r="EN18" s="388">
        <v>294</v>
      </c>
      <c r="EO18" s="388">
        <v>294</v>
      </c>
      <c r="EP18" s="388">
        <f t="shared" si="404"/>
        <v>588</v>
      </c>
      <c r="EQ18" s="388">
        <v>287</v>
      </c>
      <c r="ER18" s="388">
        <v>290</v>
      </c>
      <c r="ES18" s="388">
        <f t="shared" si="405"/>
        <v>577</v>
      </c>
      <c r="ET18" s="388">
        <v>279</v>
      </c>
      <c r="EU18" s="388">
        <v>254</v>
      </c>
      <c r="EV18" s="388">
        <f t="shared" si="406"/>
        <v>533</v>
      </c>
      <c r="EW18" s="388">
        <v>285</v>
      </c>
      <c r="EX18" s="388">
        <v>264</v>
      </c>
      <c r="EY18" s="388">
        <f t="shared" si="407"/>
        <v>549</v>
      </c>
      <c r="EZ18" s="388">
        <v>285</v>
      </c>
      <c r="FA18" s="388">
        <v>289</v>
      </c>
      <c r="FB18" s="388">
        <f t="shared" si="408"/>
        <v>574</v>
      </c>
      <c r="FC18" s="388">
        <v>208</v>
      </c>
      <c r="FD18" s="388">
        <v>269</v>
      </c>
      <c r="FE18" s="388">
        <f t="shared" si="409"/>
        <v>477</v>
      </c>
      <c r="FF18" s="388">
        <v>230</v>
      </c>
      <c r="FG18" s="388">
        <v>276</v>
      </c>
      <c r="FH18" s="388">
        <f t="shared" si="410"/>
        <v>506</v>
      </c>
      <c r="FI18" s="388">
        <v>223</v>
      </c>
      <c r="FJ18" s="388">
        <v>251</v>
      </c>
      <c r="FK18" s="388">
        <f t="shared" si="411"/>
        <v>474</v>
      </c>
      <c r="FL18" s="388">
        <v>240</v>
      </c>
      <c r="FM18" s="388">
        <v>206</v>
      </c>
      <c r="FN18" s="388">
        <f t="shared" si="412"/>
        <v>446</v>
      </c>
      <c r="FO18" s="388">
        <v>214</v>
      </c>
      <c r="FP18" s="388">
        <v>273</v>
      </c>
      <c r="FQ18" s="388">
        <f t="shared" si="413"/>
        <v>487</v>
      </c>
      <c r="FR18" s="388">
        <v>200</v>
      </c>
      <c r="FS18" s="388">
        <v>289</v>
      </c>
      <c r="FT18" s="388">
        <f t="shared" si="414"/>
        <v>489</v>
      </c>
      <c r="FU18" s="388">
        <v>185</v>
      </c>
      <c r="FV18" s="388">
        <v>246</v>
      </c>
      <c r="FW18" s="388">
        <f t="shared" si="415"/>
        <v>431</v>
      </c>
      <c r="FX18" s="388">
        <v>191</v>
      </c>
      <c r="FY18" s="388">
        <v>275</v>
      </c>
      <c r="FZ18" s="388">
        <f t="shared" si="416"/>
        <v>466</v>
      </c>
      <c r="GA18" s="388">
        <v>196</v>
      </c>
      <c r="GB18" s="388">
        <v>301</v>
      </c>
      <c r="GC18" s="388">
        <f t="shared" si="417"/>
        <v>497</v>
      </c>
      <c r="GD18" s="388">
        <v>181</v>
      </c>
      <c r="GE18" s="388">
        <v>295</v>
      </c>
      <c r="GF18" s="388">
        <f t="shared" si="418"/>
        <v>476</v>
      </c>
      <c r="GG18" s="388">
        <v>197</v>
      </c>
      <c r="GH18" s="388">
        <v>276</v>
      </c>
      <c r="GI18" s="388">
        <f t="shared" si="419"/>
        <v>473</v>
      </c>
      <c r="GJ18" s="388">
        <v>197</v>
      </c>
      <c r="GK18" s="388">
        <v>314</v>
      </c>
      <c r="GL18" s="388">
        <f t="shared" si="420"/>
        <v>511</v>
      </c>
      <c r="GM18" s="388">
        <v>208</v>
      </c>
      <c r="GN18" s="388">
        <v>284</v>
      </c>
      <c r="GO18" s="388">
        <f t="shared" si="421"/>
        <v>492</v>
      </c>
      <c r="GP18" s="388">
        <v>239</v>
      </c>
      <c r="GQ18" s="388">
        <v>273</v>
      </c>
      <c r="GR18" s="388">
        <f t="shared" si="422"/>
        <v>512</v>
      </c>
      <c r="GS18" s="388">
        <v>231</v>
      </c>
      <c r="GT18" s="388">
        <v>246</v>
      </c>
      <c r="GU18" s="388">
        <f t="shared" si="423"/>
        <v>477</v>
      </c>
      <c r="GV18" s="388">
        <v>206</v>
      </c>
      <c r="GW18" s="388">
        <v>238</v>
      </c>
      <c r="GX18" s="388">
        <f t="shared" si="424"/>
        <v>444</v>
      </c>
      <c r="GY18" s="388">
        <v>199</v>
      </c>
      <c r="GZ18" s="388">
        <v>208</v>
      </c>
      <c r="HA18" s="388">
        <f t="shared" si="425"/>
        <v>407</v>
      </c>
      <c r="HB18" s="388">
        <v>184</v>
      </c>
      <c r="HC18" s="388">
        <v>158</v>
      </c>
      <c r="HD18" s="388">
        <f t="shared" si="426"/>
        <v>342</v>
      </c>
      <c r="HE18" s="388">
        <v>159</v>
      </c>
      <c r="HF18" s="388">
        <v>137</v>
      </c>
      <c r="HG18" s="388">
        <f t="shared" si="427"/>
        <v>296</v>
      </c>
      <c r="HH18" s="388">
        <v>161</v>
      </c>
      <c r="HI18" s="388">
        <v>110</v>
      </c>
      <c r="HJ18" s="388">
        <f t="shared" si="428"/>
        <v>271</v>
      </c>
      <c r="HK18" s="388">
        <v>129</v>
      </c>
      <c r="HL18" s="388">
        <v>87</v>
      </c>
      <c r="HM18" s="388">
        <f t="shared" si="429"/>
        <v>216</v>
      </c>
      <c r="HN18" s="388">
        <v>106</v>
      </c>
      <c r="HO18" s="388">
        <v>71</v>
      </c>
      <c r="HP18" s="388">
        <f t="shared" si="430"/>
        <v>177</v>
      </c>
      <c r="HQ18" s="388">
        <v>91</v>
      </c>
      <c r="HR18" s="388">
        <v>65</v>
      </c>
      <c r="HS18" s="388">
        <f t="shared" si="431"/>
        <v>156</v>
      </c>
      <c r="HT18" s="388">
        <v>66</v>
      </c>
      <c r="HU18" s="388">
        <v>43</v>
      </c>
      <c r="HV18" s="388">
        <f t="shared" si="432"/>
        <v>109</v>
      </c>
      <c r="HW18" s="388">
        <v>61</v>
      </c>
      <c r="HX18" s="388">
        <v>44</v>
      </c>
      <c r="HY18" s="388">
        <f t="shared" si="433"/>
        <v>105</v>
      </c>
      <c r="HZ18" s="388">
        <v>41</v>
      </c>
      <c r="IA18" s="388">
        <v>28</v>
      </c>
      <c r="IB18" s="388">
        <f t="shared" si="434"/>
        <v>69</v>
      </c>
      <c r="IC18" s="388">
        <v>27</v>
      </c>
      <c r="ID18" s="388">
        <v>17</v>
      </c>
      <c r="IE18" s="388">
        <f t="shared" si="435"/>
        <v>44</v>
      </c>
      <c r="IF18" s="388">
        <v>26</v>
      </c>
      <c r="IG18" s="388">
        <v>23</v>
      </c>
      <c r="IH18" s="388">
        <f t="shared" si="436"/>
        <v>49</v>
      </c>
      <c r="II18" s="388">
        <v>17</v>
      </c>
      <c r="IJ18" s="388">
        <v>25</v>
      </c>
      <c r="IK18" s="388">
        <f t="shared" si="437"/>
        <v>42</v>
      </c>
      <c r="IL18" s="388">
        <v>19</v>
      </c>
      <c r="IM18" s="388">
        <v>25</v>
      </c>
      <c r="IN18" s="388">
        <f t="shared" si="438"/>
        <v>44</v>
      </c>
      <c r="IO18" s="388">
        <v>15</v>
      </c>
      <c r="IP18" s="388">
        <v>20</v>
      </c>
      <c r="IQ18" s="388">
        <f t="shared" si="439"/>
        <v>35</v>
      </c>
      <c r="IR18" s="388">
        <v>9</v>
      </c>
      <c r="IS18" s="388">
        <v>17</v>
      </c>
      <c r="IT18" s="388">
        <f t="shared" si="440"/>
        <v>26</v>
      </c>
      <c r="IU18" s="388">
        <v>10</v>
      </c>
      <c r="IV18" s="388">
        <v>10</v>
      </c>
      <c r="IW18" s="388">
        <f t="shared" si="441"/>
        <v>20</v>
      </c>
      <c r="IX18" s="388">
        <v>2</v>
      </c>
      <c r="IY18" s="388">
        <v>9</v>
      </c>
      <c r="IZ18" s="388">
        <f t="shared" si="442"/>
        <v>11</v>
      </c>
      <c r="JA18" s="388">
        <v>8</v>
      </c>
      <c r="JB18" s="388">
        <v>16</v>
      </c>
      <c r="JC18" s="388">
        <f t="shared" si="443"/>
        <v>24</v>
      </c>
      <c r="JD18" s="388">
        <v>5</v>
      </c>
      <c r="JE18" s="388">
        <v>5</v>
      </c>
      <c r="JF18" s="388">
        <f t="shared" si="444"/>
        <v>10</v>
      </c>
      <c r="JG18" s="388">
        <v>7</v>
      </c>
      <c r="JH18" s="388">
        <v>8</v>
      </c>
      <c r="JI18" s="388">
        <f t="shared" si="445"/>
        <v>15</v>
      </c>
      <c r="JJ18" s="388">
        <v>5</v>
      </c>
      <c r="JK18" s="388">
        <v>4</v>
      </c>
      <c r="JL18" s="388">
        <f t="shared" si="446"/>
        <v>9</v>
      </c>
      <c r="JM18" s="388">
        <v>4</v>
      </c>
      <c r="JN18" s="388">
        <v>3</v>
      </c>
      <c r="JO18" s="388">
        <f t="shared" si="447"/>
        <v>7</v>
      </c>
      <c r="JP18" s="388">
        <v>1</v>
      </c>
      <c r="JQ18" s="388">
        <v>2</v>
      </c>
      <c r="JR18" s="388">
        <f t="shared" si="448"/>
        <v>3</v>
      </c>
      <c r="JS18" s="388">
        <v>1</v>
      </c>
      <c r="JT18" s="388">
        <v>2</v>
      </c>
      <c r="JU18" s="388">
        <f t="shared" si="449"/>
        <v>3</v>
      </c>
      <c r="JV18" s="388">
        <v>1</v>
      </c>
      <c r="JW18" s="388">
        <v>3</v>
      </c>
      <c r="JX18" s="388">
        <f t="shared" si="450"/>
        <v>4</v>
      </c>
      <c r="JY18" s="388">
        <v>0</v>
      </c>
      <c r="JZ18" s="388">
        <v>0</v>
      </c>
      <c r="KA18" s="388">
        <f t="shared" si="451"/>
        <v>0</v>
      </c>
      <c r="KB18" s="388">
        <v>0</v>
      </c>
      <c r="KC18" s="388">
        <v>2</v>
      </c>
      <c r="KD18" s="388">
        <f t="shared" si="452"/>
        <v>2</v>
      </c>
      <c r="KE18" s="388">
        <v>0</v>
      </c>
      <c r="KF18" s="388">
        <v>2</v>
      </c>
      <c r="KG18" s="388">
        <f t="shared" si="453"/>
        <v>2</v>
      </c>
      <c r="KH18" s="388">
        <v>0</v>
      </c>
      <c r="KI18" s="388">
        <v>0</v>
      </c>
      <c r="KJ18" s="388">
        <f t="shared" si="454"/>
        <v>0</v>
      </c>
      <c r="KK18" s="388">
        <v>2</v>
      </c>
      <c r="KL18" s="388">
        <v>1</v>
      </c>
      <c r="KM18" s="388">
        <f t="shared" si="455"/>
        <v>3</v>
      </c>
      <c r="KN18" s="388">
        <v>0</v>
      </c>
      <c r="KO18" s="388">
        <v>1</v>
      </c>
      <c r="KP18" s="388">
        <f t="shared" si="456"/>
        <v>1</v>
      </c>
      <c r="KQ18" s="388">
        <v>0</v>
      </c>
      <c r="KR18" s="388">
        <v>1</v>
      </c>
      <c r="KS18" s="388">
        <f t="shared" si="457"/>
        <v>1</v>
      </c>
      <c r="KT18" s="388">
        <v>0</v>
      </c>
      <c r="KU18" s="388">
        <v>0</v>
      </c>
      <c r="KV18" s="388">
        <f t="shared" si="458"/>
        <v>0</v>
      </c>
      <c r="KW18" s="388">
        <v>0</v>
      </c>
      <c r="KX18" s="388">
        <v>0</v>
      </c>
      <c r="KY18" s="388">
        <f t="shared" si="459"/>
        <v>0</v>
      </c>
      <c r="KZ18" s="388">
        <v>0</v>
      </c>
      <c r="LA18" s="388">
        <v>0</v>
      </c>
      <c r="LB18" s="388">
        <f t="shared" si="460"/>
        <v>0</v>
      </c>
      <c r="LC18" s="388">
        <v>0</v>
      </c>
      <c r="LD18" s="388">
        <v>0</v>
      </c>
      <c r="LE18" s="388">
        <f t="shared" si="461"/>
        <v>0</v>
      </c>
      <c r="LF18" s="388">
        <v>0</v>
      </c>
      <c r="LG18" s="388">
        <v>0</v>
      </c>
      <c r="LH18" s="388">
        <f t="shared" si="462"/>
        <v>0</v>
      </c>
      <c r="LI18" s="388">
        <v>0</v>
      </c>
      <c r="LJ18" s="388">
        <v>0</v>
      </c>
      <c r="LK18" s="388">
        <f t="shared" si="463"/>
        <v>0</v>
      </c>
      <c r="LL18" s="388">
        <v>0</v>
      </c>
      <c r="LM18" s="388">
        <v>0</v>
      </c>
      <c r="LN18" s="388">
        <f t="shared" si="464"/>
        <v>0</v>
      </c>
      <c r="LO18" s="388">
        <v>0</v>
      </c>
      <c r="LP18" s="388">
        <v>0</v>
      </c>
      <c r="LQ18" s="388">
        <f t="shared" si="465"/>
        <v>0</v>
      </c>
      <c r="LR18" s="388">
        <v>0</v>
      </c>
      <c r="LS18" s="388">
        <v>0</v>
      </c>
      <c r="LT18" s="388">
        <f t="shared" si="466"/>
        <v>0</v>
      </c>
      <c r="LU18" s="388">
        <v>0</v>
      </c>
      <c r="LV18" s="388">
        <v>0</v>
      </c>
      <c r="LW18" s="388">
        <f t="shared" si="467"/>
        <v>0</v>
      </c>
      <c r="LX18" s="388">
        <v>0</v>
      </c>
      <c r="LY18" s="388">
        <v>0</v>
      </c>
      <c r="LZ18" s="388">
        <f t="shared" si="468"/>
        <v>0</v>
      </c>
      <c r="MA18" s="388">
        <v>0</v>
      </c>
      <c r="MB18" s="388">
        <v>0</v>
      </c>
      <c r="MC18" s="388">
        <f t="shared" si="469"/>
        <v>0</v>
      </c>
      <c r="MD18" s="388">
        <v>0</v>
      </c>
      <c r="ME18" s="388">
        <v>0</v>
      </c>
      <c r="MF18" s="388">
        <f t="shared" si="470"/>
        <v>0</v>
      </c>
      <c r="MG18" s="388">
        <v>0</v>
      </c>
      <c r="MH18" s="388">
        <v>0</v>
      </c>
      <c r="MI18" s="388">
        <f t="shared" si="471"/>
        <v>0</v>
      </c>
      <c r="MJ18" s="388">
        <v>0</v>
      </c>
      <c r="MK18" s="388">
        <v>0</v>
      </c>
      <c r="ML18" s="388">
        <f t="shared" si="472"/>
        <v>0</v>
      </c>
      <c r="MM18" s="388">
        <v>0</v>
      </c>
      <c r="MN18" s="388">
        <v>0</v>
      </c>
      <c r="MO18" s="388">
        <f t="shared" si="473"/>
        <v>0</v>
      </c>
      <c r="MP18" s="388">
        <v>0</v>
      </c>
      <c r="MQ18" s="388">
        <v>0</v>
      </c>
      <c r="MR18" s="388">
        <f t="shared" si="474"/>
        <v>0</v>
      </c>
      <c r="MS18" s="388">
        <v>0</v>
      </c>
      <c r="MT18" s="388">
        <v>0</v>
      </c>
      <c r="MU18" s="388">
        <f t="shared" si="475"/>
        <v>0</v>
      </c>
      <c r="MV18" s="388">
        <v>0</v>
      </c>
      <c r="MW18" s="388">
        <v>0</v>
      </c>
      <c r="MX18" s="388">
        <f t="shared" si="476"/>
        <v>0</v>
      </c>
      <c r="MY18" s="388">
        <v>0</v>
      </c>
      <c r="MZ18" s="388">
        <v>0</v>
      </c>
      <c r="NA18" s="562">
        <f t="shared" si="477"/>
        <v>0</v>
      </c>
      <c r="NB18" s="388">
        <v>0</v>
      </c>
      <c r="NC18" s="388">
        <v>0</v>
      </c>
      <c r="ND18" s="560">
        <f t="shared" si="478"/>
        <v>0</v>
      </c>
      <c r="NE18" s="559">
        <f t="shared" si="479"/>
        <v>22735</v>
      </c>
      <c r="NF18" s="388">
        <f t="shared" si="479"/>
        <v>22787</v>
      </c>
      <c r="NG18" s="560">
        <f t="shared" si="480"/>
        <v>45522</v>
      </c>
      <c r="NH18" s="559">
        <f t="shared" si="481"/>
        <v>1711</v>
      </c>
      <c r="NI18" s="388">
        <f t="shared" si="481"/>
        <v>1686</v>
      </c>
      <c r="NJ18" s="560">
        <f t="shared" si="482"/>
        <v>3397</v>
      </c>
    </row>
    <row r="19" spans="1:374" x14ac:dyDescent="0.3">
      <c r="A19" s="558" t="s">
        <v>262</v>
      </c>
      <c r="B19" s="592" t="s">
        <v>38</v>
      </c>
      <c r="C19" s="561">
        <v>168</v>
      </c>
      <c r="D19" s="388">
        <v>120</v>
      </c>
      <c r="E19" s="388">
        <f t="shared" si="357"/>
        <v>288</v>
      </c>
      <c r="F19" s="388">
        <v>180</v>
      </c>
      <c r="G19" s="388">
        <v>147</v>
      </c>
      <c r="H19" s="388">
        <f t="shared" si="358"/>
        <v>327</v>
      </c>
      <c r="I19" s="388">
        <v>211</v>
      </c>
      <c r="J19" s="388">
        <v>202</v>
      </c>
      <c r="K19" s="388">
        <f t="shared" si="359"/>
        <v>413</v>
      </c>
      <c r="L19" s="388">
        <v>242</v>
      </c>
      <c r="M19" s="388">
        <v>194</v>
      </c>
      <c r="N19" s="388">
        <f t="shared" si="360"/>
        <v>436</v>
      </c>
      <c r="O19" s="388">
        <v>255</v>
      </c>
      <c r="P19" s="388">
        <v>244</v>
      </c>
      <c r="Q19" s="388">
        <f t="shared" si="361"/>
        <v>499</v>
      </c>
      <c r="R19" s="388">
        <v>288</v>
      </c>
      <c r="S19" s="388">
        <v>278</v>
      </c>
      <c r="T19" s="388">
        <f t="shared" si="362"/>
        <v>566</v>
      </c>
      <c r="U19" s="388">
        <v>322</v>
      </c>
      <c r="V19" s="388">
        <v>259</v>
      </c>
      <c r="W19" s="388">
        <f t="shared" si="363"/>
        <v>581</v>
      </c>
      <c r="X19" s="388">
        <v>322</v>
      </c>
      <c r="Y19" s="388">
        <v>299</v>
      </c>
      <c r="Z19" s="388">
        <f t="shared" si="364"/>
        <v>621</v>
      </c>
      <c r="AA19" s="388">
        <v>295</v>
      </c>
      <c r="AB19" s="388">
        <v>282</v>
      </c>
      <c r="AC19" s="388">
        <f t="shared" si="365"/>
        <v>577</v>
      </c>
      <c r="AD19" s="388">
        <v>300</v>
      </c>
      <c r="AE19" s="388">
        <v>258</v>
      </c>
      <c r="AF19" s="388">
        <f t="shared" si="366"/>
        <v>558</v>
      </c>
      <c r="AG19" s="388">
        <v>286</v>
      </c>
      <c r="AH19" s="388">
        <v>260</v>
      </c>
      <c r="AI19" s="388">
        <f t="shared" si="367"/>
        <v>546</v>
      </c>
      <c r="AJ19" s="388">
        <v>305</v>
      </c>
      <c r="AK19" s="388">
        <v>280</v>
      </c>
      <c r="AL19" s="388">
        <f t="shared" si="368"/>
        <v>585</v>
      </c>
      <c r="AM19" s="388">
        <v>277</v>
      </c>
      <c r="AN19" s="388">
        <v>287</v>
      </c>
      <c r="AO19" s="388">
        <f t="shared" si="369"/>
        <v>564</v>
      </c>
      <c r="AP19" s="388">
        <v>256</v>
      </c>
      <c r="AQ19" s="388">
        <v>296</v>
      </c>
      <c r="AR19" s="388">
        <f t="shared" si="370"/>
        <v>552</v>
      </c>
      <c r="AS19" s="388">
        <v>303</v>
      </c>
      <c r="AT19" s="388">
        <v>276</v>
      </c>
      <c r="AU19" s="388">
        <f t="shared" si="371"/>
        <v>579</v>
      </c>
      <c r="AV19" s="388">
        <v>286</v>
      </c>
      <c r="AW19" s="388">
        <v>265</v>
      </c>
      <c r="AX19" s="388">
        <f t="shared" si="372"/>
        <v>551</v>
      </c>
      <c r="AY19" s="388">
        <v>301</v>
      </c>
      <c r="AZ19" s="388">
        <v>241</v>
      </c>
      <c r="BA19" s="388">
        <f t="shared" si="373"/>
        <v>542</v>
      </c>
      <c r="BB19" s="388">
        <v>275</v>
      </c>
      <c r="BC19" s="388">
        <v>238</v>
      </c>
      <c r="BD19" s="388">
        <f t="shared" si="374"/>
        <v>513</v>
      </c>
      <c r="BE19" s="388">
        <v>260</v>
      </c>
      <c r="BF19" s="388">
        <v>257</v>
      </c>
      <c r="BG19" s="388">
        <f t="shared" si="375"/>
        <v>517</v>
      </c>
      <c r="BH19" s="388">
        <v>294</v>
      </c>
      <c r="BI19" s="388">
        <v>282</v>
      </c>
      <c r="BJ19" s="388">
        <f t="shared" si="376"/>
        <v>576</v>
      </c>
      <c r="BK19" s="388">
        <v>285</v>
      </c>
      <c r="BL19" s="388">
        <v>263</v>
      </c>
      <c r="BM19" s="388">
        <f t="shared" si="377"/>
        <v>548</v>
      </c>
      <c r="BN19" s="388">
        <v>269</v>
      </c>
      <c r="BO19" s="388">
        <v>276</v>
      </c>
      <c r="BP19" s="388">
        <f t="shared" si="378"/>
        <v>545</v>
      </c>
      <c r="BQ19" s="388">
        <v>277</v>
      </c>
      <c r="BR19" s="388">
        <v>249</v>
      </c>
      <c r="BS19" s="388">
        <f t="shared" si="379"/>
        <v>526</v>
      </c>
      <c r="BT19" s="388">
        <v>294</v>
      </c>
      <c r="BU19" s="388">
        <v>275</v>
      </c>
      <c r="BV19" s="388">
        <f t="shared" si="380"/>
        <v>569</v>
      </c>
      <c r="BW19" s="388">
        <v>266</v>
      </c>
      <c r="BX19" s="388">
        <v>267</v>
      </c>
      <c r="BY19" s="388">
        <f t="shared" si="381"/>
        <v>533</v>
      </c>
      <c r="BZ19" s="388">
        <v>293</v>
      </c>
      <c r="CA19" s="388">
        <v>324</v>
      </c>
      <c r="CB19" s="388">
        <f t="shared" si="382"/>
        <v>617</v>
      </c>
      <c r="CC19" s="388">
        <v>273</v>
      </c>
      <c r="CD19" s="388">
        <v>309</v>
      </c>
      <c r="CE19" s="388">
        <f t="shared" si="383"/>
        <v>582</v>
      </c>
      <c r="CF19" s="388">
        <v>217</v>
      </c>
      <c r="CG19" s="388">
        <v>249</v>
      </c>
      <c r="CH19" s="388">
        <f t="shared" si="384"/>
        <v>466</v>
      </c>
      <c r="CI19" s="388">
        <v>306</v>
      </c>
      <c r="CJ19" s="388">
        <v>276</v>
      </c>
      <c r="CK19" s="388">
        <f t="shared" si="385"/>
        <v>582</v>
      </c>
      <c r="CL19" s="388">
        <v>260</v>
      </c>
      <c r="CM19" s="388">
        <v>261</v>
      </c>
      <c r="CN19" s="388">
        <f t="shared" si="386"/>
        <v>521</v>
      </c>
      <c r="CO19" s="388">
        <v>256</v>
      </c>
      <c r="CP19" s="388">
        <v>303</v>
      </c>
      <c r="CQ19" s="388">
        <f t="shared" si="387"/>
        <v>559</v>
      </c>
      <c r="CR19" s="388">
        <v>295</v>
      </c>
      <c r="CS19" s="388">
        <v>259</v>
      </c>
      <c r="CT19" s="388">
        <f t="shared" si="388"/>
        <v>554</v>
      </c>
      <c r="CU19" s="388">
        <v>302</v>
      </c>
      <c r="CV19" s="388">
        <v>301</v>
      </c>
      <c r="CW19" s="388">
        <f t="shared" si="389"/>
        <v>603</v>
      </c>
      <c r="CX19" s="388">
        <v>243</v>
      </c>
      <c r="CY19" s="388">
        <v>282</v>
      </c>
      <c r="CZ19" s="388">
        <f t="shared" si="390"/>
        <v>525</v>
      </c>
      <c r="DA19" s="388">
        <v>262</v>
      </c>
      <c r="DB19" s="388">
        <v>293</v>
      </c>
      <c r="DC19" s="388">
        <f t="shared" si="391"/>
        <v>555</v>
      </c>
      <c r="DD19" s="388">
        <v>293</v>
      </c>
      <c r="DE19" s="388">
        <v>292</v>
      </c>
      <c r="DF19" s="388">
        <f t="shared" si="392"/>
        <v>585</v>
      </c>
      <c r="DG19" s="388">
        <v>293</v>
      </c>
      <c r="DH19" s="388">
        <v>254</v>
      </c>
      <c r="DI19" s="388">
        <f t="shared" si="393"/>
        <v>547</v>
      </c>
      <c r="DJ19" s="388">
        <v>274</v>
      </c>
      <c r="DK19" s="388">
        <v>258</v>
      </c>
      <c r="DL19" s="388">
        <f t="shared" si="394"/>
        <v>532</v>
      </c>
      <c r="DM19" s="388">
        <v>270</v>
      </c>
      <c r="DN19" s="388">
        <v>250</v>
      </c>
      <c r="DO19" s="388">
        <f t="shared" si="395"/>
        <v>520</v>
      </c>
      <c r="DP19" s="388">
        <v>273</v>
      </c>
      <c r="DQ19" s="388">
        <v>249</v>
      </c>
      <c r="DR19" s="388">
        <f t="shared" si="396"/>
        <v>522</v>
      </c>
      <c r="DS19" s="388">
        <v>270</v>
      </c>
      <c r="DT19" s="388">
        <v>282</v>
      </c>
      <c r="DU19" s="388">
        <f t="shared" si="397"/>
        <v>552</v>
      </c>
      <c r="DV19" s="388">
        <v>259</v>
      </c>
      <c r="DW19" s="388">
        <v>275</v>
      </c>
      <c r="DX19" s="388">
        <f t="shared" si="398"/>
        <v>534</v>
      </c>
      <c r="DY19" s="388">
        <v>276</v>
      </c>
      <c r="DZ19" s="388">
        <v>279</v>
      </c>
      <c r="EA19" s="388">
        <f t="shared" si="399"/>
        <v>555</v>
      </c>
      <c r="EB19" s="388">
        <v>319</v>
      </c>
      <c r="EC19" s="388">
        <v>351</v>
      </c>
      <c r="ED19" s="388">
        <f t="shared" si="400"/>
        <v>670</v>
      </c>
      <c r="EE19" s="388">
        <v>301</v>
      </c>
      <c r="EF19" s="388">
        <v>282</v>
      </c>
      <c r="EG19" s="388">
        <f t="shared" si="401"/>
        <v>583</v>
      </c>
      <c r="EH19" s="388">
        <v>280</v>
      </c>
      <c r="EI19" s="388">
        <v>301</v>
      </c>
      <c r="EJ19" s="388">
        <f t="shared" si="402"/>
        <v>581</v>
      </c>
      <c r="EK19" s="388">
        <v>271</v>
      </c>
      <c r="EL19" s="388">
        <v>273</v>
      </c>
      <c r="EM19" s="388">
        <f t="shared" si="403"/>
        <v>544</v>
      </c>
      <c r="EN19" s="388">
        <v>235</v>
      </c>
      <c r="EO19" s="388">
        <v>294</v>
      </c>
      <c r="EP19" s="388">
        <f t="shared" si="404"/>
        <v>529</v>
      </c>
      <c r="EQ19" s="388">
        <v>259</v>
      </c>
      <c r="ER19" s="388">
        <v>271</v>
      </c>
      <c r="ES19" s="388">
        <f t="shared" si="405"/>
        <v>530</v>
      </c>
      <c r="ET19" s="388">
        <v>236</v>
      </c>
      <c r="EU19" s="388">
        <v>262</v>
      </c>
      <c r="EV19" s="388">
        <f t="shared" si="406"/>
        <v>498</v>
      </c>
      <c r="EW19" s="388">
        <v>261</v>
      </c>
      <c r="EX19" s="388">
        <v>273</v>
      </c>
      <c r="EY19" s="388">
        <f t="shared" si="407"/>
        <v>534</v>
      </c>
      <c r="EZ19" s="388">
        <v>210</v>
      </c>
      <c r="FA19" s="388">
        <v>228</v>
      </c>
      <c r="FB19" s="388">
        <f t="shared" si="408"/>
        <v>438</v>
      </c>
      <c r="FC19" s="388">
        <v>204</v>
      </c>
      <c r="FD19" s="388">
        <v>238</v>
      </c>
      <c r="FE19" s="388">
        <f t="shared" si="409"/>
        <v>442</v>
      </c>
      <c r="FF19" s="388">
        <v>212</v>
      </c>
      <c r="FG19" s="388">
        <v>247</v>
      </c>
      <c r="FH19" s="388">
        <f t="shared" si="410"/>
        <v>459</v>
      </c>
      <c r="FI19" s="388">
        <v>213</v>
      </c>
      <c r="FJ19" s="388">
        <v>256</v>
      </c>
      <c r="FK19" s="388">
        <f t="shared" si="411"/>
        <v>469</v>
      </c>
      <c r="FL19" s="388">
        <v>206</v>
      </c>
      <c r="FM19" s="388">
        <v>206</v>
      </c>
      <c r="FN19" s="388">
        <f t="shared" si="412"/>
        <v>412</v>
      </c>
      <c r="FO19" s="388">
        <v>221</v>
      </c>
      <c r="FP19" s="388">
        <v>218</v>
      </c>
      <c r="FQ19" s="388">
        <f t="shared" si="413"/>
        <v>439</v>
      </c>
      <c r="FR19" s="388">
        <v>222</v>
      </c>
      <c r="FS19" s="388">
        <v>207</v>
      </c>
      <c r="FT19" s="388">
        <f t="shared" si="414"/>
        <v>429</v>
      </c>
      <c r="FU19" s="388">
        <v>178</v>
      </c>
      <c r="FV19" s="388">
        <v>177</v>
      </c>
      <c r="FW19" s="388">
        <f t="shared" si="415"/>
        <v>355</v>
      </c>
      <c r="FX19" s="388">
        <v>153</v>
      </c>
      <c r="FY19" s="388">
        <v>151</v>
      </c>
      <c r="FZ19" s="388">
        <f t="shared" si="416"/>
        <v>304</v>
      </c>
      <c r="GA19" s="388">
        <v>171</v>
      </c>
      <c r="GB19" s="388">
        <v>196</v>
      </c>
      <c r="GC19" s="388">
        <f t="shared" si="417"/>
        <v>367</v>
      </c>
      <c r="GD19" s="388">
        <v>150</v>
      </c>
      <c r="GE19" s="388">
        <v>171</v>
      </c>
      <c r="GF19" s="388">
        <f t="shared" si="418"/>
        <v>321</v>
      </c>
      <c r="GG19" s="388">
        <v>142</v>
      </c>
      <c r="GH19" s="388">
        <v>146</v>
      </c>
      <c r="GI19" s="388">
        <f t="shared" si="419"/>
        <v>288</v>
      </c>
      <c r="GJ19" s="388">
        <v>118</v>
      </c>
      <c r="GK19" s="388">
        <v>170</v>
      </c>
      <c r="GL19" s="388">
        <f t="shared" si="420"/>
        <v>288</v>
      </c>
      <c r="GM19" s="388">
        <v>117</v>
      </c>
      <c r="GN19" s="388">
        <v>161</v>
      </c>
      <c r="GO19" s="388">
        <f t="shared" si="421"/>
        <v>278</v>
      </c>
      <c r="GP19" s="388">
        <v>110</v>
      </c>
      <c r="GQ19" s="388">
        <v>144</v>
      </c>
      <c r="GR19" s="388">
        <f t="shared" si="422"/>
        <v>254</v>
      </c>
      <c r="GS19" s="388">
        <v>114</v>
      </c>
      <c r="GT19" s="388">
        <v>163</v>
      </c>
      <c r="GU19" s="388">
        <f t="shared" si="423"/>
        <v>277</v>
      </c>
      <c r="GV19" s="388">
        <v>111</v>
      </c>
      <c r="GW19" s="388">
        <v>114</v>
      </c>
      <c r="GX19" s="388">
        <f t="shared" si="424"/>
        <v>225</v>
      </c>
      <c r="GY19" s="388">
        <v>113</v>
      </c>
      <c r="GZ19" s="388">
        <v>152</v>
      </c>
      <c r="HA19" s="388">
        <f t="shared" si="425"/>
        <v>265</v>
      </c>
      <c r="HB19" s="388">
        <v>77</v>
      </c>
      <c r="HC19" s="388">
        <v>133</v>
      </c>
      <c r="HD19" s="388">
        <f t="shared" si="426"/>
        <v>210</v>
      </c>
      <c r="HE19" s="388">
        <v>71</v>
      </c>
      <c r="HF19" s="388">
        <v>110</v>
      </c>
      <c r="HG19" s="388">
        <f t="shared" si="427"/>
        <v>181</v>
      </c>
      <c r="HH19" s="388">
        <v>97</v>
      </c>
      <c r="HI19" s="388">
        <v>113</v>
      </c>
      <c r="HJ19" s="388">
        <f t="shared" si="428"/>
        <v>210</v>
      </c>
      <c r="HK19" s="388">
        <v>91</v>
      </c>
      <c r="HL19" s="388">
        <v>93</v>
      </c>
      <c r="HM19" s="388">
        <f t="shared" si="429"/>
        <v>184</v>
      </c>
      <c r="HN19" s="388">
        <v>90</v>
      </c>
      <c r="HO19" s="388">
        <v>102</v>
      </c>
      <c r="HP19" s="388">
        <f t="shared" si="430"/>
        <v>192</v>
      </c>
      <c r="HQ19" s="388">
        <v>80</v>
      </c>
      <c r="HR19" s="388">
        <v>84</v>
      </c>
      <c r="HS19" s="388">
        <f t="shared" si="431"/>
        <v>164</v>
      </c>
      <c r="HT19" s="388">
        <v>52</v>
      </c>
      <c r="HU19" s="388">
        <v>65</v>
      </c>
      <c r="HV19" s="388">
        <f t="shared" si="432"/>
        <v>117</v>
      </c>
      <c r="HW19" s="388">
        <v>68</v>
      </c>
      <c r="HX19" s="388">
        <v>55</v>
      </c>
      <c r="HY19" s="388">
        <f t="shared" si="433"/>
        <v>123</v>
      </c>
      <c r="HZ19" s="388">
        <v>50</v>
      </c>
      <c r="IA19" s="388">
        <v>38</v>
      </c>
      <c r="IB19" s="388">
        <f t="shared" si="434"/>
        <v>88</v>
      </c>
      <c r="IC19" s="388">
        <v>40</v>
      </c>
      <c r="ID19" s="388">
        <v>31</v>
      </c>
      <c r="IE19" s="388">
        <f t="shared" si="435"/>
        <v>71</v>
      </c>
      <c r="IF19" s="388">
        <v>26</v>
      </c>
      <c r="IG19" s="388">
        <v>22</v>
      </c>
      <c r="IH19" s="388">
        <f t="shared" si="436"/>
        <v>48</v>
      </c>
      <c r="II19" s="388">
        <v>25</v>
      </c>
      <c r="IJ19" s="388">
        <v>30</v>
      </c>
      <c r="IK19" s="388">
        <f t="shared" si="437"/>
        <v>55</v>
      </c>
      <c r="IL19" s="388">
        <v>19</v>
      </c>
      <c r="IM19" s="388">
        <v>23</v>
      </c>
      <c r="IN19" s="388">
        <f t="shared" si="438"/>
        <v>42</v>
      </c>
      <c r="IO19" s="388">
        <v>15</v>
      </c>
      <c r="IP19" s="388">
        <v>24</v>
      </c>
      <c r="IQ19" s="388">
        <f t="shared" si="439"/>
        <v>39</v>
      </c>
      <c r="IR19" s="388">
        <v>14</v>
      </c>
      <c r="IS19" s="388">
        <v>12</v>
      </c>
      <c r="IT19" s="388">
        <f t="shared" si="440"/>
        <v>26</v>
      </c>
      <c r="IU19" s="388">
        <v>11</v>
      </c>
      <c r="IV19" s="388">
        <v>23</v>
      </c>
      <c r="IW19" s="388">
        <f t="shared" si="441"/>
        <v>34</v>
      </c>
      <c r="IX19" s="388">
        <v>7</v>
      </c>
      <c r="IY19" s="388">
        <v>5</v>
      </c>
      <c r="IZ19" s="388">
        <f t="shared" si="442"/>
        <v>12</v>
      </c>
      <c r="JA19" s="388">
        <v>7</v>
      </c>
      <c r="JB19" s="388">
        <v>11</v>
      </c>
      <c r="JC19" s="388">
        <f t="shared" si="443"/>
        <v>18</v>
      </c>
      <c r="JD19" s="388">
        <v>4</v>
      </c>
      <c r="JE19" s="388">
        <v>6</v>
      </c>
      <c r="JF19" s="388">
        <f t="shared" si="444"/>
        <v>10</v>
      </c>
      <c r="JG19" s="388">
        <v>5</v>
      </c>
      <c r="JH19" s="388">
        <v>4</v>
      </c>
      <c r="JI19" s="388">
        <f t="shared" si="445"/>
        <v>9</v>
      </c>
      <c r="JJ19" s="388">
        <v>6</v>
      </c>
      <c r="JK19" s="388">
        <v>8</v>
      </c>
      <c r="JL19" s="388">
        <f t="shared" si="446"/>
        <v>14</v>
      </c>
      <c r="JM19" s="388">
        <v>2</v>
      </c>
      <c r="JN19" s="388">
        <v>8</v>
      </c>
      <c r="JO19" s="388">
        <f t="shared" si="447"/>
        <v>10</v>
      </c>
      <c r="JP19" s="388">
        <v>1</v>
      </c>
      <c r="JQ19" s="388">
        <v>2</v>
      </c>
      <c r="JR19" s="388">
        <f t="shared" si="448"/>
        <v>3</v>
      </c>
      <c r="JS19" s="388">
        <v>1</v>
      </c>
      <c r="JT19" s="388">
        <v>2</v>
      </c>
      <c r="JU19" s="388">
        <f t="shared" si="449"/>
        <v>3</v>
      </c>
      <c r="JV19" s="388">
        <v>0</v>
      </c>
      <c r="JW19" s="388">
        <v>0</v>
      </c>
      <c r="JX19" s="388">
        <f t="shared" si="450"/>
        <v>0</v>
      </c>
      <c r="JY19" s="388">
        <v>1</v>
      </c>
      <c r="JZ19" s="388">
        <v>0</v>
      </c>
      <c r="KA19" s="388">
        <f t="shared" si="451"/>
        <v>1</v>
      </c>
      <c r="KB19" s="388">
        <v>0</v>
      </c>
      <c r="KC19" s="388">
        <v>0</v>
      </c>
      <c r="KD19" s="388">
        <f t="shared" si="452"/>
        <v>0</v>
      </c>
      <c r="KE19" s="388">
        <v>0</v>
      </c>
      <c r="KF19" s="388">
        <v>0</v>
      </c>
      <c r="KG19" s="388">
        <f t="shared" si="453"/>
        <v>0</v>
      </c>
      <c r="KH19" s="388">
        <v>0</v>
      </c>
      <c r="KI19" s="388">
        <v>0</v>
      </c>
      <c r="KJ19" s="388">
        <f t="shared" si="454"/>
        <v>0</v>
      </c>
      <c r="KK19" s="388">
        <v>0</v>
      </c>
      <c r="KL19" s="388">
        <v>0</v>
      </c>
      <c r="KM19" s="388">
        <f t="shared" si="455"/>
        <v>0</v>
      </c>
      <c r="KN19" s="388">
        <v>0</v>
      </c>
      <c r="KO19" s="388">
        <v>0</v>
      </c>
      <c r="KP19" s="388">
        <f t="shared" si="456"/>
        <v>0</v>
      </c>
      <c r="KQ19" s="388">
        <v>0</v>
      </c>
      <c r="KR19" s="388">
        <v>0</v>
      </c>
      <c r="KS19" s="388">
        <f t="shared" si="457"/>
        <v>0</v>
      </c>
      <c r="KT19" s="388">
        <v>0</v>
      </c>
      <c r="KU19" s="388">
        <v>0</v>
      </c>
      <c r="KV19" s="388">
        <f t="shared" si="458"/>
        <v>0</v>
      </c>
      <c r="KW19" s="388">
        <v>0</v>
      </c>
      <c r="KX19" s="388">
        <v>0</v>
      </c>
      <c r="KY19" s="388">
        <f t="shared" si="459"/>
        <v>0</v>
      </c>
      <c r="KZ19" s="388">
        <v>0</v>
      </c>
      <c r="LA19" s="388">
        <v>0</v>
      </c>
      <c r="LB19" s="388">
        <f t="shared" si="460"/>
        <v>0</v>
      </c>
      <c r="LC19" s="388">
        <v>0</v>
      </c>
      <c r="LD19" s="388">
        <v>0</v>
      </c>
      <c r="LE19" s="388">
        <f t="shared" si="461"/>
        <v>0</v>
      </c>
      <c r="LF19" s="388">
        <v>0</v>
      </c>
      <c r="LG19" s="388">
        <v>0</v>
      </c>
      <c r="LH19" s="388">
        <f t="shared" si="462"/>
        <v>0</v>
      </c>
      <c r="LI19" s="388">
        <v>0</v>
      </c>
      <c r="LJ19" s="388">
        <v>0</v>
      </c>
      <c r="LK19" s="388">
        <f t="shared" si="463"/>
        <v>0</v>
      </c>
      <c r="LL19" s="388">
        <v>0</v>
      </c>
      <c r="LM19" s="388">
        <v>0</v>
      </c>
      <c r="LN19" s="388">
        <f t="shared" si="464"/>
        <v>0</v>
      </c>
      <c r="LO19" s="388">
        <v>0</v>
      </c>
      <c r="LP19" s="388">
        <v>0</v>
      </c>
      <c r="LQ19" s="388">
        <f t="shared" si="465"/>
        <v>0</v>
      </c>
      <c r="LR19" s="388">
        <v>0</v>
      </c>
      <c r="LS19" s="388">
        <v>0</v>
      </c>
      <c r="LT19" s="388">
        <f t="shared" si="466"/>
        <v>0</v>
      </c>
      <c r="LU19" s="388">
        <v>0</v>
      </c>
      <c r="LV19" s="388">
        <v>0</v>
      </c>
      <c r="LW19" s="388">
        <f t="shared" si="467"/>
        <v>0</v>
      </c>
      <c r="LX19" s="388">
        <v>0</v>
      </c>
      <c r="LY19" s="388">
        <v>0</v>
      </c>
      <c r="LZ19" s="388">
        <f t="shared" si="468"/>
        <v>0</v>
      </c>
      <c r="MA19" s="388">
        <v>0</v>
      </c>
      <c r="MB19" s="388">
        <v>0</v>
      </c>
      <c r="MC19" s="388">
        <f t="shared" si="469"/>
        <v>0</v>
      </c>
      <c r="MD19" s="388">
        <v>0</v>
      </c>
      <c r="ME19" s="388">
        <v>0</v>
      </c>
      <c r="MF19" s="388">
        <f t="shared" si="470"/>
        <v>0</v>
      </c>
      <c r="MG19" s="388">
        <v>0</v>
      </c>
      <c r="MH19" s="388">
        <v>0</v>
      </c>
      <c r="MI19" s="388">
        <f t="shared" si="471"/>
        <v>0</v>
      </c>
      <c r="MJ19" s="388">
        <v>0</v>
      </c>
      <c r="MK19" s="388">
        <v>0</v>
      </c>
      <c r="ML19" s="388">
        <f t="shared" si="472"/>
        <v>0</v>
      </c>
      <c r="MM19" s="388">
        <v>0</v>
      </c>
      <c r="MN19" s="388">
        <v>0</v>
      </c>
      <c r="MO19" s="388">
        <f t="shared" si="473"/>
        <v>0</v>
      </c>
      <c r="MP19" s="388">
        <v>0</v>
      </c>
      <c r="MQ19" s="388">
        <v>0</v>
      </c>
      <c r="MR19" s="388">
        <f t="shared" si="474"/>
        <v>0</v>
      </c>
      <c r="MS19" s="388">
        <v>0</v>
      </c>
      <c r="MT19" s="388">
        <v>0</v>
      </c>
      <c r="MU19" s="388">
        <f t="shared" si="475"/>
        <v>0</v>
      </c>
      <c r="MV19" s="388">
        <v>0</v>
      </c>
      <c r="MW19" s="388">
        <v>0</v>
      </c>
      <c r="MX19" s="388">
        <f t="shared" si="476"/>
        <v>0</v>
      </c>
      <c r="MY19" s="388">
        <v>0</v>
      </c>
      <c r="MZ19" s="388">
        <v>0</v>
      </c>
      <c r="NA19" s="562">
        <f t="shared" si="477"/>
        <v>0</v>
      </c>
      <c r="NB19" s="388">
        <v>0</v>
      </c>
      <c r="NC19" s="388">
        <v>0</v>
      </c>
      <c r="ND19" s="560">
        <f t="shared" si="478"/>
        <v>0</v>
      </c>
      <c r="NE19" s="559">
        <f t="shared" si="479"/>
        <v>17719</v>
      </c>
      <c r="NF19" s="388">
        <f t="shared" si="479"/>
        <v>17947</v>
      </c>
      <c r="NG19" s="560">
        <f t="shared" si="480"/>
        <v>35666</v>
      </c>
      <c r="NH19" s="559">
        <f t="shared" si="481"/>
        <v>1344</v>
      </c>
      <c r="NI19" s="388">
        <f t="shared" si="481"/>
        <v>1185</v>
      </c>
      <c r="NJ19" s="560">
        <f t="shared" si="482"/>
        <v>2529</v>
      </c>
    </row>
    <row r="20" spans="1:374" ht="14.5" thickBot="1" x14ac:dyDescent="0.35">
      <c r="A20" s="563" t="s">
        <v>263</v>
      </c>
      <c r="B20" s="593" t="s">
        <v>40</v>
      </c>
      <c r="C20" s="566">
        <v>281</v>
      </c>
      <c r="D20" s="392">
        <v>284</v>
      </c>
      <c r="E20" s="392">
        <f t="shared" si="357"/>
        <v>565</v>
      </c>
      <c r="F20" s="392">
        <v>366</v>
      </c>
      <c r="G20" s="392">
        <v>363</v>
      </c>
      <c r="H20" s="392">
        <f t="shared" si="358"/>
        <v>729</v>
      </c>
      <c r="I20" s="392">
        <v>461</v>
      </c>
      <c r="J20" s="392">
        <v>401</v>
      </c>
      <c r="K20" s="392">
        <f t="shared" si="359"/>
        <v>862</v>
      </c>
      <c r="L20" s="392">
        <v>483</v>
      </c>
      <c r="M20" s="392">
        <v>460</v>
      </c>
      <c r="N20" s="392">
        <f t="shared" si="360"/>
        <v>943</v>
      </c>
      <c r="O20" s="392">
        <v>571</v>
      </c>
      <c r="P20" s="392">
        <v>498</v>
      </c>
      <c r="Q20" s="392">
        <f t="shared" si="361"/>
        <v>1069</v>
      </c>
      <c r="R20" s="392">
        <v>608</v>
      </c>
      <c r="S20" s="392">
        <v>529</v>
      </c>
      <c r="T20" s="392">
        <f t="shared" si="362"/>
        <v>1137</v>
      </c>
      <c r="U20" s="392">
        <v>603</v>
      </c>
      <c r="V20" s="392">
        <v>638</v>
      </c>
      <c r="W20" s="392">
        <f t="shared" si="363"/>
        <v>1241</v>
      </c>
      <c r="X20" s="392">
        <v>675</v>
      </c>
      <c r="Y20" s="392">
        <v>618</v>
      </c>
      <c r="Z20" s="392">
        <f t="shared" si="364"/>
        <v>1293</v>
      </c>
      <c r="AA20" s="392">
        <v>714</v>
      </c>
      <c r="AB20" s="392">
        <v>633</v>
      </c>
      <c r="AC20" s="392">
        <f t="shared" si="365"/>
        <v>1347</v>
      </c>
      <c r="AD20" s="392">
        <v>648</v>
      </c>
      <c r="AE20" s="392">
        <v>572</v>
      </c>
      <c r="AF20" s="392">
        <f t="shared" si="366"/>
        <v>1220</v>
      </c>
      <c r="AG20" s="392">
        <v>663</v>
      </c>
      <c r="AH20" s="392">
        <v>586</v>
      </c>
      <c r="AI20" s="392">
        <f t="shared" si="367"/>
        <v>1249</v>
      </c>
      <c r="AJ20" s="392">
        <v>671</v>
      </c>
      <c r="AK20" s="392">
        <v>618</v>
      </c>
      <c r="AL20" s="392">
        <f t="shared" si="368"/>
        <v>1289</v>
      </c>
      <c r="AM20" s="392">
        <v>633</v>
      </c>
      <c r="AN20" s="392">
        <v>587</v>
      </c>
      <c r="AO20" s="392">
        <f t="shared" si="369"/>
        <v>1220</v>
      </c>
      <c r="AP20" s="392">
        <v>628</v>
      </c>
      <c r="AQ20" s="392">
        <v>599</v>
      </c>
      <c r="AR20" s="392">
        <f t="shared" si="370"/>
        <v>1227</v>
      </c>
      <c r="AS20" s="392">
        <v>627</v>
      </c>
      <c r="AT20" s="392">
        <v>610</v>
      </c>
      <c r="AU20" s="392">
        <f t="shared" si="371"/>
        <v>1237</v>
      </c>
      <c r="AV20" s="392">
        <v>599</v>
      </c>
      <c r="AW20" s="392">
        <v>582</v>
      </c>
      <c r="AX20" s="392">
        <f t="shared" si="372"/>
        <v>1181</v>
      </c>
      <c r="AY20" s="392">
        <v>628</v>
      </c>
      <c r="AZ20" s="392">
        <v>598</v>
      </c>
      <c r="BA20" s="392">
        <f t="shared" si="373"/>
        <v>1226</v>
      </c>
      <c r="BB20" s="392">
        <v>576</v>
      </c>
      <c r="BC20" s="392">
        <v>540</v>
      </c>
      <c r="BD20" s="392">
        <f t="shared" si="374"/>
        <v>1116</v>
      </c>
      <c r="BE20" s="392">
        <v>553</v>
      </c>
      <c r="BF20" s="392">
        <v>588</v>
      </c>
      <c r="BG20" s="392">
        <f t="shared" si="375"/>
        <v>1141</v>
      </c>
      <c r="BH20" s="392">
        <v>619</v>
      </c>
      <c r="BI20" s="392">
        <v>583</v>
      </c>
      <c r="BJ20" s="392">
        <f t="shared" si="376"/>
        <v>1202</v>
      </c>
      <c r="BK20" s="392">
        <v>529</v>
      </c>
      <c r="BL20" s="392">
        <v>539</v>
      </c>
      <c r="BM20" s="392">
        <f t="shared" si="377"/>
        <v>1068</v>
      </c>
      <c r="BN20" s="392">
        <v>565</v>
      </c>
      <c r="BO20" s="392">
        <v>536</v>
      </c>
      <c r="BP20" s="392">
        <f t="shared" si="378"/>
        <v>1101</v>
      </c>
      <c r="BQ20" s="392">
        <v>602</v>
      </c>
      <c r="BR20" s="392">
        <v>582</v>
      </c>
      <c r="BS20" s="392">
        <f t="shared" si="379"/>
        <v>1184</v>
      </c>
      <c r="BT20" s="392">
        <v>624</v>
      </c>
      <c r="BU20" s="392">
        <v>551</v>
      </c>
      <c r="BV20" s="392">
        <f t="shared" si="380"/>
        <v>1175</v>
      </c>
      <c r="BW20" s="392">
        <v>584</v>
      </c>
      <c r="BX20" s="392">
        <v>598</v>
      </c>
      <c r="BY20" s="392">
        <f t="shared" si="381"/>
        <v>1182</v>
      </c>
      <c r="BZ20" s="392">
        <v>597</v>
      </c>
      <c r="CA20" s="392">
        <v>591</v>
      </c>
      <c r="CB20" s="392">
        <f t="shared" si="382"/>
        <v>1188</v>
      </c>
      <c r="CC20" s="392">
        <v>607</v>
      </c>
      <c r="CD20" s="392">
        <v>584</v>
      </c>
      <c r="CE20" s="392">
        <f t="shared" si="383"/>
        <v>1191</v>
      </c>
      <c r="CF20" s="392">
        <v>566</v>
      </c>
      <c r="CG20" s="392">
        <v>524</v>
      </c>
      <c r="CH20" s="392">
        <f t="shared" si="384"/>
        <v>1090</v>
      </c>
      <c r="CI20" s="392">
        <v>583</v>
      </c>
      <c r="CJ20" s="392">
        <v>565</v>
      </c>
      <c r="CK20" s="392">
        <f t="shared" si="385"/>
        <v>1148</v>
      </c>
      <c r="CL20" s="392">
        <v>549</v>
      </c>
      <c r="CM20" s="392">
        <v>569</v>
      </c>
      <c r="CN20" s="392">
        <f t="shared" si="386"/>
        <v>1118</v>
      </c>
      <c r="CO20" s="392">
        <v>572</v>
      </c>
      <c r="CP20" s="392">
        <v>602</v>
      </c>
      <c r="CQ20" s="392">
        <f t="shared" si="387"/>
        <v>1174</v>
      </c>
      <c r="CR20" s="392">
        <v>563</v>
      </c>
      <c r="CS20" s="392">
        <v>605</v>
      </c>
      <c r="CT20" s="392">
        <f t="shared" si="388"/>
        <v>1168</v>
      </c>
      <c r="CU20" s="392">
        <v>579</v>
      </c>
      <c r="CV20" s="392">
        <v>565</v>
      </c>
      <c r="CW20" s="392">
        <f t="shared" si="389"/>
        <v>1144</v>
      </c>
      <c r="CX20" s="392">
        <v>554</v>
      </c>
      <c r="CY20" s="392">
        <v>563</v>
      </c>
      <c r="CZ20" s="392">
        <f t="shared" si="390"/>
        <v>1117</v>
      </c>
      <c r="DA20" s="392">
        <v>599</v>
      </c>
      <c r="DB20" s="392">
        <v>589</v>
      </c>
      <c r="DC20" s="392">
        <f t="shared" si="391"/>
        <v>1188</v>
      </c>
      <c r="DD20" s="392">
        <v>552</v>
      </c>
      <c r="DE20" s="392">
        <v>592</v>
      </c>
      <c r="DF20" s="392">
        <f t="shared" si="392"/>
        <v>1144</v>
      </c>
      <c r="DG20" s="392">
        <v>627</v>
      </c>
      <c r="DH20" s="392">
        <v>625</v>
      </c>
      <c r="DI20" s="392">
        <f t="shared" si="393"/>
        <v>1252</v>
      </c>
      <c r="DJ20" s="392">
        <v>589</v>
      </c>
      <c r="DK20" s="392">
        <v>571</v>
      </c>
      <c r="DL20" s="392">
        <f t="shared" si="394"/>
        <v>1160</v>
      </c>
      <c r="DM20" s="392">
        <v>553</v>
      </c>
      <c r="DN20" s="392">
        <v>540</v>
      </c>
      <c r="DO20" s="392">
        <f t="shared" si="395"/>
        <v>1093</v>
      </c>
      <c r="DP20" s="392">
        <v>579</v>
      </c>
      <c r="DQ20" s="392">
        <v>568</v>
      </c>
      <c r="DR20" s="392">
        <f t="shared" si="396"/>
        <v>1147</v>
      </c>
      <c r="DS20" s="392">
        <v>569</v>
      </c>
      <c r="DT20" s="392">
        <v>625</v>
      </c>
      <c r="DU20" s="392">
        <f t="shared" si="397"/>
        <v>1194</v>
      </c>
      <c r="DV20" s="392">
        <v>630</v>
      </c>
      <c r="DW20" s="392">
        <v>598</v>
      </c>
      <c r="DX20" s="392">
        <f t="shared" si="398"/>
        <v>1228</v>
      </c>
      <c r="DY20" s="392">
        <v>615</v>
      </c>
      <c r="DZ20" s="392">
        <v>595</v>
      </c>
      <c r="EA20" s="392">
        <f t="shared" si="399"/>
        <v>1210</v>
      </c>
      <c r="EB20" s="392">
        <v>609</v>
      </c>
      <c r="EC20" s="392">
        <v>682</v>
      </c>
      <c r="ED20" s="392">
        <f t="shared" si="400"/>
        <v>1291</v>
      </c>
      <c r="EE20" s="392">
        <v>606</v>
      </c>
      <c r="EF20" s="392">
        <v>697</v>
      </c>
      <c r="EG20" s="392">
        <f t="shared" si="401"/>
        <v>1303</v>
      </c>
      <c r="EH20" s="392">
        <v>620</v>
      </c>
      <c r="EI20" s="392">
        <v>613</v>
      </c>
      <c r="EJ20" s="392">
        <f t="shared" si="402"/>
        <v>1233</v>
      </c>
      <c r="EK20" s="392">
        <v>591</v>
      </c>
      <c r="EL20" s="392">
        <v>667</v>
      </c>
      <c r="EM20" s="392">
        <f t="shared" si="403"/>
        <v>1258</v>
      </c>
      <c r="EN20" s="392">
        <v>628</v>
      </c>
      <c r="EO20" s="392">
        <v>571</v>
      </c>
      <c r="EP20" s="392">
        <f t="shared" si="404"/>
        <v>1199</v>
      </c>
      <c r="EQ20" s="392">
        <v>570</v>
      </c>
      <c r="ER20" s="392">
        <v>560</v>
      </c>
      <c r="ES20" s="392">
        <f t="shared" si="405"/>
        <v>1130</v>
      </c>
      <c r="ET20" s="392">
        <v>563</v>
      </c>
      <c r="EU20" s="392">
        <v>586</v>
      </c>
      <c r="EV20" s="392">
        <f t="shared" si="406"/>
        <v>1149</v>
      </c>
      <c r="EW20" s="392">
        <v>516</v>
      </c>
      <c r="EX20" s="392">
        <v>528</v>
      </c>
      <c r="EY20" s="392">
        <f t="shared" si="407"/>
        <v>1044</v>
      </c>
      <c r="EZ20" s="392">
        <v>503</v>
      </c>
      <c r="FA20" s="392">
        <v>528</v>
      </c>
      <c r="FB20" s="392">
        <f t="shared" si="408"/>
        <v>1031</v>
      </c>
      <c r="FC20" s="392">
        <v>458</v>
      </c>
      <c r="FD20" s="392">
        <v>444</v>
      </c>
      <c r="FE20" s="392">
        <f t="shared" si="409"/>
        <v>902</v>
      </c>
      <c r="FF20" s="392">
        <v>461</v>
      </c>
      <c r="FG20" s="392">
        <v>473</v>
      </c>
      <c r="FH20" s="392">
        <f t="shared" si="410"/>
        <v>934</v>
      </c>
      <c r="FI20" s="392">
        <v>459</v>
      </c>
      <c r="FJ20" s="392">
        <v>471</v>
      </c>
      <c r="FK20" s="392">
        <f t="shared" si="411"/>
        <v>930</v>
      </c>
      <c r="FL20" s="392">
        <v>406</v>
      </c>
      <c r="FM20" s="392">
        <v>446</v>
      </c>
      <c r="FN20" s="392">
        <f t="shared" si="412"/>
        <v>852</v>
      </c>
      <c r="FO20" s="392">
        <v>396</v>
      </c>
      <c r="FP20" s="392">
        <v>471</v>
      </c>
      <c r="FQ20" s="392">
        <f t="shared" si="413"/>
        <v>867</v>
      </c>
      <c r="FR20" s="392">
        <v>370</v>
      </c>
      <c r="FS20" s="392">
        <v>411</v>
      </c>
      <c r="FT20" s="392">
        <f t="shared" si="414"/>
        <v>781</v>
      </c>
      <c r="FU20" s="392">
        <v>337</v>
      </c>
      <c r="FV20" s="392">
        <v>387</v>
      </c>
      <c r="FW20" s="392">
        <f t="shared" si="415"/>
        <v>724</v>
      </c>
      <c r="FX20" s="392">
        <v>336</v>
      </c>
      <c r="FY20" s="392">
        <v>345</v>
      </c>
      <c r="FZ20" s="392">
        <f t="shared" si="416"/>
        <v>681</v>
      </c>
      <c r="GA20" s="392">
        <v>350</v>
      </c>
      <c r="GB20" s="392">
        <v>381</v>
      </c>
      <c r="GC20" s="392">
        <f t="shared" si="417"/>
        <v>731</v>
      </c>
      <c r="GD20" s="392">
        <v>300</v>
      </c>
      <c r="GE20" s="392">
        <v>406</v>
      </c>
      <c r="GF20" s="392">
        <f t="shared" si="418"/>
        <v>706</v>
      </c>
      <c r="GG20" s="392">
        <v>299</v>
      </c>
      <c r="GH20" s="392">
        <v>337</v>
      </c>
      <c r="GI20" s="392">
        <f t="shared" si="419"/>
        <v>636</v>
      </c>
      <c r="GJ20" s="392">
        <v>276</v>
      </c>
      <c r="GK20" s="392">
        <v>333</v>
      </c>
      <c r="GL20" s="392">
        <f t="shared" si="420"/>
        <v>609</v>
      </c>
      <c r="GM20" s="392">
        <v>256</v>
      </c>
      <c r="GN20" s="392">
        <v>299</v>
      </c>
      <c r="GO20" s="392">
        <f t="shared" si="421"/>
        <v>555</v>
      </c>
      <c r="GP20" s="392">
        <v>231</v>
      </c>
      <c r="GQ20" s="392">
        <v>315</v>
      </c>
      <c r="GR20" s="392">
        <f t="shared" si="422"/>
        <v>546</v>
      </c>
      <c r="GS20" s="392">
        <v>269</v>
      </c>
      <c r="GT20" s="392">
        <v>321</v>
      </c>
      <c r="GU20" s="392">
        <f t="shared" si="423"/>
        <v>590</v>
      </c>
      <c r="GV20" s="392">
        <v>235</v>
      </c>
      <c r="GW20" s="392">
        <v>300</v>
      </c>
      <c r="GX20" s="392">
        <f t="shared" si="424"/>
        <v>535</v>
      </c>
      <c r="GY20" s="392">
        <v>234</v>
      </c>
      <c r="GZ20" s="392">
        <v>255</v>
      </c>
      <c r="HA20" s="392">
        <f t="shared" si="425"/>
        <v>489</v>
      </c>
      <c r="HB20" s="392">
        <v>188</v>
      </c>
      <c r="HC20" s="392">
        <v>224</v>
      </c>
      <c r="HD20" s="392">
        <f t="shared" si="426"/>
        <v>412</v>
      </c>
      <c r="HE20" s="392">
        <v>164</v>
      </c>
      <c r="HF20" s="392">
        <v>249</v>
      </c>
      <c r="HG20" s="392">
        <f t="shared" si="427"/>
        <v>413</v>
      </c>
      <c r="HH20" s="392">
        <v>194</v>
      </c>
      <c r="HI20" s="392">
        <v>226</v>
      </c>
      <c r="HJ20" s="392">
        <f t="shared" si="428"/>
        <v>420</v>
      </c>
      <c r="HK20" s="392">
        <v>192</v>
      </c>
      <c r="HL20" s="392">
        <v>187</v>
      </c>
      <c r="HM20" s="392">
        <f t="shared" si="429"/>
        <v>379</v>
      </c>
      <c r="HN20" s="392">
        <v>141</v>
      </c>
      <c r="HO20" s="392">
        <v>160</v>
      </c>
      <c r="HP20" s="392">
        <f t="shared" si="430"/>
        <v>301</v>
      </c>
      <c r="HQ20" s="392">
        <v>138</v>
      </c>
      <c r="HR20" s="392">
        <v>118</v>
      </c>
      <c r="HS20" s="392">
        <f t="shared" si="431"/>
        <v>256</v>
      </c>
      <c r="HT20" s="392">
        <v>121</v>
      </c>
      <c r="HU20" s="392">
        <v>144</v>
      </c>
      <c r="HV20" s="392">
        <f t="shared" si="432"/>
        <v>265</v>
      </c>
      <c r="HW20" s="392">
        <v>88</v>
      </c>
      <c r="HX20" s="392">
        <v>127</v>
      </c>
      <c r="HY20" s="392">
        <f t="shared" si="433"/>
        <v>215</v>
      </c>
      <c r="HZ20" s="392">
        <v>98</v>
      </c>
      <c r="IA20" s="392">
        <v>78</v>
      </c>
      <c r="IB20" s="392">
        <f t="shared" si="434"/>
        <v>176</v>
      </c>
      <c r="IC20" s="392">
        <v>77</v>
      </c>
      <c r="ID20" s="392">
        <v>76</v>
      </c>
      <c r="IE20" s="392">
        <f t="shared" si="435"/>
        <v>153</v>
      </c>
      <c r="IF20" s="392">
        <v>52</v>
      </c>
      <c r="IG20" s="392">
        <v>63</v>
      </c>
      <c r="IH20" s="392">
        <f t="shared" si="436"/>
        <v>115</v>
      </c>
      <c r="II20" s="392">
        <v>63</v>
      </c>
      <c r="IJ20" s="392">
        <v>69</v>
      </c>
      <c r="IK20" s="392">
        <f t="shared" si="437"/>
        <v>132</v>
      </c>
      <c r="IL20" s="392">
        <v>51</v>
      </c>
      <c r="IM20" s="392">
        <v>60</v>
      </c>
      <c r="IN20" s="392">
        <f t="shared" si="438"/>
        <v>111</v>
      </c>
      <c r="IO20" s="392">
        <v>43</v>
      </c>
      <c r="IP20" s="392">
        <v>28</v>
      </c>
      <c r="IQ20" s="392">
        <f t="shared" si="439"/>
        <v>71</v>
      </c>
      <c r="IR20" s="392">
        <v>39</v>
      </c>
      <c r="IS20" s="392">
        <v>41</v>
      </c>
      <c r="IT20" s="392">
        <f t="shared" si="440"/>
        <v>80</v>
      </c>
      <c r="IU20" s="392">
        <v>22</v>
      </c>
      <c r="IV20" s="392">
        <v>39</v>
      </c>
      <c r="IW20" s="392">
        <f t="shared" si="441"/>
        <v>61</v>
      </c>
      <c r="IX20" s="392">
        <v>26</v>
      </c>
      <c r="IY20" s="392">
        <v>19</v>
      </c>
      <c r="IZ20" s="392">
        <f t="shared" si="442"/>
        <v>45</v>
      </c>
      <c r="JA20" s="392">
        <v>13</v>
      </c>
      <c r="JB20" s="392">
        <v>24</v>
      </c>
      <c r="JC20" s="392">
        <f t="shared" si="443"/>
        <v>37</v>
      </c>
      <c r="JD20" s="392">
        <v>13</v>
      </c>
      <c r="JE20" s="392">
        <v>17</v>
      </c>
      <c r="JF20" s="392">
        <f t="shared" si="444"/>
        <v>30</v>
      </c>
      <c r="JG20" s="392">
        <v>9</v>
      </c>
      <c r="JH20" s="392">
        <v>13</v>
      </c>
      <c r="JI20" s="392">
        <f t="shared" si="445"/>
        <v>22</v>
      </c>
      <c r="JJ20" s="392">
        <v>7</v>
      </c>
      <c r="JK20" s="392">
        <v>9</v>
      </c>
      <c r="JL20" s="392">
        <f t="shared" si="446"/>
        <v>16</v>
      </c>
      <c r="JM20" s="392">
        <v>7</v>
      </c>
      <c r="JN20" s="392">
        <v>4</v>
      </c>
      <c r="JO20" s="392">
        <f t="shared" si="447"/>
        <v>11</v>
      </c>
      <c r="JP20" s="392">
        <v>2</v>
      </c>
      <c r="JQ20" s="392">
        <v>9</v>
      </c>
      <c r="JR20" s="392">
        <f t="shared" si="448"/>
        <v>11</v>
      </c>
      <c r="JS20" s="392">
        <v>1</v>
      </c>
      <c r="JT20" s="392">
        <v>6</v>
      </c>
      <c r="JU20" s="392">
        <f t="shared" si="449"/>
        <v>7</v>
      </c>
      <c r="JV20" s="392">
        <v>5</v>
      </c>
      <c r="JW20" s="392">
        <v>8</v>
      </c>
      <c r="JX20" s="392">
        <f t="shared" si="450"/>
        <v>13</v>
      </c>
      <c r="JY20" s="392">
        <v>2</v>
      </c>
      <c r="JZ20" s="392">
        <v>0</v>
      </c>
      <c r="KA20" s="392">
        <f t="shared" si="451"/>
        <v>2</v>
      </c>
      <c r="KB20" s="392">
        <v>3</v>
      </c>
      <c r="KC20" s="392">
        <v>4</v>
      </c>
      <c r="KD20" s="392">
        <f t="shared" si="452"/>
        <v>7</v>
      </c>
      <c r="KE20" s="392">
        <v>0</v>
      </c>
      <c r="KF20" s="392">
        <v>3</v>
      </c>
      <c r="KG20" s="392">
        <f t="shared" si="453"/>
        <v>3</v>
      </c>
      <c r="KH20" s="392">
        <v>1</v>
      </c>
      <c r="KI20" s="392">
        <v>1</v>
      </c>
      <c r="KJ20" s="392">
        <f t="shared" si="454"/>
        <v>2</v>
      </c>
      <c r="KK20" s="392">
        <v>0</v>
      </c>
      <c r="KL20" s="392">
        <v>1</v>
      </c>
      <c r="KM20" s="392">
        <f t="shared" si="455"/>
        <v>1</v>
      </c>
      <c r="KN20" s="392">
        <v>0</v>
      </c>
      <c r="KO20" s="392">
        <v>0</v>
      </c>
      <c r="KP20" s="392">
        <f t="shared" si="456"/>
        <v>0</v>
      </c>
      <c r="KQ20" s="392">
        <v>2</v>
      </c>
      <c r="KR20" s="392">
        <v>0</v>
      </c>
      <c r="KS20" s="392">
        <f t="shared" si="457"/>
        <v>2</v>
      </c>
      <c r="KT20" s="392">
        <v>0</v>
      </c>
      <c r="KU20" s="392">
        <v>0</v>
      </c>
      <c r="KV20" s="392">
        <f t="shared" si="458"/>
        <v>0</v>
      </c>
      <c r="KW20" s="392">
        <v>0</v>
      </c>
      <c r="KX20" s="392">
        <v>0</v>
      </c>
      <c r="KY20" s="392">
        <f t="shared" si="459"/>
        <v>0</v>
      </c>
      <c r="KZ20" s="392">
        <v>0</v>
      </c>
      <c r="LA20" s="392">
        <v>0</v>
      </c>
      <c r="LB20" s="392">
        <f t="shared" si="460"/>
        <v>0</v>
      </c>
      <c r="LC20" s="392">
        <v>0</v>
      </c>
      <c r="LD20" s="392">
        <v>0</v>
      </c>
      <c r="LE20" s="392">
        <f t="shared" si="461"/>
        <v>0</v>
      </c>
      <c r="LF20" s="392">
        <v>0</v>
      </c>
      <c r="LG20" s="392">
        <v>0</v>
      </c>
      <c r="LH20" s="392">
        <f t="shared" si="462"/>
        <v>0</v>
      </c>
      <c r="LI20" s="392">
        <v>0</v>
      </c>
      <c r="LJ20" s="392">
        <v>0</v>
      </c>
      <c r="LK20" s="392">
        <f t="shared" si="463"/>
        <v>0</v>
      </c>
      <c r="LL20" s="392">
        <v>0</v>
      </c>
      <c r="LM20" s="392">
        <v>0</v>
      </c>
      <c r="LN20" s="392">
        <f t="shared" si="464"/>
        <v>0</v>
      </c>
      <c r="LO20" s="392">
        <v>0</v>
      </c>
      <c r="LP20" s="392">
        <v>0</v>
      </c>
      <c r="LQ20" s="392">
        <f t="shared" si="465"/>
        <v>0</v>
      </c>
      <c r="LR20" s="392">
        <v>0</v>
      </c>
      <c r="LS20" s="392">
        <v>0</v>
      </c>
      <c r="LT20" s="392">
        <f t="shared" si="466"/>
        <v>0</v>
      </c>
      <c r="LU20" s="392">
        <v>0</v>
      </c>
      <c r="LV20" s="392">
        <v>0</v>
      </c>
      <c r="LW20" s="392">
        <f t="shared" si="467"/>
        <v>0</v>
      </c>
      <c r="LX20" s="392">
        <v>0</v>
      </c>
      <c r="LY20" s="392">
        <v>0</v>
      </c>
      <c r="LZ20" s="392">
        <f t="shared" si="468"/>
        <v>0</v>
      </c>
      <c r="MA20" s="392">
        <v>0</v>
      </c>
      <c r="MB20" s="392">
        <v>0</v>
      </c>
      <c r="MC20" s="392">
        <f t="shared" si="469"/>
        <v>0</v>
      </c>
      <c r="MD20" s="392">
        <v>0</v>
      </c>
      <c r="ME20" s="392">
        <v>0</v>
      </c>
      <c r="MF20" s="392">
        <f t="shared" si="470"/>
        <v>0</v>
      </c>
      <c r="MG20" s="392">
        <v>0</v>
      </c>
      <c r="MH20" s="392">
        <v>0</v>
      </c>
      <c r="MI20" s="392">
        <f t="shared" si="471"/>
        <v>0</v>
      </c>
      <c r="MJ20" s="392">
        <v>0</v>
      </c>
      <c r="MK20" s="392">
        <v>0</v>
      </c>
      <c r="ML20" s="392">
        <f t="shared" si="472"/>
        <v>0</v>
      </c>
      <c r="MM20" s="392">
        <v>0</v>
      </c>
      <c r="MN20" s="392">
        <v>0</v>
      </c>
      <c r="MO20" s="392">
        <f t="shared" si="473"/>
        <v>0</v>
      </c>
      <c r="MP20" s="392">
        <v>0</v>
      </c>
      <c r="MQ20" s="392">
        <v>0</v>
      </c>
      <c r="MR20" s="392">
        <f t="shared" si="474"/>
        <v>0</v>
      </c>
      <c r="MS20" s="392">
        <v>0</v>
      </c>
      <c r="MT20" s="392">
        <v>0</v>
      </c>
      <c r="MU20" s="392">
        <f t="shared" si="475"/>
        <v>0</v>
      </c>
      <c r="MV20" s="392">
        <v>0</v>
      </c>
      <c r="MW20" s="392">
        <v>0</v>
      </c>
      <c r="MX20" s="392">
        <f t="shared" si="476"/>
        <v>0</v>
      </c>
      <c r="MY20" s="392">
        <v>0</v>
      </c>
      <c r="MZ20" s="392">
        <v>0</v>
      </c>
      <c r="NA20" s="567">
        <f t="shared" si="477"/>
        <v>0</v>
      </c>
      <c r="NB20" s="392">
        <v>0</v>
      </c>
      <c r="NC20" s="392">
        <v>0</v>
      </c>
      <c r="ND20" s="565">
        <f t="shared" si="478"/>
        <v>0</v>
      </c>
      <c r="NE20" s="559">
        <f t="shared" si="479"/>
        <v>37635</v>
      </c>
      <c r="NF20" s="388">
        <f t="shared" si="479"/>
        <v>37998</v>
      </c>
      <c r="NG20" s="576">
        <f t="shared" si="480"/>
        <v>75633</v>
      </c>
      <c r="NH20" s="575">
        <f t="shared" si="481"/>
        <v>2770</v>
      </c>
      <c r="NI20" s="396">
        <f t="shared" si="481"/>
        <v>2535</v>
      </c>
      <c r="NJ20" s="576">
        <f t="shared" si="482"/>
        <v>5305</v>
      </c>
    </row>
    <row r="21" spans="1:374" x14ac:dyDescent="0.3">
      <c r="A21" s="534" t="s">
        <v>264</v>
      </c>
      <c r="B21" s="594" t="s">
        <v>47</v>
      </c>
      <c r="C21" s="538">
        <v>1464</v>
      </c>
      <c r="D21" s="372">
        <v>1396</v>
      </c>
      <c r="E21" s="372">
        <f t="shared" si="357"/>
        <v>2860</v>
      </c>
      <c r="F21" s="372">
        <v>1920</v>
      </c>
      <c r="G21" s="372">
        <v>1778</v>
      </c>
      <c r="H21" s="372">
        <f t="shared" si="358"/>
        <v>3698</v>
      </c>
      <c r="I21" s="372">
        <v>2288</v>
      </c>
      <c r="J21" s="372">
        <v>2068</v>
      </c>
      <c r="K21" s="372">
        <f t="shared" si="359"/>
        <v>4356</v>
      </c>
      <c r="L21" s="372">
        <v>2566</v>
      </c>
      <c r="M21" s="372">
        <v>2338</v>
      </c>
      <c r="N21" s="372">
        <f t="shared" si="360"/>
        <v>4904</v>
      </c>
      <c r="O21" s="372">
        <v>2733</v>
      </c>
      <c r="P21" s="372">
        <v>2492</v>
      </c>
      <c r="Q21" s="372">
        <f t="shared" si="361"/>
        <v>5225</v>
      </c>
      <c r="R21" s="372">
        <v>2845</v>
      </c>
      <c r="S21" s="372">
        <v>2598</v>
      </c>
      <c r="T21" s="372">
        <f t="shared" si="362"/>
        <v>5443</v>
      </c>
      <c r="U21" s="372">
        <v>3086</v>
      </c>
      <c r="V21" s="372">
        <v>2823</v>
      </c>
      <c r="W21" s="372">
        <f t="shared" si="363"/>
        <v>5909</v>
      </c>
      <c r="X21" s="372">
        <v>3098</v>
      </c>
      <c r="Y21" s="372">
        <v>2966</v>
      </c>
      <c r="Z21" s="372">
        <f t="shared" si="364"/>
        <v>6064</v>
      </c>
      <c r="AA21" s="372">
        <v>2956</v>
      </c>
      <c r="AB21" s="372">
        <v>2857</v>
      </c>
      <c r="AC21" s="372">
        <f t="shared" si="365"/>
        <v>5813</v>
      </c>
      <c r="AD21" s="372">
        <v>2843</v>
      </c>
      <c r="AE21" s="372">
        <v>2712</v>
      </c>
      <c r="AF21" s="372">
        <f t="shared" si="366"/>
        <v>5555</v>
      </c>
      <c r="AG21" s="372">
        <v>2907</v>
      </c>
      <c r="AH21" s="372">
        <v>2598</v>
      </c>
      <c r="AI21" s="372">
        <f t="shared" si="367"/>
        <v>5505</v>
      </c>
      <c r="AJ21" s="372">
        <v>2847</v>
      </c>
      <c r="AK21" s="372">
        <v>2717</v>
      </c>
      <c r="AL21" s="372">
        <f t="shared" si="368"/>
        <v>5564</v>
      </c>
      <c r="AM21" s="372">
        <v>2864</v>
      </c>
      <c r="AN21" s="372">
        <v>2632</v>
      </c>
      <c r="AO21" s="372">
        <f t="shared" si="369"/>
        <v>5496</v>
      </c>
      <c r="AP21" s="372">
        <v>2878</v>
      </c>
      <c r="AQ21" s="372">
        <v>2645</v>
      </c>
      <c r="AR21" s="372">
        <f t="shared" si="370"/>
        <v>5523</v>
      </c>
      <c r="AS21" s="372">
        <v>3008</v>
      </c>
      <c r="AT21" s="372">
        <v>2849</v>
      </c>
      <c r="AU21" s="372">
        <f t="shared" si="371"/>
        <v>5857</v>
      </c>
      <c r="AV21" s="372">
        <v>2748</v>
      </c>
      <c r="AW21" s="372">
        <v>2660</v>
      </c>
      <c r="AX21" s="372">
        <f t="shared" si="372"/>
        <v>5408</v>
      </c>
      <c r="AY21" s="372">
        <v>2843</v>
      </c>
      <c r="AZ21" s="372">
        <v>2541</v>
      </c>
      <c r="BA21" s="372">
        <f t="shared" si="373"/>
        <v>5384</v>
      </c>
      <c r="BB21" s="372">
        <v>2682</v>
      </c>
      <c r="BC21" s="372">
        <v>2438</v>
      </c>
      <c r="BD21" s="372">
        <f t="shared" si="374"/>
        <v>5120</v>
      </c>
      <c r="BE21" s="372">
        <v>2694</v>
      </c>
      <c r="BF21" s="372">
        <v>2518</v>
      </c>
      <c r="BG21" s="372">
        <f t="shared" si="375"/>
        <v>5212</v>
      </c>
      <c r="BH21" s="372">
        <v>2926</v>
      </c>
      <c r="BI21" s="372">
        <v>2690</v>
      </c>
      <c r="BJ21" s="372">
        <f t="shared" si="376"/>
        <v>5616</v>
      </c>
      <c r="BK21" s="372">
        <v>2695</v>
      </c>
      <c r="BL21" s="372">
        <v>2437</v>
      </c>
      <c r="BM21" s="372">
        <f t="shared" si="377"/>
        <v>5132</v>
      </c>
      <c r="BN21" s="372">
        <v>2702</v>
      </c>
      <c r="BO21" s="372">
        <v>2588</v>
      </c>
      <c r="BP21" s="372">
        <f t="shared" si="378"/>
        <v>5290</v>
      </c>
      <c r="BQ21" s="372">
        <v>2834</v>
      </c>
      <c r="BR21" s="372">
        <v>2693</v>
      </c>
      <c r="BS21" s="372">
        <f t="shared" si="379"/>
        <v>5527</v>
      </c>
      <c r="BT21" s="372">
        <v>2935</v>
      </c>
      <c r="BU21" s="372">
        <v>2866</v>
      </c>
      <c r="BV21" s="372">
        <f t="shared" si="380"/>
        <v>5801</v>
      </c>
      <c r="BW21" s="372">
        <v>2860</v>
      </c>
      <c r="BX21" s="372">
        <v>2739</v>
      </c>
      <c r="BY21" s="372">
        <f t="shared" si="381"/>
        <v>5599</v>
      </c>
      <c r="BZ21" s="372">
        <v>2968</v>
      </c>
      <c r="CA21" s="372">
        <v>2909</v>
      </c>
      <c r="CB21" s="372">
        <f t="shared" si="382"/>
        <v>5877</v>
      </c>
      <c r="CC21" s="372">
        <v>3191</v>
      </c>
      <c r="CD21" s="372">
        <v>2980</v>
      </c>
      <c r="CE21" s="372">
        <f t="shared" si="383"/>
        <v>6171</v>
      </c>
      <c r="CF21" s="372">
        <v>2585</v>
      </c>
      <c r="CG21" s="372">
        <v>2604</v>
      </c>
      <c r="CH21" s="372">
        <f t="shared" si="384"/>
        <v>5189</v>
      </c>
      <c r="CI21" s="372">
        <v>2997</v>
      </c>
      <c r="CJ21" s="372">
        <v>3000</v>
      </c>
      <c r="CK21" s="372">
        <f t="shared" si="385"/>
        <v>5997</v>
      </c>
      <c r="CL21" s="372">
        <v>2867</v>
      </c>
      <c r="CM21" s="372">
        <v>2852</v>
      </c>
      <c r="CN21" s="372">
        <f t="shared" si="386"/>
        <v>5719</v>
      </c>
      <c r="CO21" s="372">
        <v>3066</v>
      </c>
      <c r="CP21" s="372">
        <v>3000</v>
      </c>
      <c r="CQ21" s="372">
        <f t="shared" si="387"/>
        <v>6066</v>
      </c>
      <c r="CR21" s="372">
        <v>3077</v>
      </c>
      <c r="CS21" s="372">
        <v>3142</v>
      </c>
      <c r="CT21" s="372">
        <f t="shared" si="388"/>
        <v>6219</v>
      </c>
      <c r="CU21" s="372">
        <v>2965</v>
      </c>
      <c r="CV21" s="372">
        <v>2948</v>
      </c>
      <c r="CW21" s="372">
        <f t="shared" si="389"/>
        <v>5913</v>
      </c>
      <c r="CX21" s="372">
        <v>2900</v>
      </c>
      <c r="CY21" s="372">
        <v>3025</v>
      </c>
      <c r="CZ21" s="372">
        <f t="shared" si="390"/>
        <v>5925</v>
      </c>
      <c r="DA21" s="372">
        <v>2958</v>
      </c>
      <c r="DB21" s="372">
        <v>3074</v>
      </c>
      <c r="DC21" s="372">
        <f t="shared" si="391"/>
        <v>6032</v>
      </c>
      <c r="DD21" s="372">
        <v>2859</v>
      </c>
      <c r="DE21" s="372">
        <v>2749</v>
      </c>
      <c r="DF21" s="372">
        <f t="shared" si="392"/>
        <v>5608</v>
      </c>
      <c r="DG21" s="372">
        <v>2854</v>
      </c>
      <c r="DH21" s="372">
        <v>2831</v>
      </c>
      <c r="DI21" s="372">
        <f t="shared" si="393"/>
        <v>5685</v>
      </c>
      <c r="DJ21" s="372">
        <v>2737</v>
      </c>
      <c r="DK21" s="372">
        <v>2563</v>
      </c>
      <c r="DL21" s="372">
        <f t="shared" si="394"/>
        <v>5300</v>
      </c>
      <c r="DM21" s="372">
        <v>2607</v>
      </c>
      <c r="DN21" s="372">
        <v>2517</v>
      </c>
      <c r="DO21" s="372">
        <f t="shared" si="395"/>
        <v>5124</v>
      </c>
      <c r="DP21" s="372">
        <v>2641</v>
      </c>
      <c r="DQ21" s="372">
        <v>2566</v>
      </c>
      <c r="DR21" s="372">
        <f t="shared" si="396"/>
        <v>5207</v>
      </c>
      <c r="DS21" s="372">
        <v>2640</v>
      </c>
      <c r="DT21" s="372">
        <v>2625</v>
      </c>
      <c r="DU21" s="372">
        <f t="shared" si="397"/>
        <v>5265</v>
      </c>
      <c r="DV21" s="372">
        <v>2701</v>
      </c>
      <c r="DW21" s="372">
        <v>2691</v>
      </c>
      <c r="DX21" s="372">
        <f t="shared" si="398"/>
        <v>5392</v>
      </c>
      <c r="DY21" s="372">
        <v>2584</v>
      </c>
      <c r="DZ21" s="372">
        <v>2513</v>
      </c>
      <c r="EA21" s="372">
        <f t="shared" si="399"/>
        <v>5097</v>
      </c>
      <c r="EB21" s="372">
        <v>2678</v>
      </c>
      <c r="EC21" s="372">
        <v>2818</v>
      </c>
      <c r="ED21" s="372">
        <f t="shared" si="400"/>
        <v>5496</v>
      </c>
      <c r="EE21" s="372">
        <v>2593</v>
      </c>
      <c r="EF21" s="372">
        <v>2691</v>
      </c>
      <c r="EG21" s="372">
        <f t="shared" si="401"/>
        <v>5284</v>
      </c>
      <c r="EH21" s="372">
        <v>2407</v>
      </c>
      <c r="EI21" s="372">
        <v>2547</v>
      </c>
      <c r="EJ21" s="372">
        <f t="shared" si="402"/>
        <v>4954</v>
      </c>
      <c r="EK21" s="372">
        <v>2329</v>
      </c>
      <c r="EL21" s="372">
        <v>2578</v>
      </c>
      <c r="EM21" s="372">
        <f t="shared" si="403"/>
        <v>4907</v>
      </c>
      <c r="EN21" s="372">
        <v>2214</v>
      </c>
      <c r="EO21" s="372">
        <v>2431</v>
      </c>
      <c r="EP21" s="372">
        <f t="shared" si="404"/>
        <v>4645</v>
      </c>
      <c r="EQ21" s="372">
        <v>2155</v>
      </c>
      <c r="ER21" s="372">
        <v>2380</v>
      </c>
      <c r="ES21" s="372">
        <f t="shared" si="405"/>
        <v>4535</v>
      </c>
      <c r="ET21" s="372">
        <v>2139</v>
      </c>
      <c r="EU21" s="372">
        <v>2348</v>
      </c>
      <c r="EV21" s="372">
        <f t="shared" si="406"/>
        <v>4487</v>
      </c>
      <c r="EW21" s="372">
        <v>2124</v>
      </c>
      <c r="EX21" s="372">
        <v>2430</v>
      </c>
      <c r="EY21" s="372">
        <f t="shared" si="407"/>
        <v>4554</v>
      </c>
      <c r="EZ21" s="372">
        <v>2106</v>
      </c>
      <c r="FA21" s="372">
        <v>2356</v>
      </c>
      <c r="FB21" s="372">
        <f t="shared" si="408"/>
        <v>4462</v>
      </c>
      <c r="FC21" s="372">
        <v>1915</v>
      </c>
      <c r="FD21" s="372">
        <v>2194</v>
      </c>
      <c r="FE21" s="372">
        <f t="shared" si="409"/>
        <v>4109</v>
      </c>
      <c r="FF21" s="372">
        <v>2089</v>
      </c>
      <c r="FG21" s="372">
        <v>2384</v>
      </c>
      <c r="FH21" s="372">
        <f t="shared" si="410"/>
        <v>4473</v>
      </c>
      <c r="FI21" s="372">
        <v>1960</v>
      </c>
      <c r="FJ21" s="372">
        <v>2223</v>
      </c>
      <c r="FK21" s="372">
        <f t="shared" si="411"/>
        <v>4183</v>
      </c>
      <c r="FL21" s="372">
        <v>1917</v>
      </c>
      <c r="FM21" s="372">
        <v>2177</v>
      </c>
      <c r="FN21" s="372">
        <f t="shared" si="412"/>
        <v>4094</v>
      </c>
      <c r="FO21" s="372">
        <v>2160</v>
      </c>
      <c r="FP21" s="372">
        <v>2320</v>
      </c>
      <c r="FQ21" s="372">
        <f t="shared" si="413"/>
        <v>4480</v>
      </c>
      <c r="FR21" s="372">
        <v>1926</v>
      </c>
      <c r="FS21" s="372">
        <v>2216</v>
      </c>
      <c r="FT21" s="372">
        <f t="shared" si="414"/>
        <v>4142</v>
      </c>
      <c r="FU21" s="372">
        <v>1882</v>
      </c>
      <c r="FV21" s="372">
        <v>2091</v>
      </c>
      <c r="FW21" s="372">
        <f t="shared" si="415"/>
        <v>3973</v>
      </c>
      <c r="FX21" s="372">
        <v>1622</v>
      </c>
      <c r="FY21" s="372">
        <v>1973</v>
      </c>
      <c r="FZ21" s="372">
        <f t="shared" si="416"/>
        <v>3595</v>
      </c>
      <c r="GA21" s="372">
        <v>1772</v>
      </c>
      <c r="GB21" s="372">
        <v>2164</v>
      </c>
      <c r="GC21" s="372">
        <f t="shared" si="417"/>
        <v>3936</v>
      </c>
      <c r="GD21" s="372">
        <v>1735</v>
      </c>
      <c r="GE21" s="372">
        <v>1953</v>
      </c>
      <c r="GF21" s="372">
        <f t="shared" si="418"/>
        <v>3688</v>
      </c>
      <c r="GG21" s="372">
        <v>1514</v>
      </c>
      <c r="GH21" s="372">
        <v>1812</v>
      </c>
      <c r="GI21" s="372">
        <f t="shared" si="419"/>
        <v>3326</v>
      </c>
      <c r="GJ21" s="372">
        <v>1550</v>
      </c>
      <c r="GK21" s="372">
        <v>1715</v>
      </c>
      <c r="GL21" s="372">
        <f t="shared" si="420"/>
        <v>3265</v>
      </c>
      <c r="GM21" s="372">
        <v>1325</v>
      </c>
      <c r="GN21" s="372">
        <v>1514</v>
      </c>
      <c r="GO21" s="372">
        <f t="shared" si="421"/>
        <v>2839</v>
      </c>
      <c r="GP21" s="372">
        <v>1283</v>
      </c>
      <c r="GQ21" s="372">
        <v>1413</v>
      </c>
      <c r="GR21" s="372">
        <f t="shared" si="422"/>
        <v>2696</v>
      </c>
      <c r="GS21" s="372">
        <v>1351</v>
      </c>
      <c r="GT21" s="372">
        <v>1389</v>
      </c>
      <c r="GU21" s="372">
        <f t="shared" si="423"/>
        <v>2740</v>
      </c>
      <c r="GV21" s="372">
        <v>1234</v>
      </c>
      <c r="GW21" s="372">
        <v>1225</v>
      </c>
      <c r="GX21" s="372">
        <f t="shared" si="424"/>
        <v>2459</v>
      </c>
      <c r="GY21" s="372">
        <v>1104</v>
      </c>
      <c r="GZ21" s="372">
        <v>1023</v>
      </c>
      <c r="HA21" s="372">
        <f t="shared" si="425"/>
        <v>2127</v>
      </c>
      <c r="HB21" s="372">
        <v>877</v>
      </c>
      <c r="HC21" s="372">
        <v>757</v>
      </c>
      <c r="HD21" s="372">
        <f t="shared" si="426"/>
        <v>1634</v>
      </c>
      <c r="HE21" s="372">
        <v>858</v>
      </c>
      <c r="HF21" s="372">
        <v>683</v>
      </c>
      <c r="HG21" s="372">
        <f t="shared" si="427"/>
        <v>1541</v>
      </c>
      <c r="HH21" s="372">
        <v>794</v>
      </c>
      <c r="HI21" s="372">
        <v>633</v>
      </c>
      <c r="HJ21" s="372">
        <f t="shared" si="428"/>
        <v>1427</v>
      </c>
      <c r="HK21" s="372">
        <v>658</v>
      </c>
      <c r="HL21" s="372">
        <v>499</v>
      </c>
      <c r="HM21" s="372">
        <f t="shared" si="429"/>
        <v>1157</v>
      </c>
      <c r="HN21" s="372">
        <v>557</v>
      </c>
      <c r="HO21" s="372">
        <v>431</v>
      </c>
      <c r="HP21" s="372">
        <f t="shared" si="430"/>
        <v>988</v>
      </c>
      <c r="HQ21" s="372">
        <v>414</v>
      </c>
      <c r="HR21" s="372">
        <v>353</v>
      </c>
      <c r="HS21" s="372">
        <f t="shared" si="431"/>
        <v>767</v>
      </c>
      <c r="HT21" s="372">
        <v>350</v>
      </c>
      <c r="HU21" s="372">
        <v>299</v>
      </c>
      <c r="HV21" s="372">
        <f t="shared" si="432"/>
        <v>649</v>
      </c>
      <c r="HW21" s="372">
        <v>264</v>
      </c>
      <c r="HX21" s="372">
        <v>269</v>
      </c>
      <c r="HY21" s="372">
        <f t="shared" si="433"/>
        <v>533</v>
      </c>
      <c r="HZ21" s="372">
        <v>224</v>
      </c>
      <c r="IA21" s="372">
        <v>227</v>
      </c>
      <c r="IB21" s="372">
        <f t="shared" si="434"/>
        <v>451</v>
      </c>
      <c r="IC21" s="372">
        <v>153</v>
      </c>
      <c r="ID21" s="372">
        <v>199</v>
      </c>
      <c r="IE21" s="372">
        <f t="shared" si="435"/>
        <v>352</v>
      </c>
      <c r="IF21" s="372">
        <v>122</v>
      </c>
      <c r="IG21" s="372">
        <v>158</v>
      </c>
      <c r="IH21" s="372">
        <f t="shared" si="436"/>
        <v>280</v>
      </c>
      <c r="II21" s="372">
        <v>149</v>
      </c>
      <c r="IJ21" s="372">
        <v>191</v>
      </c>
      <c r="IK21" s="372">
        <f t="shared" si="437"/>
        <v>340</v>
      </c>
      <c r="IL21" s="372">
        <v>115</v>
      </c>
      <c r="IM21" s="372">
        <v>125</v>
      </c>
      <c r="IN21" s="372">
        <f t="shared" si="438"/>
        <v>240</v>
      </c>
      <c r="IO21" s="372">
        <v>70</v>
      </c>
      <c r="IP21" s="372">
        <v>109</v>
      </c>
      <c r="IQ21" s="372">
        <f t="shared" si="439"/>
        <v>179</v>
      </c>
      <c r="IR21" s="372">
        <v>83</v>
      </c>
      <c r="IS21" s="372">
        <v>97</v>
      </c>
      <c r="IT21" s="372">
        <f t="shared" si="440"/>
        <v>180</v>
      </c>
      <c r="IU21" s="372">
        <v>73</v>
      </c>
      <c r="IV21" s="372">
        <v>81</v>
      </c>
      <c r="IW21" s="372">
        <f t="shared" si="441"/>
        <v>154</v>
      </c>
      <c r="IX21" s="372">
        <v>50</v>
      </c>
      <c r="IY21" s="372">
        <v>81</v>
      </c>
      <c r="IZ21" s="372">
        <f t="shared" si="442"/>
        <v>131</v>
      </c>
      <c r="JA21" s="372">
        <v>50</v>
      </c>
      <c r="JB21" s="372">
        <v>76</v>
      </c>
      <c r="JC21" s="372">
        <f t="shared" si="443"/>
        <v>126</v>
      </c>
      <c r="JD21" s="372">
        <v>29</v>
      </c>
      <c r="JE21" s="372">
        <v>53</v>
      </c>
      <c r="JF21" s="372">
        <f t="shared" si="444"/>
        <v>82</v>
      </c>
      <c r="JG21" s="372">
        <v>26</v>
      </c>
      <c r="JH21" s="372">
        <v>45</v>
      </c>
      <c r="JI21" s="372">
        <f t="shared" si="445"/>
        <v>71</v>
      </c>
      <c r="JJ21" s="372">
        <v>31</v>
      </c>
      <c r="JK21" s="372">
        <v>34</v>
      </c>
      <c r="JL21" s="372">
        <f t="shared" si="446"/>
        <v>65</v>
      </c>
      <c r="JM21" s="372">
        <v>18</v>
      </c>
      <c r="JN21" s="372">
        <v>31</v>
      </c>
      <c r="JO21" s="372">
        <f t="shared" si="447"/>
        <v>49</v>
      </c>
      <c r="JP21" s="372">
        <v>8</v>
      </c>
      <c r="JQ21" s="372">
        <v>29</v>
      </c>
      <c r="JR21" s="372">
        <f t="shared" si="448"/>
        <v>37</v>
      </c>
      <c r="JS21" s="372">
        <v>11</v>
      </c>
      <c r="JT21" s="372">
        <v>10</v>
      </c>
      <c r="JU21" s="372">
        <f t="shared" si="449"/>
        <v>21</v>
      </c>
      <c r="JV21" s="372">
        <v>11</v>
      </c>
      <c r="JW21" s="372">
        <v>17</v>
      </c>
      <c r="JX21" s="372">
        <f t="shared" si="450"/>
        <v>28</v>
      </c>
      <c r="JY21" s="372">
        <v>4</v>
      </c>
      <c r="JZ21" s="372">
        <v>8</v>
      </c>
      <c r="KA21" s="372">
        <f t="shared" si="451"/>
        <v>12</v>
      </c>
      <c r="KB21" s="372">
        <v>2</v>
      </c>
      <c r="KC21" s="372">
        <v>7</v>
      </c>
      <c r="KD21" s="372">
        <f t="shared" si="452"/>
        <v>9</v>
      </c>
      <c r="KE21" s="372">
        <v>2</v>
      </c>
      <c r="KF21" s="372">
        <v>3</v>
      </c>
      <c r="KG21" s="372">
        <f t="shared" si="453"/>
        <v>5</v>
      </c>
      <c r="KH21" s="372">
        <v>1</v>
      </c>
      <c r="KI21" s="372">
        <v>5</v>
      </c>
      <c r="KJ21" s="372">
        <f t="shared" si="454"/>
        <v>6</v>
      </c>
      <c r="KK21" s="372">
        <v>4</v>
      </c>
      <c r="KL21" s="372">
        <v>0</v>
      </c>
      <c r="KM21" s="372">
        <f t="shared" si="455"/>
        <v>4</v>
      </c>
      <c r="KN21" s="372">
        <v>0</v>
      </c>
      <c r="KO21" s="372">
        <v>3</v>
      </c>
      <c r="KP21" s="372">
        <f t="shared" si="456"/>
        <v>3</v>
      </c>
      <c r="KQ21" s="372">
        <v>2</v>
      </c>
      <c r="KR21" s="372">
        <v>2</v>
      </c>
      <c r="KS21" s="372">
        <f t="shared" si="457"/>
        <v>4</v>
      </c>
      <c r="KT21" s="372">
        <v>0</v>
      </c>
      <c r="KU21" s="372">
        <v>1</v>
      </c>
      <c r="KV21" s="372">
        <f t="shared" si="458"/>
        <v>1</v>
      </c>
      <c r="KW21" s="372">
        <v>0</v>
      </c>
      <c r="KX21" s="372">
        <v>0</v>
      </c>
      <c r="KY21" s="372">
        <f t="shared" si="459"/>
        <v>0</v>
      </c>
      <c r="KZ21" s="372">
        <v>0</v>
      </c>
      <c r="LA21" s="372">
        <v>0</v>
      </c>
      <c r="LB21" s="372">
        <f t="shared" si="460"/>
        <v>0</v>
      </c>
      <c r="LC21" s="372">
        <v>0</v>
      </c>
      <c r="LD21" s="372">
        <v>0</v>
      </c>
      <c r="LE21" s="372">
        <f t="shared" si="461"/>
        <v>0</v>
      </c>
      <c r="LF21" s="372">
        <v>0</v>
      </c>
      <c r="LG21" s="372">
        <v>0</v>
      </c>
      <c r="LH21" s="372">
        <f t="shared" si="462"/>
        <v>0</v>
      </c>
      <c r="LI21" s="372">
        <v>0</v>
      </c>
      <c r="LJ21" s="372">
        <v>0</v>
      </c>
      <c r="LK21" s="372">
        <f t="shared" si="463"/>
        <v>0</v>
      </c>
      <c r="LL21" s="372">
        <v>0</v>
      </c>
      <c r="LM21" s="372">
        <v>0</v>
      </c>
      <c r="LN21" s="372">
        <f t="shared" si="464"/>
        <v>0</v>
      </c>
      <c r="LO21" s="372">
        <v>0</v>
      </c>
      <c r="LP21" s="372">
        <v>0</v>
      </c>
      <c r="LQ21" s="372">
        <f t="shared" si="465"/>
        <v>0</v>
      </c>
      <c r="LR21" s="372">
        <v>0</v>
      </c>
      <c r="LS21" s="372">
        <v>0</v>
      </c>
      <c r="LT21" s="372">
        <f t="shared" si="466"/>
        <v>0</v>
      </c>
      <c r="LU21" s="372">
        <v>0</v>
      </c>
      <c r="LV21" s="372">
        <v>0</v>
      </c>
      <c r="LW21" s="372">
        <f t="shared" si="467"/>
        <v>0</v>
      </c>
      <c r="LX21" s="372">
        <v>0</v>
      </c>
      <c r="LY21" s="372">
        <v>0</v>
      </c>
      <c r="LZ21" s="372">
        <f t="shared" si="468"/>
        <v>0</v>
      </c>
      <c r="MA21" s="372">
        <v>0</v>
      </c>
      <c r="MB21" s="372">
        <v>0</v>
      </c>
      <c r="MC21" s="372">
        <f t="shared" si="469"/>
        <v>0</v>
      </c>
      <c r="MD21" s="372">
        <v>0</v>
      </c>
      <c r="ME21" s="372">
        <v>0</v>
      </c>
      <c r="MF21" s="372">
        <f t="shared" si="470"/>
        <v>0</v>
      </c>
      <c r="MG21" s="372">
        <v>0</v>
      </c>
      <c r="MH21" s="372">
        <v>0</v>
      </c>
      <c r="MI21" s="372">
        <f t="shared" si="471"/>
        <v>0</v>
      </c>
      <c r="MJ21" s="372">
        <v>0</v>
      </c>
      <c r="MK21" s="372">
        <v>0</v>
      </c>
      <c r="ML21" s="372">
        <f t="shared" si="472"/>
        <v>0</v>
      </c>
      <c r="MM21" s="372">
        <v>0</v>
      </c>
      <c r="MN21" s="372">
        <v>0</v>
      </c>
      <c r="MO21" s="372">
        <f t="shared" si="473"/>
        <v>0</v>
      </c>
      <c r="MP21" s="372">
        <v>0</v>
      </c>
      <c r="MQ21" s="372">
        <v>0</v>
      </c>
      <c r="MR21" s="372">
        <f t="shared" si="474"/>
        <v>0</v>
      </c>
      <c r="MS21" s="372">
        <v>0</v>
      </c>
      <c r="MT21" s="372">
        <v>0</v>
      </c>
      <c r="MU21" s="372">
        <f t="shared" si="475"/>
        <v>0</v>
      </c>
      <c r="MV21" s="372">
        <v>0</v>
      </c>
      <c r="MW21" s="372">
        <v>0</v>
      </c>
      <c r="MX21" s="372">
        <f t="shared" si="476"/>
        <v>0</v>
      </c>
      <c r="MY21" s="372">
        <v>0</v>
      </c>
      <c r="MZ21" s="372">
        <v>0</v>
      </c>
      <c r="NA21" s="539">
        <f t="shared" si="477"/>
        <v>0</v>
      </c>
      <c r="NB21" s="372">
        <v>0</v>
      </c>
      <c r="NC21" s="372">
        <v>0</v>
      </c>
      <c r="ND21" s="537">
        <f t="shared" si="478"/>
        <v>0</v>
      </c>
      <c r="NE21" s="536">
        <f>SUM(C21,F21,I21,L21,O21,R21,U21,X21,AA21,AD21,AG21,AJ21,AM21,AP21,AS21,AV21,AY21,BB21,BE21,BH21,BK21,BN21,BQ21,BT21,BW21,BZ21,CC21,CF21,CI21,CL21,CO21,CR21,CU21,CX21,DA21,DD21,DG21,DJ21,DM21,DP21,DS21,DV21,DY21,EB21,EE21,EH21,EK21,EN21,EQ21,ET21,EW21,EZ21,FC21,FF21,FI21,FL21,FO21,FR21,FU21,FX21,GA21,GD21,GG21,GJ21,GM21,GP21,GS21,GV21,GY21,HB21,HE21,HH21,HK21,HN21,HQ21,HT21,HW21,HZ21,IC21,IF21,II21,IL21,IO21,IR21,IU21,IX21,JA21,JD21,JG21,JJ21,JM21,JP21,JS21,JV21,JY21,KB21,KE21,KH21,KK21,KN21,KQ21,KT21,KW21,KZ21,LC21,LF21,LI21,LL21,LO21,LR21,LU21,LX21,MA21,MD21,MG21,MJ21,MM21,MP21,MS21,MV21,MY21)</f>
        <v>174513</v>
      </c>
      <c r="NF21" s="372">
        <f>SUM(D21,G21,J21,M21,P21,S21,V21,Y21,AB21,AE21,AH21,AK21,AN21,AQ21,AT21,AW21,AZ21,BC21,BF21,BI21,BL21,BO21,BR21,BU21,BX21,CA21,CD21,CG21,CJ21,CM21,CP21,CS21,CV21,CY21,DB21,DE21,DH21,DK21,DN21,DQ21,DT21,DW21,DZ21,EC21,EF21,EI21,EL21,EO21,ER21,EU21,EX21,FA21,FD21,FG21,FJ21,FM21,FP21,FS21,FV21,FY21,GB21,GE21,GH21,GK21,GN21,GQ21,GT21,GW21,GZ21,HC21,HF21,HI21,HL21,HO21,HR21,HU21,HX21,IA21,ID21,IG21,IJ21,IM21,IP21,IS21,IV21,IY21,JB21,JE21,JH21,JK21,JN21,JQ21,JT21,JW21,JZ21,KC21,KF21,KI21,KL21,KO21,KR21,KU21,KX21,LA21,LD21,LG21,LJ21,LM21,LP21,LS21,LV21,LY21,MB21,ME21,MH21,MK21,MN21,MQ21,MT21,MW21,MZ21)</f>
        <v>174109</v>
      </c>
      <c r="NG21" s="595">
        <f t="shared" si="480"/>
        <v>348622</v>
      </c>
      <c r="NH21" s="596">
        <f t="shared" si="481"/>
        <v>13816</v>
      </c>
      <c r="NI21" s="597">
        <f t="shared" si="481"/>
        <v>12670</v>
      </c>
      <c r="NJ21" s="595">
        <f t="shared" si="482"/>
        <v>26486</v>
      </c>
    </row>
    <row r="22" spans="1:374" x14ac:dyDescent="0.3">
      <c r="A22" s="541" t="s">
        <v>265</v>
      </c>
      <c r="B22" s="589" t="s">
        <v>43</v>
      </c>
      <c r="C22" s="544">
        <v>432</v>
      </c>
      <c r="D22" s="376">
        <v>415</v>
      </c>
      <c r="E22" s="376">
        <f t="shared" si="357"/>
        <v>847</v>
      </c>
      <c r="F22" s="376">
        <v>528</v>
      </c>
      <c r="G22" s="376">
        <v>515</v>
      </c>
      <c r="H22" s="376">
        <f t="shared" si="358"/>
        <v>1043</v>
      </c>
      <c r="I22" s="376">
        <v>695</v>
      </c>
      <c r="J22" s="376">
        <v>590</v>
      </c>
      <c r="K22" s="376">
        <f t="shared" si="359"/>
        <v>1285</v>
      </c>
      <c r="L22" s="376">
        <v>725</v>
      </c>
      <c r="M22" s="376">
        <v>656</v>
      </c>
      <c r="N22" s="376">
        <f t="shared" si="360"/>
        <v>1381</v>
      </c>
      <c r="O22" s="376">
        <v>762</v>
      </c>
      <c r="P22" s="376">
        <v>746</v>
      </c>
      <c r="Q22" s="376">
        <f t="shared" si="361"/>
        <v>1508</v>
      </c>
      <c r="R22" s="376">
        <v>821</v>
      </c>
      <c r="S22" s="376">
        <v>702</v>
      </c>
      <c r="T22" s="376">
        <f t="shared" si="362"/>
        <v>1523</v>
      </c>
      <c r="U22" s="376">
        <v>896</v>
      </c>
      <c r="V22" s="376">
        <v>756</v>
      </c>
      <c r="W22" s="376">
        <f t="shared" si="363"/>
        <v>1652</v>
      </c>
      <c r="X22" s="376">
        <v>863</v>
      </c>
      <c r="Y22" s="376">
        <v>825</v>
      </c>
      <c r="Z22" s="376">
        <f t="shared" si="364"/>
        <v>1688</v>
      </c>
      <c r="AA22" s="376">
        <v>792</v>
      </c>
      <c r="AB22" s="376">
        <v>811</v>
      </c>
      <c r="AC22" s="376">
        <f t="shared" si="365"/>
        <v>1603</v>
      </c>
      <c r="AD22" s="376">
        <v>709</v>
      </c>
      <c r="AE22" s="376">
        <v>759</v>
      </c>
      <c r="AF22" s="376">
        <f t="shared" si="366"/>
        <v>1468</v>
      </c>
      <c r="AG22" s="376">
        <v>798</v>
      </c>
      <c r="AH22" s="376">
        <v>689</v>
      </c>
      <c r="AI22" s="376">
        <f t="shared" si="367"/>
        <v>1487</v>
      </c>
      <c r="AJ22" s="376">
        <v>802</v>
      </c>
      <c r="AK22" s="376">
        <v>715</v>
      </c>
      <c r="AL22" s="376">
        <f t="shared" si="368"/>
        <v>1517</v>
      </c>
      <c r="AM22" s="376">
        <v>721</v>
      </c>
      <c r="AN22" s="376">
        <v>692</v>
      </c>
      <c r="AO22" s="376">
        <f t="shared" si="369"/>
        <v>1413</v>
      </c>
      <c r="AP22" s="376">
        <v>741</v>
      </c>
      <c r="AQ22" s="376">
        <v>710</v>
      </c>
      <c r="AR22" s="376">
        <f t="shared" si="370"/>
        <v>1451</v>
      </c>
      <c r="AS22" s="376">
        <v>758</v>
      </c>
      <c r="AT22" s="376">
        <v>753</v>
      </c>
      <c r="AU22" s="376">
        <f t="shared" si="371"/>
        <v>1511</v>
      </c>
      <c r="AV22" s="376">
        <v>715</v>
      </c>
      <c r="AW22" s="376">
        <v>674</v>
      </c>
      <c r="AX22" s="376">
        <f t="shared" si="372"/>
        <v>1389</v>
      </c>
      <c r="AY22" s="376">
        <v>760</v>
      </c>
      <c r="AZ22" s="376">
        <v>672</v>
      </c>
      <c r="BA22" s="376">
        <f t="shared" si="373"/>
        <v>1432</v>
      </c>
      <c r="BB22" s="376">
        <v>690</v>
      </c>
      <c r="BC22" s="376">
        <v>639</v>
      </c>
      <c r="BD22" s="376">
        <f t="shared" si="374"/>
        <v>1329</v>
      </c>
      <c r="BE22" s="376">
        <v>724</v>
      </c>
      <c r="BF22" s="376">
        <v>655</v>
      </c>
      <c r="BG22" s="376">
        <f t="shared" si="375"/>
        <v>1379</v>
      </c>
      <c r="BH22" s="376">
        <v>798</v>
      </c>
      <c r="BI22" s="376">
        <v>704</v>
      </c>
      <c r="BJ22" s="376">
        <f t="shared" si="376"/>
        <v>1502</v>
      </c>
      <c r="BK22" s="376">
        <v>731</v>
      </c>
      <c r="BL22" s="376">
        <v>673</v>
      </c>
      <c r="BM22" s="376">
        <f t="shared" si="377"/>
        <v>1404</v>
      </c>
      <c r="BN22" s="376">
        <v>731</v>
      </c>
      <c r="BO22" s="376">
        <v>694</v>
      </c>
      <c r="BP22" s="376">
        <f t="shared" si="378"/>
        <v>1425</v>
      </c>
      <c r="BQ22" s="376">
        <v>832</v>
      </c>
      <c r="BR22" s="376">
        <v>794</v>
      </c>
      <c r="BS22" s="376">
        <f t="shared" si="379"/>
        <v>1626</v>
      </c>
      <c r="BT22" s="376">
        <v>825</v>
      </c>
      <c r="BU22" s="376">
        <v>855</v>
      </c>
      <c r="BV22" s="376">
        <f t="shared" si="380"/>
        <v>1680</v>
      </c>
      <c r="BW22" s="376">
        <v>841</v>
      </c>
      <c r="BX22" s="376">
        <v>809</v>
      </c>
      <c r="BY22" s="376">
        <f t="shared" si="381"/>
        <v>1650</v>
      </c>
      <c r="BZ22" s="376">
        <v>898</v>
      </c>
      <c r="CA22" s="376">
        <v>864</v>
      </c>
      <c r="CB22" s="376">
        <f t="shared" si="382"/>
        <v>1762</v>
      </c>
      <c r="CC22" s="376">
        <v>957</v>
      </c>
      <c r="CD22" s="376">
        <v>910</v>
      </c>
      <c r="CE22" s="376">
        <f t="shared" si="383"/>
        <v>1867</v>
      </c>
      <c r="CF22" s="376">
        <v>822</v>
      </c>
      <c r="CG22" s="376">
        <v>795</v>
      </c>
      <c r="CH22" s="376">
        <f t="shared" si="384"/>
        <v>1617</v>
      </c>
      <c r="CI22" s="376">
        <v>927</v>
      </c>
      <c r="CJ22" s="376">
        <v>953</v>
      </c>
      <c r="CK22" s="376">
        <f t="shared" si="385"/>
        <v>1880</v>
      </c>
      <c r="CL22" s="376">
        <v>843</v>
      </c>
      <c r="CM22" s="376">
        <v>860</v>
      </c>
      <c r="CN22" s="376">
        <f t="shared" si="386"/>
        <v>1703</v>
      </c>
      <c r="CO22" s="376">
        <v>910</v>
      </c>
      <c r="CP22" s="376">
        <v>863</v>
      </c>
      <c r="CQ22" s="376">
        <f t="shared" si="387"/>
        <v>1773</v>
      </c>
      <c r="CR22" s="376">
        <v>953</v>
      </c>
      <c r="CS22" s="376">
        <v>939</v>
      </c>
      <c r="CT22" s="376">
        <f t="shared" si="388"/>
        <v>1892</v>
      </c>
      <c r="CU22" s="376">
        <v>964</v>
      </c>
      <c r="CV22" s="376">
        <v>890</v>
      </c>
      <c r="CW22" s="376">
        <f t="shared" si="389"/>
        <v>1854</v>
      </c>
      <c r="CX22" s="376">
        <v>895</v>
      </c>
      <c r="CY22" s="376">
        <v>917</v>
      </c>
      <c r="CZ22" s="376">
        <f t="shared" si="390"/>
        <v>1812</v>
      </c>
      <c r="DA22" s="376">
        <v>892</v>
      </c>
      <c r="DB22" s="376">
        <v>929</v>
      </c>
      <c r="DC22" s="376">
        <f t="shared" si="391"/>
        <v>1821</v>
      </c>
      <c r="DD22" s="376">
        <v>838</v>
      </c>
      <c r="DE22" s="376">
        <v>754</v>
      </c>
      <c r="DF22" s="376">
        <f t="shared" si="392"/>
        <v>1592</v>
      </c>
      <c r="DG22" s="376">
        <v>797</v>
      </c>
      <c r="DH22" s="376">
        <v>786</v>
      </c>
      <c r="DI22" s="376">
        <f t="shared" si="393"/>
        <v>1583</v>
      </c>
      <c r="DJ22" s="376">
        <v>771</v>
      </c>
      <c r="DK22" s="376">
        <v>735</v>
      </c>
      <c r="DL22" s="376">
        <f t="shared" si="394"/>
        <v>1506</v>
      </c>
      <c r="DM22" s="376">
        <v>750</v>
      </c>
      <c r="DN22" s="376">
        <v>691</v>
      </c>
      <c r="DO22" s="376">
        <f t="shared" si="395"/>
        <v>1441</v>
      </c>
      <c r="DP22" s="376">
        <v>755</v>
      </c>
      <c r="DQ22" s="376">
        <v>699</v>
      </c>
      <c r="DR22" s="376">
        <f t="shared" si="396"/>
        <v>1454</v>
      </c>
      <c r="DS22" s="376">
        <v>723</v>
      </c>
      <c r="DT22" s="376">
        <v>700</v>
      </c>
      <c r="DU22" s="376">
        <f t="shared" si="397"/>
        <v>1423</v>
      </c>
      <c r="DV22" s="376">
        <v>750</v>
      </c>
      <c r="DW22" s="376">
        <v>685</v>
      </c>
      <c r="DX22" s="376">
        <f t="shared" si="398"/>
        <v>1435</v>
      </c>
      <c r="DY22" s="376">
        <v>650</v>
      </c>
      <c r="DZ22" s="376">
        <v>638</v>
      </c>
      <c r="EA22" s="376">
        <f t="shared" si="399"/>
        <v>1288</v>
      </c>
      <c r="EB22" s="376">
        <v>705</v>
      </c>
      <c r="EC22" s="376">
        <v>696</v>
      </c>
      <c r="ED22" s="376">
        <f t="shared" si="400"/>
        <v>1401</v>
      </c>
      <c r="EE22" s="376">
        <v>642</v>
      </c>
      <c r="EF22" s="376">
        <v>650</v>
      </c>
      <c r="EG22" s="376">
        <f t="shared" si="401"/>
        <v>1292</v>
      </c>
      <c r="EH22" s="376">
        <v>586</v>
      </c>
      <c r="EI22" s="376">
        <v>675</v>
      </c>
      <c r="EJ22" s="376">
        <f t="shared" si="402"/>
        <v>1261</v>
      </c>
      <c r="EK22" s="376">
        <v>585</v>
      </c>
      <c r="EL22" s="376">
        <v>618</v>
      </c>
      <c r="EM22" s="376">
        <f t="shared" si="403"/>
        <v>1203</v>
      </c>
      <c r="EN22" s="376">
        <v>543</v>
      </c>
      <c r="EO22" s="376">
        <v>597</v>
      </c>
      <c r="EP22" s="376">
        <f t="shared" si="404"/>
        <v>1140</v>
      </c>
      <c r="EQ22" s="376">
        <v>526</v>
      </c>
      <c r="ER22" s="376">
        <v>586</v>
      </c>
      <c r="ES22" s="376">
        <f t="shared" si="405"/>
        <v>1112</v>
      </c>
      <c r="ET22" s="376">
        <v>529</v>
      </c>
      <c r="EU22" s="376">
        <v>604</v>
      </c>
      <c r="EV22" s="376">
        <f t="shared" si="406"/>
        <v>1133</v>
      </c>
      <c r="EW22" s="376">
        <v>518</v>
      </c>
      <c r="EX22" s="376">
        <v>650</v>
      </c>
      <c r="EY22" s="376">
        <f t="shared" si="407"/>
        <v>1168</v>
      </c>
      <c r="EZ22" s="376">
        <v>546</v>
      </c>
      <c r="FA22" s="376">
        <v>651</v>
      </c>
      <c r="FB22" s="376">
        <f t="shared" si="408"/>
        <v>1197</v>
      </c>
      <c r="FC22" s="376">
        <v>475</v>
      </c>
      <c r="FD22" s="376">
        <v>620</v>
      </c>
      <c r="FE22" s="376">
        <f t="shared" si="409"/>
        <v>1095</v>
      </c>
      <c r="FF22" s="376">
        <v>570</v>
      </c>
      <c r="FG22" s="376">
        <v>711</v>
      </c>
      <c r="FH22" s="376">
        <f t="shared" si="410"/>
        <v>1281</v>
      </c>
      <c r="FI22" s="376">
        <v>524</v>
      </c>
      <c r="FJ22" s="376">
        <v>633</v>
      </c>
      <c r="FK22" s="376">
        <f t="shared" si="411"/>
        <v>1157</v>
      </c>
      <c r="FL22" s="376">
        <v>525</v>
      </c>
      <c r="FM22" s="376">
        <v>666</v>
      </c>
      <c r="FN22" s="376">
        <f t="shared" si="412"/>
        <v>1191</v>
      </c>
      <c r="FO22" s="376">
        <v>631</v>
      </c>
      <c r="FP22" s="376">
        <v>739</v>
      </c>
      <c r="FQ22" s="376">
        <f t="shared" si="413"/>
        <v>1370</v>
      </c>
      <c r="FR22" s="376">
        <v>584</v>
      </c>
      <c r="FS22" s="376">
        <v>750</v>
      </c>
      <c r="FT22" s="376">
        <f t="shared" si="414"/>
        <v>1334</v>
      </c>
      <c r="FU22" s="376">
        <v>581</v>
      </c>
      <c r="FV22" s="376">
        <v>668</v>
      </c>
      <c r="FW22" s="376">
        <f t="shared" si="415"/>
        <v>1249</v>
      </c>
      <c r="FX22" s="376">
        <v>523</v>
      </c>
      <c r="FY22" s="376">
        <v>655</v>
      </c>
      <c r="FZ22" s="376">
        <f t="shared" si="416"/>
        <v>1178</v>
      </c>
      <c r="GA22" s="376">
        <v>598</v>
      </c>
      <c r="GB22" s="376">
        <v>727</v>
      </c>
      <c r="GC22" s="376">
        <f t="shared" si="417"/>
        <v>1325</v>
      </c>
      <c r="GD22" s="376">
        <v>603</v>
      </c>
      <c r="GE22" s="376">
        <v>642</v>
      </c>
      <c r="GF22" s="376">
        <f t="shared" si="418"/>
        <v>1245</v>
      </c>
      <c r="GG22" s="376">
        <v>545</v>
      </c>
      <c r="GH22" s="376">
        <v>542</v>
      </c>
      <c r="GI22" s="376">
        <f t="shared" si="419"/>
        <v>1087</v>
      </c>
      <c r="GJ22" s="376">
        <v>538</v>
      </c>
      <c r="GK22" s="376">
        <v>514</v>
      </c>
      <c r="GL22" s="376">
        <f t="shared" si="420"/>
        <v>1052</v>
      </c>
      <c r="GM22" s="376">
        <v>417</v>
      </c>
      <c r="GN22" s="376">
        <v>410</v>
      </c>
      <c r="GO22" s="376">
        <f t="shared" si="421"/>
        <v>827</v>
      </c>
      <c r="GP22" s="376">
        <v>408</v>
      </c>
      <c r="GQ22" s="376">
        <v>364</v>
      </c>
      <c r="GR22" s="376">
        <f t="shared" si="422"/>
        <v>772</v>
      </c>
      <c r="GS22" s="376">
        <v>408</v>
      </c>
      <c r="GT22" s="376">
        <v>334</v>
      </c>
      <c r="GU22" s="376">
        <f t="shared" si="423"/>
        <v>742</v>
      </c>
      <c r="GV22" s="376">
        <v>363</v>
      </c>
      <c r="GW22" s="376">
        <v>302</v>
      </c>
      <c r="GX22" s="376">
        <f t="shared" si="424"/>
        <v>665</v>
      </c>
      <c r="GY22" s="376">
        <v>329</v>
      </c>
      <c r="GZ22" s="376">
        <v>235</v>
      </c>
      <c r="HA22" s="376">
        <f t="shared" si="425"/>
        <v>564</v>
      </c>
      <c r="HB22" s="376">
        <v>219</v>
      </c>
      <c r="HC22" s="376">
        <v>174</v>
      </c>
      <c r="HD22" s="376">
        <f t="shared" si="426"/>
        <v>393</v>
      </c>
      <c r="HE22" s="376">
        <v>224</v>
      </c>
      <c r="HF22" s="376">
        <v>142</v>
      </c>
      <c r="HG22" s="376">
        <f t="shared" si="427"/>
        <v>366</v>
      </c>
      <c r="HH22" s="376">
        <v>185</v>
      </c>
      <c r="HI22" s="376">
        <v>138</v>
      </c>
      <c r="HJ22" s="376">
        <f t="shared" si="428"/>
        <v>323</v>
      </c>
      <c r="HK22" s="376">
        <v>143</v>
      </c>
      <c r="HL22" s="376">
        <v>107</v>
      </c>
      <c r="HM22" s="376">
        <f t="shared" si="429"/>
        <v>250</v>
      </c>
      <c r="HN22" s="376">
        <v>117</v>
      </c>
      <c r="HO22" s="376">
        <v>82</v>
      </c>
      <c r="HP22" s="376">
        <f t="shared" si="430"/>
        <v>199</v>
      </c>
      <c r="HQ22" s="376">
        <v>107</v>
      </c>
      <c r="HR22" s="376">
        <v>68</v>
      </c>
      <c r="HS22" s="376">
        <f t="shared" si="431"/>
        <v>175</v>
      </c>
      <c r="HT22" s="376">
        <v>92</v>
      </c>
      <c r="HU22" s="376">
        <v>56</v>
      </c>
      <c r="HV22" s="376">
        <f t="shared" si="432"/>
        <v>148</v>
      </c>
      <c r="HW22" s="376">
        <v>55</v>
      </c>
      <c r="HX22" s="376">
        <v>58</v>
      </c>
      <c r="HY22" s="376">
        <f t="shared" si="433"/>
        <v>113</v>
      </c>
      <c r="HZ22" s="376">
        <v>45</v>
      </c>
      <c r="IA22" s="376">
        <v>53</v>
      </c>
      <c r="IB22" s="376">
        <f t="shared" si="434"/>
        <v>98</v>
      </c>
      <c r="IC22" s="376">
        <v>34</v>
      </c>
      <c r="ID22" s="376">
        <v>51</v>
      </c>
      <c r="IE22" s="376">
        <f t="shared" si="435"/>
        <v>85</v>
      </c>
      <c r="IF22" s="376">
        <v>32</v>
      </c>
      <c r="IG22" s="376">
        <v>29</v>
      </c>
      <c r="IH22" s="376">
        <f t="shared" si="436"/>
        <v>61</v>
      </c>
      <c r="II22" s="376">
        <v>31</v>
      </c>
      <c r="IJ22" s="376">
        <v>35</v>
      </c>
      <c r="IK22" s="376">
        <f t="shared" si="437"/>
        <v>66</v>
      </c>
      <c r="IL22" s="376">
        <v>23</v>
      </c>
      <c r="IM22" s="376">
        <v>31</v>
      </c>
      <c r="IN22" s="376">
        <f t="shared" si="438"/>
        <v>54</v>
      </c>
      <c r="IO22" s="376">
        <v>11</v>
      </c>
      <c r="IP22" s="376">
        <v>30</v>
      </c>
      <c r="IQ22" s="376">
        <f t="shared" si="439"/>
        <v>41</v>
      </c>
      <c r="IR22" s="376">
        <v>15</v>
      </c>
      <c r="IS22" s="376">
        <v>28</v>
      </c>
      <c r="IT22" s="376">
        <f t="shared" si="440"/>
        <v>43</v>
      </c>
      <c r="IU22" s="376">
        <v>17</v>
      </c>
      <c r="IV22" s="376">
        <v>23</v>
      </c>
      <c r="IW22" s="376">
        <f t="shared" si="441"/>
        <v>40</v>
      </c>
      <c r="IX22" s="376">
        <v>12</v>
      </c>
      <c r="IY22" s="376">
        <v>20</v>
      </c>
      <c r="IZ22" s="376">
        <f t="shared" si="442"/>
        <v>32</v>
      </c>
      <c r="JA22" s="376">
        <v>10</v>
      </c>
      <c r="JB22" s="376">
        <v>20</v>
      </c>
      <c r="JC22" s="376">
        <f t="shared" si="443"/>
        <v>30</v>
      </c>
      <c r="JD22" s="376">
        <v>4</v>
      </c>
      <c r="JE22" s="376">
        <v>15</v>
      </c>
      <c r="JF22" s="376">
        <f t="shared" si="444"/>
        <v>19</v>
      </c>
      <c r="JG22" s="376">
        <v>7</v>
      </c>
      <c r="JH22" s="376">
        <v>5</v>
      </c>
      <c r="JI22" s="376">
        <f t="shared" si="445"/>
        <v>12</v>
      </c>
      <c r="JJ22" s="376">
        <v>10</v>
      </c>
      <c r="JK22" s="376">
        <v>9</v>
      </c>
      <c r="JL22" s="376">
        <f t="shared" si="446"/>
        <v>19</v>
      </c>
      <c r="JM22" s="376">
        <v>4</v>
      </c>
      <c r="JN22" s="376">
        <v>7</v>
      </c>
      <c r="JO22" s="376">
        <f t="shared" si="447"/>
        <v>11</v>
      </c>
      <c r="JP22" s="376">
        <v>1</v>
      </c>
      <c r="JQ22" s="376">
        <v>5</v>
      </c>
      <c r="JR22" s="376">
        <f t="shared" si="448"/>
        <v>6</v>
      </c>
      <c r="JS22" s="376">
        <v>6</v>
      </c>
      <c r="JT22" s="376">
        <v>3</v>
      </c>
      <c r="JU22" s="376">
        <f t="shared" si="449"/>
        <v>9</v>
      </c>
      <c r="JV22" s="376">
        <v>2</v>
      </c>
      <c r="JW22" s="376">
        <v>3</v>
      </c>
      <c r="JX22" s="376">
        <f t="shared" si="450"/>
        <v>5</v>
      </c>
      <c r="JY22" s="376">
        <v>1</v>
      </c>
      <c r="JZ22" s="376">
        <v>2</v>
      </c>
      <c r="KA22" s="376">
        <f t="shared" si="451"/>
        <v>3</v>
      </c>
      <c r="KB22" s="376">
        <v>0</v>
      </c>
      <c r="KC22" s="376">
        <v>3</v>
      </c>
      <c r="KD22" s="376">
        <f t="shared" si="452"/>
        <v>3</v>
      </c>
      <c r="KE22" s="376">
        <v>1</v>
      </c>
      <c r="KF22" s="376">
        <v>1</v>
      </c>
      <c r="KG22" s="376">
        <f t="shared" si="453"/>
        <v>2</v>
      </c>
      <c r="KH22" s="376">
        <v>0</v>
      </c>
      <c r="KI22" s="376">
        <v>1</v>
      </c>
      <c r="KJ22" s="376">
        <f t="shared" si="454"/>
        <v>1</v>
      </c>
      <c r="KK22" s="376">
        <v>0</v>
      </c>
      <c r="KL22" s="376">
        <v>0</v>
      </c>
      <c r="KM22" s="376">
        <f t="shared" si="455"/>
        <v>0</v>
      </c>
      <c r="KN22" s="376">
        <v>0</v>
      </c>
      <c r="KO22" s="376">
        <v>0</v>
      </c>
      <c r="KP22" s="376">
        <f t="shared" si="456"/>
        <v>0</v>
      </c>
      <c r="KQ22" s="376">
        <v>0</v>
      </c>
      <c r="KR22" s="376">
        <v>0</v>
      </c>
      <c r="KS22" s="376">
        <f t="shared" si="457"/>
        <v>0</v>
      </c>
      <c r="KT22" s="376">
        <v>0</v>
      </c>
      <c r="KU22" s="376">
        <v>0</v>
      </c>
      <c r="KV22" s="376">
        <f t="shared" si="458"/>
        <v>0</v>
      </c>
      <c r="KW22" s="376">
        <v>0</v>
      </c>
      <c r="KX22" s="376">
        <v>0</v>
      </c>
      <c r="KY22" s="376">
        <f t="shared" si="459"/>
        <v>0</v>
      </c>
      <c r="KZ22" s="376">
        <v>0</v>
      </c>
      <c r="LA22" s="376">
        <v>0</v>
      </c>
      <c r="LB22" s="376">
        <f t="shared" si="460"/>
        <v>0</v>
      </c>
      <c r="LC22" s="376">
        <v>0</v>
      </c>
      <c r="LD22" s="376">
        <v>0</v>
      </c>
      <c r="LE22" s="376">
        <f t="shared" si="461"/>
        <v>0</v>
      </c>
      <c r="LF22" s="376">
        <v>0</v>
      </c>
      <c r="LG22" s="376">
        <v>0</v>
      </c>
      <c r="LH22" s="376">
        <f t="shared" si="462"/>
        <v>0</v>
      </c>
      <c r="LI22" s="376">
        <v>0</v>
      </c>
      <c r="LJ22" s="376">
        <v>0</v>
      </c>
      <c r="LK22" s="376">
        <f t="shared" si="463"/>
        <v>0</v>
      </c>
      <c r="LL22" s="376">
        <v>0</v>
      </c>
      <c r="LM22" s="376">
        <v>0</v>
      </c>
      <c r="LN22" s="376">
        <f t="shared" si="464"/>
        <v>0</v>
      </c>
      <c r="LO22" s="376">
        <v>0</v>
      </c>
      <c r="LP22" s="376">
        <v>0</v>
      </c>
      <c r="LQ22" s="376">
        <f t="shared" si="465"/>
        <v>0</v>
      </c>
      <c r="LR22" s="376">
        <v>0</v>
      </c>
      <c r="LS22" s="376">
        <v>0</v>
      </c>
      <c r="LT22" s="376">
        <f t="shared" si="466"/>
        <v>0</v>
      </c>
      <c r="LU22" s="376">
        <v>0</v>
      </c>
      <c r="LV22" s="376">
        <v>0</v>
      </c>
      <c r="LW22" s="376">
        <f t="shared" si="467"/>
        <v>0</v>
      </c>
      <c r="LX22" s="376">
        <v>0</v>
      </c>
      <c r="LY22" s="376">
        <v>0</v>
      </c>
      <c r="LZ22" s="376">
        <f t="shared" si="468"/>
        <v>0</v>
      </c>
      <c r="MA22" s="376">
        <v>0</v>
      </c>
      <c r="MB22" s="376">
        <v>0</v>
      </c>
      <c r="MC22" s="376">
        <f t="shared" si="469"/>
        <v>0</v>
      </c>
      <c r="MD22" s="376">
        <v>0</v>
      </c>
      <c r="ME22" s="376">
        <v>0</v>
      </c>
      <c r="MF22" s="376">
        <f t="shared" si="470"/>
        <v>0</v>
      </c>
      <c r="MG22" s="376">
        <v>0</v>
      </c>
      <c r="MH22" s="376">
        <v>0</v>
      </c>
      <c r="MI22" s="376">
        <f t="shared" si="471"/>
        <v>0</v>
      </c>
      <c r="MJ22" s="376">
        <v>0</v>
      </c>
      <c r="MK22" s="376">
        <v>0</v>
      </c>
      <c r="ML22" s="376">
        <f t="shared" si="472"/>
        <v>0</v>
      </c>
      <c r="MM22" s="376">
        <v>0</v>
      </c>
      <c r="MN22" s="376">
        <v>0</v>
      </c>
      <c r="MO22" s="376">
        <f t="shared" si="473"/>
        <v>0</v>
      </c>
      <c r="MP22" s="376">
        <v>0</v>
      </c>
      <c r="MQ22" s="376">
        <v>0</v>
      </c>
      <c r="MR22" s="376">
        <f t="shared" si="474"/>
        <v>0</v>
      </c>
      <c r="MS22" s="376">
        <v>0</v>
      </c>
      <c r="MT22" s="376">
        <v>0</v>
      </c>
      <c r="MU22" s="376">
        <f t="shared" si="475"/>
        <v>0</v>
      </c>
      <c r="MV22" s="376">
        <v>0</v>
      </c>
      <c r="MW22" s="376">
        <v>0</v>
      </c>
      <c r="MX22" s="376">
        <f t="shared" si="476"/>
        <v>0</v>
      </c>
      <c r="MY22" s="376">
        <v>0</v>
      </c>
      <c r="MZ22" s="376">
        <v>0</v>
      </c>
      <c r="NA22" s="545">
        <f t="shared" si="477"/>
        <v>0</v>
      </c>
      <c r="NB22" s="376">
        <v>0</v>
      </c>
      <c r="NC22" s="376">
        <v>0</v>
      </c>
      <c r="ND22" s="543">
        <f t="shared" si="478"/>
        <v>0</v>
      </c>
      <c r="NE22" s="542">
        <f>SUM(C22,F22,I22,L22,O22,R22,U22,X22,AA22,AD22,AG22,AJ22,AM22,AP22,AS22,AV22,AY22,BB22,BE22,BH22,BK22,BN22,BQ22,BT22,BW22,BZ22,CC22,CF22,CI22,CL22,CO22,CR22,CU22,CX22,DA22,DD22,DG22,DJ22,DM22,DP22,DS22,DV22,DY22,EB22,EE22,EH22,EK22,EN22,EQ22,ET22,EW22,EZ22,FC22,FF22,FI22,FL22,FO22,FR22,FU22,FX22,GA22,GD22,GG22,GJ22,GM22,GP22,GS22,GV22,GY22,HB22,HE22,HH22,HK22,HN22,HQ22,HT22,HW22,HZ22,IC22,IF22,II22,IL22,IO22,IR22,IU22,IX22,JA22,JD22,JG22,JJ22,JM22,JP22,JS22,JV22,JY22,KB22,KE22,KH22,KK22,KN22,KQ22,KT22,KW22,KZ22,LC22,LF22,LI22,LL22,LO22,LR22,LU22,LX22,MA22,MD22,MG22,MJ22,MM22,MP22,MS22,MV22,MY22)</f>
        <v>48995</v>
      </c>
      <c r="NF22" s="376">
        <f>SUM(D22,G22,J22,M22,P22,S22,V22,Y22,AB22,AE22,AH22,AK22,AN22,AQ22,AT22,AW22,AZ22,BC22,BF22,BI22,BL22,BO22,BR22,BU22,BX22,CA22,CD22,CG22,CJ22,CM22,CP22,CS22,CV22,CY22,DB22,DE22,DH22,DK22,DN22,DQ22,DT22,DW22,DZ22,EC22,EF22,EI22,EL22,EO22,ER22,EU22,EX22,FA22,FD22,FG22,FJ22,FM22,FP22,FS22,FV22,FY22,GB22,GE22,GH22,GK22,GN22,GQ22,GT22,GW22,GZ22,HC22,HF22,HI22,HL22,HO22,HR22,HU22,HX22,IA22,ID22,IG22,IJ22,IM22,IP22,IS22,IV22,IY22,JB22,JE22,JH22,JK22,JN22,JQ22,JT22,JW22,JZ22,KC22,KF22,KI22,KL22,KO22,KR22,KU22,KX22,LA22,LD22,LG22,LJ22,LM22,LP22,LS22,LV22,LY22,MB22,ME22,MH22,MK22,MN22,MQ22,MT22,MW22,MZ22)</f>
        <v>48549</v>
      </c>
      <c r="NG22" s="543">
        <f t="shared" si="480"/>
        <v>97544</v>
      </c>
      <c r="NH22" s="542">
        <f t="shared" si="481"/>
        <v>3963</v>
      </c>
      <c r="NI22" s="376">
        <f t="shared" si="481"/>
        <v>3624</v>
      </c>
      <c r="NJ22" s="543">
        <f t="shared" si="482"/>
        <v>7587</v>
      </c>
    </row>
    <row r="23" spans="1:374" x14ac:dyDescent="0.3">
      <c r="A23" s="541" t="s">
        <v>266</v>
      </c>
      <c r="B23" s="589" t="s">
        <v>45</v>
      </c>
      <c r="C23" s="544">
        <v>195</v>
      </c>
      <c r="D23" s="376">
        <v>179</v>
      </c>
      <c r="E23" s="376">
        <f t="shared" si="357"/>
        <v>374</v>
      </c>
      <c r="F23" s="376">
        <v>247</v>
      </c>
      <c r="G23" s="376">
        <v>217</v>
      </c>
      <c r="H23" s="376">
        <f t="shared" si="358"/>
        <v>464</v>
      </c>
      <c r="I23" s="376">
        <v>278</v>
      </c>
      <c r="J23" s="376">
        <v>261</v>
      </c>
      <c r="K23" s="376">
        <f t="shared" si="359"/>
        <v>539</v>
      </c>
      <c r="L23" s="376">
        <v>298</v>
      </c>
      <c r="M23" s="376">
        <v>262</v>
      </c>
      <c r="N23" s="376">
        <f t="shared" si="360"/>
        <v>560</v>
      </c>
      <c r="O23" s="376">
        <v>318</v>
      </c>
      <c r="P23" s="376">
        <v>292</v>
      </c>
      <c r="Q23" s="376">
        <f t="shared" si="361"/>
        <v>610</v>
      </c>
      <c r="R23" s="376">
        <v>335</v>
      </c>
      <c r="S23" s="376">
        <v>359</v>
      </c>
      <c r="T23" s="376">
        <f t="shared" si="362"/>
        <v>694</v>
      </c>
      <c r="U23" s="376">
        <v>380</v>
      </c>
      <c r="V23" s="376">
        <v>342</v>
      </c>
      <c r="W23" s="376">
        <f t="shared" si="363"/>
        <v>722</v>
      </c>
      <c r="X23" s="376">
        <v>379</v>
      </c>
      <c r="Y23" s="376">
        <v>390</v>
      </c>
      <c r="Z23" s="376">
        <f t="shared" si="364"/>
        <v>769</v>
      </c>
      <c r="AA23" s="376">
        <v>353</v>
      </c>
      <c r="AB23" s="376">
        <v>358</v>
      </c>
      <c r="AC23" s="376">
        <f t="shared" si="365"/>
        <v>711</v>
      </c>
      <c r="AD23" s="376">
        <v>389</v>
      </c>
      <c r="AE23" s="376">
        <v>348</v>
      </c>
      <c r="AF23" s="376">
        <f t="shared" si="366"/>
        <v>737</v>
      </c>
      <c r="AG23" s="376">
        <v>341</v>
      </c>
      <c r="AH23" s="376">
        <v>311</v>
      </c>
      <c r="AI23" s="376">
        <f t="shared" si="367"/>
        <v>652</v>
      </c>
      <c r="AJ23" s="376">
        <v>374</v>
      </c>
      <c r="AK23" s="376">
        <v>306</v>
      </c>
      <c r="AL23" s="376">
        <f t="shared" si="368"/>
        <v>680</v>
      </c>
      <c r="AM23" s="376">
        <v>337</v>
      </c>
      <c r="AN23" s="376">
        <v>299</v>
      </c>
      <c r="AO23" s="376">
        <f t="shared" si="369"/>
        <v>636</v>
      </c>
      <c r="AP23" s="376">
        <v>364</v>
      </c>
      <c r="AQ23" s="376">
        <v>331</v>
      </c>
      <c r="AR23" s="376">
        <f t="shared" si="370"/>
        <v>695</v>
      </c>
      <c r="AS23" s="376">
        <v>342</v>
      </c>
      <c r="AT23" s="376">
        <v>354</v>
      </c>
      <c r="AU23" s="376">
        <f t="shared" si="371"/>
        <v>696</v>
      </c>
      <c r="AV23" s="376">
        <v>319</v>
      </c>
      <c r="AW23" s="376">
        <v>302</v>
      </c>
      <c r="AX23" s="376">
        <f t="shared" si="372"/>
        <v>621</v>
      </c>
      <c r="AY23" s="376">
        <v>333</v>
      </c>
      <c r="AZ23" s="376">
        <v>318</v>
      </c>
      <c r="BA23" s="376">
        <f t="shared" si="373"/>
        <v>651</v>
      </c>
      <c r="BB23" s="376">
        <v>336</v>
      </c>
      <c r="BC23" s="376">
        <v>299</v>
      </c>
      <c r="BD23" s="376">
        <f t="shared" si="374"/>
        <v>635</v>
      </c>
      <c r="BE23" s="376">
        <v>316</v>
      </c>
      <c r="BF23" s="376">
        <v>332</v>
      </c>
      <c r="BG23" s="376">
        <f t="shared" si="375"/>
        <v>648</v>
      </c>
      <c r="BH23" s="376">
        <v>351</v>
      </c>
      <c r="BI23" s="376">
        <v>323</v>
      </c>
      <c r="BJ23" s="376">
        <f t="shared" si="376"/>
        <v>674</v>
      </c>
      <c r="BK23" s="376">
        <v>304</v>
      </c>
      <c r="BL23" s="376">
        <v>290</v>
      </c>
      <c r="BM23" s="376">
        <f t="shared" si="377"/>
        <v>594</v>
      </c>
      <c r="BN23" s="376">
        <v>307</v>
      </c>
      <c r="BO23" s="376">
        <v>306</v>
      </c>
      <c r="BP23" s="376">
        <f t="shared" si="378"/>
        <v>613</v>
      </c>
      <c r="BQ23" s="376">
        <v>343</v>
      </c>
      <c r="BR23" s="376">
        <v>293</v>
      </c>
      <c r="BS23" s="376">
        <f t="shared" si="379"/>
        <v>636</v>
      </c>
      <c r="BT23" s="376">
        <v>330</v>
      </c>
      <c r="BU23" s="376">
        <v>360</v>
      </c>
      <c r="BV23" s="376">
        <f t="shared" si="380"/>
        <v>690</v>
      </c>
      <c r="BW23" s="376">
        <v>338</v>
      </c>
      <c r="BX23" s="376">
        <v>343</v>
      </c>
      <c r="BY23" s="376">
        <f t="shared" si="381"/>
        <v>681</v>
      </c>
      <c r="BZ23" s="376">
        <v>336</v>
      </c>
      <c r="CA23" s="376">
        <v>364</v>
      </c>
      <c r="CB23" s="376">
        <f t="shared" si="382"/>
        <v>700</v>
      </c>
      <c r="CC23" s="376">
        <v>343</v>
      </c>
      <c r="CD23" s="376">
        <v>364</v>
      </c>
      <c r="CE23" s="376">
        <f t="shared" si="383"/>
        <v>707</v>
      </c>
      <c r="CF23" s="376">
        <v>275</v>
      </c>
      <c r="CG23" s="376">
        <v>324</v>
      </c>
      <c r="CH23" s="376">
        <f t="shared" si="384"/>
        <v>599</v>
      </c>
      <c r="CI23" s="376">
        <v>359</v>
      </c>
      <c r="CJ23" s="376">
        <v>345</v>
      </c>
      <c r="CK23" s="376">
        <f t="shared" si="385"/>
        <v>704</v>
      </c>
      <c r="CL23" s="376">
        <v>353</v>
      </c>
      <c r="CM23" s="376">
        <v>342</v>
      </c>
      <c r="CN23" s="376">
        <f t="shared" si="386"/>
        <v>695</v>
      </c>
      <c r="CO23" s="376">
        <v>386</v>
      </c>
      <c r="CP23" s="376">
        <v>363</v>
      </c>
      <c r="CQ23" s="376">
        <f t="shared" si="387"/>
        <v>749</v>
      </c>
      <c r="CR23" s="376">
        <v>358</v>
      </c>
      <c r="CS23" s="376">
        <v>373</v>
      </c>
      <c r="CT23" s="376">
        <f t="shared" si="388"/>
        <v>731</v>
      </c>
      <c r="CU23" s="376">
        <v>348</v>
      </c>
      <c r="CV23" s="376">
        <v>353</v>
      </c>
      <c r="CW23" s="376">
        <f t="shared" si="389"/>
        <v>701</v>
      </c>
      <c r="CX23" s="376">
        <v>353</v>
      </c>
      <c r="CY23" s="376">
        <v>357</v>
      </c>
      <c r="CZ23" s="376">
        <f t="shared" si="390"/>
        <v>710</v>
      </c>
      <c r="DA23" s="376">
        <v>328</v>
      </c>
      <c r="DB23" s="376">
        <v>354</v>
      </c>
      <c r="DC23" s="376">
        <f t="shared" si="391"/>
        <v>682</v>
      </c>
      <c r="DD23" s="376">
        <v>338</v>
      </c>
      <c r="DE23" s="376">
        <v>335</v>
      </c>
      <c r="DF23" s="376">
        <f t="shared" si="392"/>
        <v>673</v>
      </c>
      <c r="DG23" s="376">
        <v>349</v>
      </c>
      <c r="DH23" s="376">
        <v>338</v>
      </c>
      <c r="DI23" s="376">
        <f t="shared" si="393"/>
        <v>687</v>
      </c>
      <c r="DJ23" s="376">
        <v>324</v>
      </c>
      <c r="DK23" s="376">
        <v>262</v>
      </c>
      <c r="DL23" s="376">
        <f t="shared" si="394"/>
        <v>586</v>
      </c>
      <c r="DM23" s="376">
        <v>304</v>
      </c>
      <c r="DN23" s="376">
        <v>305</v>
      </c>
      <c r="DO23" s="376">
        <f t="shared" si="395"/>
        <v>609</v>
      </c>
      <c r="DP23" s="376">
        <v>293</v>
      </c>
      <c r="DQ23" s="376">
        <v>306</v>
      </c>
      <c r="DR23" s="376">
        <f t="shared" si="396"/>
        <v>599</v>
      </c>
      <c r="DS23" s="376">
        <v>300</v>
      </c>
      <c r="DT23" s="376">
        <v>283</v>
      </c>
      <c r="DU23" s="376">
        <f t="shared" si="397"/>
        <v>583</v>
      </c>
      <c r="DV23" s="376">
        <v>307</v>
      </c>
      <c r="DW23" s="376">
        <v>324</v>
      </c>
      <c r="DX23" s="376">
        <f t="shared" si="398"/>
        <v>631</v>
      </c>
      <c r="DY23" s="376">
        <v>289</v>
      </c>
      <c r="DZ23" s="376">
        <v>290</v>
      </c>
      <c r="EA23" s="376">
        <f t="shared" si="399"/>
        <v>579</v>
      </c>
      <c r="EB23" s="376">
        <v>319</v>
      </c>
      <c r="EC23" s="376">
        <v>336</v>
      </c>
      <c r="ED23" s="376">
        <f t="shared" si="400"/>
        <v>655</v>
      </c>
      <c r="EE23" s="376">
        <v>289</v>
      </c>
      <c r="EF23" s="376">
        <v>327</v>
      </c>
      <c r="EG23" s="376">
        <f t="shared" si="401"/>
        <v>616</v>
      </c>
      <c r="EH23" s="376">
        <v>301</v>
      </c>
      <c r="EI23" s="376">
        <v>287</v>
      </c>
      <c r="EJ23" s="376">
        <f t="shared" si="402"/>
        <v>588</v>
      </c>
      <c r="EK23" s="376">
        <v>276</v>
      </c>
      <c r="EL23" s="376">
        <v>324</v>
      </c>
      <c r="EM23" s="376">
        <f t="shared" si="403"/>
        <v>600</v>
      </c>
      <c r="EN23" s="376">
        <v>273</v>
      </c>
      <c r="EO23" s="376">
        <v>311</v>
      </c>
      <c r="EP23" s="376">
        <f t="shared" si="404"/>
        <v>584</v>
      </c>
      <c r="EQ23" s="376">
        <v>273</v>
      </c>
      <c r="ER23" s="376">
        <v>315</v>
      </c>
      <c r="ES23" s="376">
        <f t="shared" si="405"/>
        <v>588</v>
      </c>
      <c r="ET23" s="376">
        <v>259</v>
      </c>
      <c r="EU23" s="376">
        <v>282</v>
      </c>
      <c r="EV23" s="376">
        <f t="shared" si="406"/>
        <v>541</v>
      </c>
      <c r="EW23" s="376">
        <v>258</v>
      </c>
      <c r="EX23" s="376">
        <v>291</v>
      </c>
      <c r="EY23" s="376">
        <f t="shared" si="407"/>
        <v>549</v>
      </c>
      <c r="EZ23" s="376">
        <v>276</v>
      </c>
      <c r="FA23" s="376">
        <v>271</v>
      </c>
      <c r="FB23" s="376">
        <f t="shared" si="408"/>
        <v>547</v>
      </c>
      <c r="FC23" s="376">
        <v>234</v>
      </c>
      <c r="FD23" s="376">
        <v>257</v>
      </c>
      <c r="FE23" s="376">
        <f t="shared" si="409"/>
        <v>491</v>
      </c>
      <c r="FF23" s="376">
        <v>246</v>
      </c>
      <c r="FG23" s="376">
        <v>286</v>
      </c>
      <c r="FH23" s="376">
        <f t="shared" si="410"/>
        <v>532</v>
      </c>
      <c r="FI23" s="376">
        <v>256</v>
      </c>
      <c r="FJ23" s="376">
        <v>250</v>
      </c>
      <c r="FK23" s="376">
        <f t="shared" si="411"/>
        <v>506</v>
      </c>
      <c r="FL23" s="376">
        <v>240</v>
      </c>
      <c r="FM23" s="376">
        <v>252</v>
      </c>
      <c r="FN23" s="376">
        <f t="shared" si="412"/>
        <v>492</v>
      </c>
      <c r="FO23" s="376">
        <v>260</v>
      </c>
      <c r="FP23" s="376">
        <v>251</v>
      </c>
      <c r="FQ23" s="376">
        <f t="shared" si="413"/>
        <v>511</v>
      </c>
      <c r="FR23" s="376">
        <v>242</v>
      </c>
      <c r="FS23" s="376">
        <v>257</v>
      </c>
      <c r="FT23" s="376">
        <f t="shared" si="414"/>
        <v>499</v>
      </c>
      <c r="FU23" s="376">
        <v>190</v>
      </c>
      <c r="FV23" s="376">
        <v>232</v>
      </c>
      <c r="FW23" s="376">
        <f t="shared" si="415"/>
        <v>422</v>
      </c>
      <c r="FX23" s="376">
        <v>200</v>
      </c>
      <c r="FY23" s="376">
        <v>196</v>
      </c>
      <c r="FZ23" s="376">
        <f t="shared" si="416"/>
        <v>396</v>
      </c>
      <c r="GA23" s="376">
        <v>168</v>
      </c>
      <c r="GB23" s="376">
        <v>250</v>
      </c>
      <c r="GC23" s="376">
        <f t="shared" si="417"/>
        <v>418</v>
      </c>
      <c r="GD23" s="376">
        <v>192</v>
      </c>
      <c r="GE23" s="376">
        <v>204</v>
      </c>
      <c r="GF23" s="376">
        <f t="shared" si="418"/>
        <v>396</v>
      </c>
      <c r="GG23" s="376">
        <v>165</v>
      </c>
      <c r="GH23" s="376">
        <v>175</v>
      </c>
      <c r="GI23" s="376">
        <f t="shared" si="419"/>
        <v>340</v>
      </c>
      <c r="GJ23" s="376">
        <v>156</v>
      </c>
      <c r="GK23" s="376">
        <v>154</v>
      </c>
      <c r="GL23" s="376">
        <f t="shared" si="420"/>
        <v>310</v>
      </c>
      <c r="GM23" s="376">
        <v>151</v>
      </c>
      <c r="GN23" s="376">
        <v>143</v>
      </c>
      <c r="GO23" s="376">
        <f t="shared" si="421"/>
        <v>294</v>
      </c>
      <c r="GP23" s="376">
        <v>134</v>
      </c>
      <c r="GQ23" s="376">
        <v>125</v>
      </c>
      <c r="GR23" s="376">
        <f t="shared" si="422"/>
        <v>259</v>
      </c>
      <c r="GS23" s="376">
        <v>146</v>
      </c>
      <c r="GT23" s="376">
        <v>126</v>
      </c>
      <c r="GU23" s="376">
        <f t="shared" si="423"/>
        <v>272</v>
      </c>
      <c r="GV23" s="376">
        <v>122</v>
      </c>
      <c r="GW23" s="376">
        <v>100</v>
      </c>
      <c r="GX23" s="376">
        <f t="shared" si="424"/>
        <v>222</v>
      </c>
      <c r="GY23" s="376">
        <v>95</v>
      </c>
      <c r="GZ23" s="376">
        <v>95</v>
      </c>
      <c r="HA23" s="376">
        <f t="shared" si="425"/>
        <v>190</v>
      </c>
      <c r="HB23" s="376">
        <v>76</v>
      </c>
      <c r="HC23" s="376">
        <v>69</v>
      </c>
      <c r="HD23" s="376">
        <f t="shared" si="426"/>
        <v>145</v>
      </c>
      <c r="HE23" s="376">
        <v>65</v>
      </c>
      <c r="HF23" s="376">
        <v>52</v>
      </c>
      <c r="HG23" s="376">
        <f t="shared" si="427"/>
        <v>117</v>
      </c>
      <c r="HH23" s="376">
        <v>71</v>
      </c>
      <c r="HI23" s="376">
        <v>49</v>
      </c>
      <c r="HJ23" s="376">
        <f t="shared" si="428"/>
        <v>120</v>
      </c>
      <c r="HK23" s="376">
        <v>68</v>
      </c>
      <c r="HL23" s="376">
        <v>48</v>
      </c>
      <c r="HM23" s="376">
        <f t="shared" si="429"/>
        <v>116</v>
      </c>
      <c r="HN23" s="376">
        <v>49</v>
      </c>
      <c r="HO23" s="376">
        <v>36</v>
      </c>
      <c r="HP23" s="376">
        <f t="shared" si="430"/>
        <v>85</v>
      </c>
      <c r="HQ23" s="376">
        <v>40</v>
      </c>
      <c r="HR23" s="376">
        <v>28</v>
      </c>
      <c r="HS23" s="376">
        <f t="shared" si="431"/>
        <v>68</v>
      </c>
      <c r="HT23" s="376">
        <v>27</v>
      </c>
      <c r="HU23" s="376">
        <v>32</v>
      </c>
      <c r="HV23" s="376">
        <f t="shared" si="432"/>
        <v>59</v>
      </c>
      <c r="HW23" s="376">
        <v>27</v>
      </c>
      <c r="HX23" s="376">
        <v>32</v>
      </c>
      <c r="HY23" s="376">
        <f t="shared" si="433"/>
        <v>59</v>
      </c>
      <c r="HZ23" s="376">
        <v>15</v>
      </c>
      <c r="IA23" s="376">
        <v>27</v>
      </c>
      <c r="IB23" s="376">
        <f t="shared" si="434"/>
        <v>42</v>
      </c>
      <c r="IC23" s="376">
        <v>13</v>
      </c>
      <c r="ID23" s="376">
        <v>21</v>
      </c>
      <c r="IE23" s="376">
        <f t="shared" si="435"/>
        <v>34</v>
      </c>
      <c r="IF23" s="376">
        <v>16</v>
      </c>
      <c r="IG23" s="376">
        <v>21</v>
      </c>
      <c r="IH23" s="376">
        <f t="shared" si="436"/>
        <v>37</v>
      </c>
      <c r="II23" s="376">
        <v>26</v>
      </c>
      <c r="IJ23" s="376">
        <v>34</v>
      </c>
      <c r="IK23" s="376">
        <f t="shared" si="437"/>
        <v>60</v>
      </c>
      <c r="IL23" s="376">
        <v>10</v>
      </c>
      <c r="IM23" s="376">
        <v>11</v>
      </c>
      <c r="IN23" s="376">
        <f t="shared" si="438"/>
        <v>21</v>
      </c>
      <c r="IO23" s="376">
        <v>6</v>
      </c>
      <c r="IP23" s="376">
        <v>1</v>
      </c>
      <c r="IQ23" s="376">
        <f t="shared" si="439"/>
        <v>7</v>
      </c>
      <c r="IR23" s="376">
        <v>9</v>
      </c>
      <c r="IS23" s="376">
        <v>5</v>
      </c>
      <c r="IT23" s="376">
        <f t="shared" si="440"/>
        <v>14</v>
      </c>
      <c r="IU23" s="376">
        <v>13</v>
      </c>
      <c r="IV23" s="376">
        <v>11</v>
      </c>
      <c r="IW23" s="376">
        <f t="shared" si="441"/>
        <v>24</v>
      </c>
      <c r="IX23" s="376">
        <v>5</v>
      </c>
      <c r="IY23" s="376">
        <v>6</v>
      </c>
      <c r="IZ23" s="376">
        <f t="shared" si="442"/>
        <v>11</v>
      </c>
      <c r="JA23" s="376">
        <v>9</v>
      </c>
      <c r="JB23" s="376">
        <v>9</v>
      </c>
      <c r="JC23" s="376">
        <f t="shared" si="443"/>
        <v>18</v>
      </c>
      <c r="JD23" s="376">
        <v>2</v>
      </c>
      <c r="JE23" s="376">
        <v>6</v>
      </c>
      <c r="JF23" s="376">
        <f t="shared" si="444"/>
        <v>8</v>
      </c>
      <c r="JG23" s="376">
        <v>4</v>
      </c>
      <c r="JH23" s="376">
        <v>5</v>
      </c>
      <c r="JI23" s="376">
        <f t="shared" si="445"/>
        <v>9</v>
      </c>
      <c r="JJ23" s="376">
        <v>4</v>
      </c>
      <c r="JK23" s="376">
        <v>5</v>
      </c>
      <c r="JL23" s="376">
        <f t="shared" si="446"/>
        <v>9</v>
      </c>
      <c r="JM23" s="376">
        <v>3</v>
      </c>
      <c r="JN23" s="376">
        <v>2</v>
      </c>
      <c r="JO23" s="376">
        <f t="shared" si="447"/>
        <v>5</v>
      </c>
      <c r="JP23" s="376">
        <v>2</v>
      </c>
      <c r="JQ23" s="376">
        <v>5</v>
      </c>
      <c r="JR23" s="376">
        <f t="shared" si="448"/>
        <v>7</v>
      </c>
      <c r="JS23" s="376">
        <v>1</v>
      </c>
      <c r="JT23" s="376">
        <v>1</v>
      </c>
      <c r="JU23" s="376">
        <f t="shared" si="449"/>
        <v>2</v>
      </c>
      <c r="JV23" s="376">
        <v>1</v>
      </c>
      <c r="JW23" s="376">
        <v>2</v>
      </c>
      <c r="JX23" s="376">
        <f t="shared" si="450"/>
        <v>3</v>
      </c>
      <c r="JY23" s="376">
        <v>0</v>
      </c>
      <c r="JZ23" s="376">
        <v>1</v>
      </c>
      <c r="KA23" s="376">
        <f t="shared" si="451"/>
        <v>1</v>
      </c>
      <c r="KB23" s="376">
        <v>0</v>
      </c>
      <c r="KC23" s="376">
        <v>1</v>
      </c>
      <c r="KD23" s="376">
        <f t="shared" si="452"/>
        <v>1</v>
      </c>
      <c r="KE23" s="376">
        <v>0</v>
      </c>
      <c r="KF23" s="376">
        <v>0</v>
      </c>
      <c r="KG23" s="376">
        <f t="shared" si="453"/>
        <v>0</v>
      </c>
      <c r="KH23" s="376">
        <v>0</v>
      </c>
      <c r="KI23" s="376">
        <v>0</v>
      </c>
      <c r="KJ23" s="376">
        <f t="shared" si="454"/>
        <v>0</v>
      </c>
      <c r="KK23" s="376">
        <v>0</v>
      </c>
      <c r="KL23" s="376">
        <v>0</v>
      </c>
      <c r="KM23" s="376">
        <f t="shared" si="455"/>
        <v>0</v>
      </c>
      <c r="KN23" s="376">
        <v>0</v>
      </c>
      <c r="KO23" s="376">
        <v>0</v>
      </c>
      <c r="KP23" s="376">
        <f t="shared" si="456"/>
        <v>0</v>
      </c>
      <c r="KQ23" s="376">
        <v>1</v>
      </c>
      <c r="KR23" s="376">
        <v>0</v>
      </c>
      <c r="KS23" s="376">
        <f t="shared" si="457"/>
        <v>1</v>
      </c>
      <c r="KT23" s="376">
        <v>0</v>
      </c>
      <c r="KU23" s="376">
        <v>0</v>
      </c>
      <c r="KV23" s="376">
        <f t="shared" si="458"/>
        <v>0</v>
      </c>
      <c r="KW23" s="376">
        <v>0</v>
      </c>
      <c r="KX23" s="376">
        <v>0</v>
      </c>
      <c r="KY23" s="376">
        <f t="shared" si="459"/>
        <v>0</v>
      </c>
      <c r="KZ23" s="376">
        <v>0</v>
      </c>
      <c r="LA23" s="376">
        <v>0</v>
      </c>
      <c r="LB23" s="376">
        <f t="shared" si="460"/>
        <v>0</v>
      </c>
      <c r="LC23" s="376">
        <v>0</v>
      </c>
      <c r="LD23" s="376">
        <v>0</v>
      </c>
      <c r="LE23" s="376">
        <f t="shared" si="461"/>
        <v>0</v>
      </c>
      <c r="LF23" s="376">
        <v>0</v>
      </c>
      <c r="LG23" s="376">
        <v>0</v>
      </c>
      <c r="LH23" s="376">
        <f t="shared" si="462"/>
        <v>0</v>
      </c>
      <c r="LI23" s="376">
        <v>0</v>
      </c>
      <c r="LJ23" s="376">
        <v>0</v>
      </c>
      <c r="LK23" s="376">
        <f t="shared" si="463"/>
        <v>0</v>
      </c>
      <c r="LL23" s="376">
        <v>0</v>
      </c>
      <c r="LM23" s="376">
        <v>0</v>
      </c>
      <c r="LN23" s="376">
        <f t="shared" si="464"/>
        <v>0</v>
      </c>
      <c r="LO23" s="376">
        <v>0</v>
      </c>
      <c r="LP23" s="376">
        <v>0</v>
      </c>
      <c r="LQ23" s="376">
        <f t="shared" si="465"/>
        <v>0</v>
      </c>
      <c r="LR23" s="376">
        <v>0</v>
      </c>
      <c r="LS23" s="376">
        <v>0</v>
      </c>
      <c r="LT23" s="376">
        <f t="shared" si="466"/>
        <v>0</v>
      </c>
      <c r="LU23" s="376">
        <v>0</v>
      </c>
      <c r="LV23" s="376">
        <v>0</v>
      </c>
      <c r="LW23" s="376">
        <f t="shared" si="467"/>
        <v>0</v>
      </c>
      <c r="LX23" s="376">
        <v>0</v>
      </c>
      <c r="LY23" s="376">
        <v>0</v>
      </c>
      <c r="LZ23" s="376">
        <f t="shared" si="468"/>
        <v>0</v>
      </c>
      <c r="MA23" s="376">
        <v>0</v>
      </c>
      <c r="MB23" s="376">
        <v>0</v>
      </c>
      <c r="MC23" s="376">
        <f t="shared" si="469"/>
        <v>0</v>
      </c>
      <c r="MD23" s="376">
        <v>0</v>
      </c>
      <c r="ME23" s="376">
        <v>0</v>
      </c>
      <c r="MF23" s="376">
        <f t="shared" si="470"/>
        <v>0</v>
      </c>
      <c r="MG23" s="376">
        <v>0</v>
      </c>
      <c r="MH23" s="376">
        <v>0</v>
      </c>
      <c r="MI23" s="376">
        <f t="shared" si="471"/>
        <v>0</v>
      </c>
      <c r="MJ23" s="376">
        <v>0</v>
      </c>
      <c r="MK23" s="376">
        <v>0</v>
      </c>
      <c r="ML23" s="376">
        <f t="shared" si="472"/>
        <v>0</v>
      </c>
      <c r="MM23" s="376">
        <v>0</v>
      </c>
      <c r="MN23" s="376">
        <v>0</v>
      </c>
      <c r="MO23" s="376">
        <f t="shared" si="473"/>
        <v>0</v>
      </c>
      <c r="MP23" s="376">
        <v>0</v>
      </c>
      <c r="MQ23" s="376">
        <v>0</v>
      </c>
      <c r="MR23" s="376">
        <f t="shared" si="474"/>
        <v>0</v>
      </c>
      <c r="MS23" s="376">
        <v>0</v>
      </c>
      <c r="MT23" s="376">
        <v>0</v>
      </c>
      <c r="MU23" s="376">
        <f t="shared" si="475"/>
        <v>0</v>
      </c>
      <c r="MV23" s="376">
        <v>0</v>
      </c>
      <c r="MW23" s="376">
        <v>0</v>
      </c>
      <c r="MX23" s="376">
        <f t="shared" si="476"/>
        <v>0</v>
      </c>
      <c r="MY23" s="376">
        <v>0</v>
      </c>
      <c r="MZ23" s="376">
        <v>0</v>
      </c>
      <c r="NA23" s="545">
        <f t="shared" si="477"/>
        <v>0</v>
      </c>
      <c r="NB23" s="376">
        <v>0</v>
      </c>
      <c r="NC23" s="376">
        <v>0</v>
      </c>
      <c r="ND23" s="543">
        <f t="shared" si="478"/>
        <v>0</v>
      </c>
      <c r="NE23" s="542">
        <f t="shared" ref="NE23:NF27" si="483">SUM(C23,F23,I23,L23,O23,R23,U23,X23,AA23,AD23,AG23,AJ23,AM23,AP23,AS23,AV23,AY23,BB23,BE23,BH23,BK23,BN23,BQ23,BT23,BW23,BZ23,CC23,CF23,CI23,CL23,CO23,CR23,CU23,CX23,DA23,DD23,DG23,DJ23,DM23,DP23,DS23,DV23,DY23,EB23,EE23,EH23,EK23,EN23,EQ23,ET23,EW23,EZ23,FC23,FF23,FI23,FL23,FO23,FR23,FU23,FX23,GA23,GD23,GG23,GJ23,GM23,GP23,GS23,GV23,GY23,HB23,HE23,HH23,HK23,HN23,HQ23,HT23,HW23,HZ23,IC23,IF23,II23,IL23,IO23,IR23,IU23,IX23,JA23,JD23,JG23,JJ23,JM23,JP23,JS23,JV23,JY23,KB23,KE23,KH23,KK23,KN23,KQ23,KT23,KW23,KZ23,LC23,LF23,LI23,LL23,LO23,LR23,LU23,LX23,MA23,MD23,MG23,MJ23,MM23,MP23,MS23,MV23,MY23)</f>
        <v>20434</v>
      </c>
      <c r="NF23" s="376">
        <f t="shared" si="483"/>
        <v>20374</v>
      </c>
      <c r="NG23" s="543">
        <f t="shared" si="480"/>
        <v>40808</v>
      </c>
      <c r="NH23" s="542">
        <f t="shared" si="481"/>
        <v>1671</v>
      </c>
      <c r="NI23" s="376">
        <f t="shared" si="481"/>
        <v>1570</v>
      </c>
      <c r="NJ23" s="543">
        <f t="shared" si="482"/>
        <v>3241</v>
      </c>
    </row>
    <row r="24" spans="1:374" x14ac:dyDescent="0.3">
      <c r="A24" s="541" t="s">
        <v>267</v>
      </c>
      <c r="B24" s="589" t="s">
        <v>48</v>
      </c>
      <c r="C24" s="544">
        <v>114</v>
      </c>
      <c r="D24" s="376">
        <v>93</v>
      </c>
      <c r="E24" s="376">
        <f t="shared" si="357"/>
        <v>207</v>
      </c>
      <c r="F24" s="376">
        <v>158</v>
      </c>
      <c r="G24" s="376">
        <v>109</v>
      </c>
      <c r="H24" s="376">
        <f t="shared" si="358"/>
        <v>267</v>
      </c>
      <c r="I24" s="376">
        <v>175</v>
      </c>
      <c r="J24" s="376">
        <v>156</v>
      </c>
      <c r="K24" s="376">
        <f t="shared" si="359"/>
        <v>331</v>
      </c>
      <c r="L24" s="376">
        <v>169</v>
      </c>
      <c r="M24" s="376">
        <v>178</v>
      </c>
      <c r="N24" s="376">
        <f t="shared" si="360"/>
        <v>347</v>
      </c>
      <c r="O24" s="376">
        <v>201</v>
      </c>
      <c r="P24" s="376">
        <v>191</v>
      </c>
      <c r="Q24" s="376">
        <f t="shared" si="361"/>
        <v>392</v>
      </c>
      <c r="R24" s="376">
        <v>185</v>
      </c>
      <c r="S24" s="376">
        <v>178</v>
      </c>
      <c r="T24" s="376">
        <f t="shared" si="362"/>
        <v>363</v>
      </c>
      <c r="U24" s="376">
        <v>229</v>
      </c>
      <c r="V24" s="376">
        <v>206</v>
      </c>
      <c r="W24" s="376">
        <f t="shared" si="363"/>
        <v>435</v>
      </c>
      <c r="X24" s="376">
        <v>209</v>
      </c>
      <c r="Y24" s="376">
        <v>202</v>
      </c>
      <c r="Z24" s="376">
        <f t="shared" si="364"/>
        <v>411</v>
      </c>
      <c r="AA24" s="376">
        <v>234</v>
      </c>
      <c r="AB24" s="376">
        <v>205</v>
      </c>
      <c r="AC24" s="376">
        <f t="shared" si="365"/>
        <v>439</v>
      </c>
      <c r="AD24" s="376">
        <v>220</v>
      </c>
      <c r="AE24" s="376">
        <v>191</v>
      </c>
      <c r="AF24" s="376">
        <f t="shared" si="366"/>
        <v>411</v>
      </c>
      <c r="AG24" s="376">
        <v>231</v>
      </c>
      <c r="AH24" s="376">
        <v>196</v>
      </c>
      <c r="AI24" s="376">
        <f t="shared" si="367"/>
        <v>427</v>
      </c>
      <c r="AJ24" s="376">
        <v>209</v>
      </c>
      <c r="AK24" s="376">
        <v>231</v>
      </c>
      <c r="AL24" s="376">
        <f t="shared" si="368"/>
        <v>440</v>
      </c>
      <c r="AM24" s="376">
        <v>280</v>
      </c>
      <c r="AN24" s="376">
        <v>244</v>
      </c>
      <c r="AO24" s="376">
        <f t="shared" si="369"/>
        <v>524</v>
      </c>
      <c r="AP24" s="376">
        <v>263</v>
      </c>
      <c r="AQ24" s="376">
        <v>198</v>
      </c>
      <c r="AR24" s="376">
        <f t="shared" si="370"/>
        <v>461</v>
      </c>
      <c r="AS24" s="376">
        <v>281</v>
      </c>
      <c r="AT24" s="376">
        <v>252</v>
      </c>
      <c r="AU24" s="376">
        <f t="shared" si="371"/>
        <v>533</v>
      </c>
      <c r="AV24" s="376">
        <v>275</v>
      </c>
      <c r="AW24" s="376">
        <v>274</v>
      </c>
      <c r="AX24" s="376">
        <f t="shared" si="372"/>
        <v>549</v>
      </c>
      <c r="AY24" s="376">
        <v>295</v>
      </c>
      <c r="AZ24" s="376">
        <v>197</v>
      </c>
      <c r="BA24" s="376">
        <f t="shared" si="373"/>
        <v>492</v>
      </c>
      <c r="BB24" s="376">
        <v>292</v>
      </c>
      <c r="BC24" s="376">
        <v>263</v>
      </c>
      <c r="BD24" s="376">
        <f t="shared" si="374"/>
        <v>555</v>
      </c>
      <c r="BE24" s="376">
        <v>301</v>
      </c>
      <c r="BF24" s="376">
        <v>275</v>
      </c>
      <c r="BG24" s="376">
        <f t="shared" si="375"/>
        <v>576</v>
      </c>
      <c r="BH24" s="376">
        <v>284</v>
      </c>
      <c r="BI24" s="376">
        <v>312</v>
      </c>
      <c r="BJ24" s="376">
        <f t="shared" si="376"/>
        <v>596</v>
      </c>
      <c r="BK24" s="376">
        <v>310</v>
      </c>
      <c r="BL24" s="376">
        <v>257</v>
      </c>
      <c r="BM24" s="376">
        <f t="shared" si="377"/>
        <v>567</v>
      </c>
      <c r="BN24" s="376">
        <v>317</v>
      </c>
      <c r="BO24" s="376">
        <v>263</v>
      </c>
      <c r="BP24" s="376">
        <f t="shared" si="378"/>
        <v>580</v>
      </c>
      <c r="BQ24" s="376">
        <v>259</v>
      </c>
      <c r="BR24" s="376">
        <v>269</v>
      </c>
      <c r="BS24" s="376">
        <f t="shared" si="379"/>
        <v>528</v>
      </c>
      <c r="BT24" s="376">
        <v>300</v>
      </c>
      <c r="BU24" s="376">
        <v>278</v>
      </c>
      <c r="BV24" s="376">
        <f t="shared" si="380"/>
        <v>578</v>
      </c>
      <c r="BW24" s="376">
        <v>273</v>
      </c>
      <c r="BX24" s="376">
        <v>255</v>
      </c>
      <c r="BY24" s="376">
        <f t="shared" si="381"/>
        <v>528</v>
      </c>
      <c r="BZ24" s="376">
        <v>295</v>
      </c>
      <c r="CA24" s="376">
        <v>246</v>
      </c>
      <c r="CB24" s="376">
        <f t="shared" si="382"/>
        <v>541</v>
      </c>
      <c r="CC24" s="376">
        <v>283</v>
      </c>
      <c r="CD24" s="376">
        <v>260</v>
      </c>
      <c r="CE24" s="376">
        <f t="shared" si="383"/>
        <v>543</v>
      </c>
      <c r="CF24" s="376">
        <v>187</v>
      </c>
      <c r="CG24" s="376">
        <v>210</v>
      </c>
      <c r="CH24" s="376">
        <f t="shared" si="384"/>
        <v>397</v>
      </c>
      <c r="CI24" s="376">
        <v>213</v>
      </c>
      <c r="CJ24" s="376">
        <v>225</v>
      </c>
      <c r="CK24" s="376">
        <f t="shared" si="385"/>
        <v>438</v>
      </c>
      <c r="CL24" s="376">
        <v>253</v>
      </c>
      <c r="CM24" s="376">
        <v>217</v>
      </c>
      <c r="CN24" s="376">
        <f t="shared" si="386"/>
        <v>470</v>
      </c>
      <c r="CO24" s="376">
        <v>217</v>
      </c>
      <c r="CP24" s="376">
        <v>240</v>
      </c>
      <c r="CQ24" s="376">
        <f t="shared" si="387"/>
        <v>457</v>
      </c>
      <c r="CR24" s="376">
        <v>216</v>
      </c>
      <c r="CS24" s="376">
        <v>240</v>
      </c>
      <c r="CT24" s="376">
        <f t="shared" si="388"/>
        <v>456</v>
      </c>
      <c r="CU24" s="376">
        <v>193</v>
      </c>
      <c r="CV24" s="376">
        <v>223</v>
      </c>
      <c r="CW24" s="376">
        <f t="shared" si="389"/>
        <v>416</v>
      </c>
      <c r="CX24" s="376">
        <v>219</v>
      </c>
      <c r="CY24" s="376">
        <v>226</v>
      </c>
      <c r="CZ24" s="376">
        <f t="shared" si="390"/>
        <v>445</v>
      </c>
      <c r="DA24" s="376">
        <v>207</v>
      </c>
      <c r="DB24" s="376">
        <v>208</v>
      </c>
      <c r="DC24" s="376">
        <f t="shared" si="391"/>
        <v>415</v>
      </c>
      <c r="DD24" s="376">
        <v>205</v>
      </c>
      <c r="DE24" s="376">
        <v>214</v>
      </c>
      <c r="DF24" s="376">
        <f t="shared" si="392"/>
        <v>419</v>
      </c>
      <c r="DG24" s="376">
        <v>204</v>
      </c>
      <c r="DH24" s="376">
        <v>196</v>
      </c>
      <c r="DI24" s="376">
        <f t="shared" si="393"/>
        <v>400</v>
      </c>
      <c r="DJ24" s="376">
        <v>178</v>
      </c>
      <c r="DK24" s="376">
        <v>167</v>
      </c>
      <c r="DL24" s="376">
        <f t="shared" si="394"/>
        <v>345</v>
      </c>
      <c r="DM24" s="376">
        <v>174</v>
      </c>
      <c r="DN24" s="376">
        <v>165</v>
      </c>
      <c r="DO24" s="376">
        <f t="shared" si="395"/>
        <v>339</v>
      </c>
      <c r="DP24" s="376">
        <v>164</v>
      </c>
      <c r="DQ24" s="376">
        <v>191</v>
      </c>
      <c r="DR24" s="376">
        <f t="shared" si="396"/>
        <v>355</v>
      </c>
      <c r="DS24" s="376">
        <v>161</v>
      </c>
      <c r="DT24" s="376">
        <v>199</v>
      </c>
      <c r="DU24" s="376">
        <f t="shared" si="397"/>
        <v>360</v>
      </c>
      <c r="DV24" s="376">
        <v>202</v>
      </c>
      <c r="DW24" s="376">
        <v>201</v>
      </c>
      <c r="DX24" s="376">
        <f t="shared" si="398"/>
        <v>403</v>
      </c>
      <c r="DY24" s="376">
        <v>188</v>
      </c>
      <c r="DZ24" s="376">
        <v>216</v>
      </c>
      <c r="EA24" s="376">
        <f t="shared" si="399"/>
        <v>404</v>
      </c>
      <c r="EB24" s="376">
        <v>185</v>
      </c>
      <c r="EC24" s="376">
        <v>228</v>
      </c>
      <c r="ED24" s="376">
        <f t="shared" si="400"/>
        <v>413</v>
      </c>
      <c r="EE24" s="376">
        <v>223</v>
      </c>
      <c r="EF24" s="376">
        <v>256</v>
      </c>
      <c r="EG24" s="376">
        <f t="shared" si="401"/>
        <v>479</v>
      </c>
      <c r="EH24" s="376">
        <v>207</v>
      </c>
      <c r="EI24" s="376">
        <v>236</v>
      </c>
      <c r="EJ24" s="376">
        <f t="shared" si="402"/>
        <v>443</v>
      </c>
      <c r="EK24" s="376">
        <v>195</v>
      </c>
      <c r="EL24" s="376">
        <v>265</v>
      </c>
      <c r="EM24" s="376">
        <f t="shared" si="403"/>
        <v>460</v>
      </c>
      <c r="EN24" s="376">
        <v>198</v>
      </c>
      <c r="EO24" s="376">
        <v>245</v>
      </c>
      <c r="EP24" s="376">
        <f t="shared" si="404"/>
        <v>443</v>
      </c>
      <c r="EQ24" s="376">
        <v>219</v>
      </c>
      <c r="ER24" s="376">
        <v>273</v>
      </c>
      <c r="ES24" s="376">
        <f t="shared" si="405"/>
        <v>492</v>
      </c>
      <c r="ET24" s="376">
        <v>255</v>
      </c>
      <c r="EU24" s="376">
        <v>306</v>
      </c>
      <c r="EV24" s="376">
        <f t="shared" si="406"/>
        <v>561</v>
      </c>
      <c r="EW24" s="376">
        <v>251</v>
      </c>
      <c r="EX24" s="376">
        <v>296</v>
      </c>
      <c r="EY24" s="376">
        <f t="shared" si="407"/>
        <v>547</v>
      </c>
      <c r="EZ24" s="376">
        <v>258</v>
      </c>
      <c r="FA24" s="376">
        <v>260</v>
      </c>
      <c r="FB24" s="376">
        <f t="shared" si="408"/>
        <v>518</v>
      </c>
      <c r="FC24" s="376">
        <v>232</v>
      </c>
      <c r="FD24" s="376">
        <v>261</v>
      </c>
      <c r="FE24" s="376">
        <f t="shared" si="409"/>
        <v>493</v>
      </c>
      <c r="FF24" s="376">
        <v>240</v>
      </c>
      <c r="FG24" s="376">
        <v>252</v>
      </c>
      <c r="FH24" s="376">
        <f t="shared" si="410"/>
        <v>492</v>
      </c>
      <c r="FI24" s="376">
        <v>248</v>
      </c>
      <c r="FJ24" s="376">
        <v>246</v>
      </c>
      <c r="FK24" s="376">
        <f t="shared" si="411"/>
        <v>494</v>
      </c>
      <c r="FL24" s="376">
        <v>224</v>
      </c>
      <c r="FM24" s="376">
        <v>227</v>
      </c>
      <c r="FN24" s="376">
        <f t="shared" si="412"/>
        <v>451</v>
      </c>
      <c r="FO24" s="376">
        <v>245</v>
      </c>
      <c r="FP24" s="376">
        <v>191</v>
      </c>
      <c r="FQ24" s="376">
        <f t="shared" si="413"/>
        <v>436</v>
      </c>
      <c r="FR24" s="376">
        <v>194</v>
      </c>
      <c r="FS24" s="376">
        <v>184</v>
      </c>
      <c r="FT24" s="376">
        <f t="shared" si="414"/>
        <v>378</v>
      </c>
      <c r="FU24" s="376">
        <v>185</v>
      </c>
      <c r="FV24" s="376">
        <v>148</v>
      </c>
      <c r="FW24" s="376">
        <f t="shared" si="415"/>
        <v>333</v>
      </c>
      <c r="FX24" s="376">
        <v>148</v>
      </c>
      <c r="FY24" s="376">
        <v>146</v>
      </c>
      <c r="FZ24" s="376">
        <f t="shared" si="416"/>
        <v>294</v>
      </c>
      <c r="GA24" s="376">
        <v>146</v>
      </c>
      <c r="GB24" s="376">
        <v>120</v>
      </c>
      <c r="GC24" s="376">
        <f t="shared" si="417"/>
        <v>266</v>
      </c>
      <c r="GD24" s="376">
        <v>130</v>
      </c>
      <c r="GE24" s="376">
        <v>104</v>
      </c>
      <c r="GF24" s="376">
        <f t="shared" si="418"/>
        <v>234</v>
      </c>
      <c r="GG24" s="376">
        <v>111</v>
      </c>
      <c r="GH24" s="376">
        <v>101</v>
      </c>
      <c r="GI24" s="376">
        <f t="shared" si="419"/>
        <v>212</v>
      </c>
      <c r="GJ24" s="376">
        <v>104</v>
      </c>
      <c r="GK24" s="376">
        <v>84</v>
      </c>
      <c r="GL24" s="376">
        <f t="shared" si="420"/>
        <v>188</v>
      </c>
      <c r="GM24" s="376">
        <v>91</v>
      </c>
      <c r="GN24" s="376">
        <v>67</v>
      </c>
      <c r="GO24" s="376">
        <f t="shared" si="421"/>
        <v>158</v>
      </c>
      <c r="GP24" s="376">
        <v>70</v>
      </c>
      <c r="GQ24" s="376">
        <v>78</v>
      </c>
      <c r="GR24" s="376">
        <f t="shared" si="422"/>
        <v>148</v>
      </c>
      <c r="GS24" s="376">
        <v>65</v>
      </c>
      <c r="GT24" s="376">
        <v>70</v>
      </c>
      <c r="GU24" s="376">
        <f t="shared" si="423"/>
        <v>135</v>
      </c>
      <c r="GV24" s="376">
        <v>64</v>
      </c>
      <c r="GW24" s="376">
        <v>64</v>
      </c>
      <c r="GX24" s="376">
        <f t="shared" si="424"/>
        <v>128</v>
      </c>
      <c r="GY24" s="376">
        <v>61</v>
      </c>
      <c r="GZ24" s="376">
        <v>52</v>
      </c>
      <c r="HA24" s="376">
        <f t="shared" si="425"/>
        <v>113</v>
      </c>
      <c r="HB24" s="376">
        <v>45</v>
      </c>
      <c r="HC24" s="376">
        <v>31</v>
      </c>
      <c r="HD24" s="376">
        <f t="shared" si="426"/>
        <v>76</v>
      </c>
      <c r="HE24" s="376">
        <v>36</v>
      </c>
      <c r="HF24" s="376">
        <v>33</v>
      </c>
      <c r="HG24" s="376">
        <f t="shared" si="427"/>
        <v>69</v>
      </c>
      <c r="HH24" s="376">
        <v>50</v>
      </c>
      <c r="HI24" s="376">
        <v>19</v>
      </c>
      <c r="HJ24" s="376">
        <f t="shared" si="428"/>
        <v>69</v>
      </c>
      <c r="HK24" s="376">
        <v>31</v>
      </c>
      <c r="HL24" s="376">
        <v>38</v>
      </c>
      <c r="HM24" s="376">
        <f t="shared" si="429"/>
        <v>69</v>
      </c>
      <c r="HN24" s="376">
        <v>19</v>
      </c>
      <c r="HO24" s="376">
        <v>33</v>
      </c>
      <c r="HP24" s="376">
        <f t="shared" si="430"/>
        <v>52</v>
      </c>
      <c r="HQ24" s="376">
        <v>17</v>
      </c>
      <c r="HR24" s="376">
        <v>25</v>
      </c>
      <c r="HS24" s="376">
        <f t="shared" si="431"/>
        <v>42</v>
      </c>
      <c r="HT24" s="376">
        <v>22</v>
      </c>
      <c r="HU24" s="376">
        <v>22</v>
      </c>
      <c r="HV24" s="376">
        <f t="shared" si="432"/>
        <v>44</v>
      </c>
      <c r="HW24" s="376">
        <v>15</v>
      </c>
      <c r="HX24" s="376">
        <v>23</v>
      </c>
      <c r="HY24" s="376">
        <f t="shared" si="433"/>
        <v>38</v>
      </c>
      <c r="HZ24" s="376">
        <v>6</v>
      </c>
      <c r="IA24" s="376">
        <v>10</v>
      </c>
      <c r="IB24" s="376">
        <f t="shared" si="434"/>
        <v>16</v>
      </c>
      <c r="IC24" s="376">
        <v>5</v>
      </c>
      <c r="ID24" s="376">
        <v>16</v>
      </c>
      <c r="IE24" s="376">
        <f t="shared" si="435"/>
        <v>21</v>
      </c>
      <c r="IF24" s="376">
        <v>8</v>
      </c>
      <c r="IG24" s="376">
        <v>10</v>
      </c>
      <c r="IH24" s="376">
        <f t="shared" si="436"/>
        <v>18</v>
      </c>
      <c r="II24" s="376">
        <v>7</v>
      </c>
      <c r="IJ24" s="376">
        <v>8</v>
      </c>
      <c r="IK24" s="376">
        <f t="shared" si="437"/>
        <v>15</v>
      </c>
      <c r="IL24" s="376">
        <v>12</v>
      </c>
      <c r="IM24" s="376">
        <v>8</v>
      </c>
      <c r="IN24" s="376">
        <f t="shared" si="438"/>
        <v>20</v>
      </c>
      <c r="IO24" s="376">
        <v>4</v>
      </c>
      <c r="IP24" s="376">
        <v>10</v>
      </c>
      <c r="IQ24" s="376">
        <f t="shared" si="439"/>
        <v>14</v>
      </c>
      <c r="IR24" s="376">
        <v>9</v>
      </c>
      <c r="IS24" s="376">
        <v>8</v>
      </c>
      <c r="IT24" s="376">
        <f t="shared" si="440"/>
        <v>17</v>
      </c>
      <c r="IU24" s="376">
        <v>4</v>
      </c>
      <c r="IV24" s="376">
        <v>6</v>
      </c>
      <c r="IW24" s="376">
        <f t="shared" si="441"/>
        <v>10</v>
      </c>
      <c r="IX24" s="376">
        <v>3</v>
      </c>
      <c r="IY24" s="376">
        <v>6</v>
      </c>
      <c r="IZ24" s="376">
        <f t="shared" si="442"/>
        <v>9</v>
      </c>
      <c r="JA24" s="376">
        <v>3</v>
      </c>
      <c r="JB24" s="376">
        <v>7</v>
      </c>
      <c r="JC24" s="376">
        <f t="shared" si="443"/>
        <v>10</v>
      </c>
      <c r="JD24" s="376">
        <v>5</v>
      </c>
      <c r="JE24" s="376">
        <v>2</v>
      </c>
      <c r="JF24" s="376">
        <f t="shared" si="444"/>
        <v>7</v>
      </c>
      <c r="JG24" s="376">
        <v>3</v>
      </c>
      <c r="JH24" s="376">
        <v>6</v>
      </c>
      <c r="JI24" s="376">
        <f t="shared" si="445"/>
        <v>9</v>
      </c>
      <c r="JJ24" s="376">
        <v>1</v>
      </c>
      <c r="JK24" s="376">
        <v>1</v>
      </c>
      <c r="JL24" s="376">
        <f t="shared" si="446"/>
        <v>2</v>
      </c>
      <c r="JM24" s="376">
        <v>0</v>
      </c>
      <c r="JN24" s="376">
        <v>3</v>
      </c>
      <c r="JO24" s="376">
        <f t="shared" si="447"/>
        <v>3</v>
      </c>
      <c r="JP24" s="376">
        <v>0</v>
      </c>
      <c r="JQ24" s="376">
        <v>3</v>
      </c>
      <c r="JR24" s="376">
        <f t="shared" si="448"/>
        <v>3</v>
      </c>
      <c r="JS24" s="376">
        <v>1</v>
      </c>
      <c r="JT24" s="376">
        <v>0</v>
      </c>
      <c r="JU24" s="376">
        <f t="shared" si="449"/>
        <v>1</v>
      </c>
      <c r="JV24" s="376">
        <v>1</v>
      </c>
      <c r="JW24" s="376">
        <v>1</v>
      </c>
      <c r="JX24" s="376">
        <f t="shared" si="450"/>
        <v>2</v>
      </c>
      <c r="JY24" s="376">
        <v>0</v>
      </c>
      <c r="JZ24" s="376">
        <v>0</v>
      </c>
      <c r="KA24" s="376">
        <f t="shared" si="451"/>
        <v>0</v>
      </c>
      <c r="KB24" s="376">
        <v>1</v>
      </c>
      <c r="KC24" s="376">
        <v>1</v>
      </c>
      <c r="KD24" s="376">
        <f t="shared" si="452"/>
        <v>2</v>
      </c>
      <c r="KE24" s="376">
        <v>0</v>
      </c>
      <c r="KF24" s="376">
        <v>0</v>
      </c>
      <c r="KG24" s="376">
        <f t="shared" si="453"/>
        <v>0</v>
      </c>
      <c r="KH24" s="376">
        <v>0</v>
      </c>
      <c r="KI24" s="376">
        <v>0</v>
      </c>
      <c r="KJ24" s="376">
        <f t="shared" si="454"/>
        <v>0</v>
      </c>
      <c r="KK24" s="376">
        <v>3</v>
      </c>
      <c r="KL24" s="376">
        <v>0</v>
      </c>
      <c r="KM24" s="376">
        <f t="shared" si="455"/>
        <v>3</v>
      </c>
      <c r="KN24" s="376">
        <v>0</v>
      </c>
      <c r="KO24" s="376">
        <v>0</v>
      </c>
      <c r="KP24" s="376">
        <f t="shared" si="456"/>
        <v>0</v>
      </c>
      <c r="KQ24" s="376">
        <v>0</v>
      </c>
      <c r="KR24" s="376">
        <v>1</v>
      </c>
      <c r="KS24" s="376">
        <f t="shared" si="457"/>
        <v>1</v>
      </c>
      <c r="KT24" s="376">
        <v>0</v>
      </c>
      <c r="KU24" s="376">
        <v>0</v>
      </c>
      <c r="KV24" s="376">
        <f t="shared" si="458"/>
        <v>0</v>
      </c>
      <c r="KW24" s="376">
        <v>0</v>
      </c>
      <c r="KX24" s="376">
        <v>0</v>
      </c>
      <c r="KY24" s="376">
        <f t="shared" si="459"/>
        <v>0</v>
      </c>
      <c r="KZ24" s="376">
        <v>0</v>
      </c>
      <c r="LA24" s="376">
        <v>0</v>
      </c>
      <c r="LB24" s="376">
        <f t="shared" si="460"/>
        <v>0</v>
      </c>
      <c r="LC24" s="376">
        <v>0</v>
      </c>
      <c r="LD24" s="376">
        <v>0</v>
      </c>
      <c r="LE24" s="376">
        <f t="shared" si="461"/>
        <v>0</v>
      </c>
      <c r="LF24" s="376">
        <v>0</v>
      </c>
      <c r="LG24" s="376">
        <v>0</v>
      </c>
      <c r="LH24" s="376">
        <f t="shared" si="462"/>
        <v>0</v>
      </c>
      <c r="LI24" s="376">
        <v>0</v>
      </c>
      <c r="LJ24" s="376">
        <v>0</v>
      </c>
      <c r="LK24" s="376">
        <f t="shared" si="463"/>
        <v>0</v>
      </c>
      <c r="LL24" s="376">
        <v>0</v>
      </c>
      <c r="LM24" s="376">
        <v>0</v>
      </c>
      <c r="LN24" s="376">
        <f t="shared" si="464"/>
        <v>0</v>
      </c>
      <c r="LO24" s="376">
        <v>0</v>
      </c>
      <c r="LP24" s="376">
        <v>0</v>
      </c>
      <c r="LQ24" s="376">
        <f t="shared" si="465"/>
        <v>0</v>
      </c>
      <c r="LR24" s="376">
        <v>0</v>
      </c>
      <c r="LS24" s="376">
        <v>0</v>
      </c>
      <c r="LT24" s="376">
        <f t="shared" si="466"/>
        <v>0</v>
      </c>
      <c r="LU24" s="376">
        <v>0</v>
      </c>
      <c r="LV24" s="376">
        <v>0</v>
      </c>
      <c r="LW24" s="376">
        <f t="shared" si="467"/>
        <v>0</v>
      </c>
      <c r="LX24" s="376">
        <v>0</v>
      </c>
      <c r="LY24" s="376">
        <v>0</v>
      </c>
      <c r="LZ24" s="376">
        <f t="shared" si="468"/>
        <v>0</v>
      </c>
      <c r="MA24" s="376">
        <v>0</v>
      </c>
      <c r="MB24" s="376">
        <v>0</v>
      </c>
      <c r="MC24" s="376">
        <f t="shared" si="469"/>
        <v>0</v>
      </c>
      <c r="MD24" s="376">
        <v>0</v>
      </c>
      <c r="ME24" s="376">
        <v>0</v>
      </c>
      <c r="MF24" s="376">
        <f t="shared" si="470"/>
        <v>0</v>
      </c>
      <c r="MG24" s="376">
        <v>0</v>
      </c>
      <c r="MH24" s="376">
        <v>0</v>
      </c>
      <c r="MI24" s="376">
        <f t="shared" si="471"/>
        <v>0</v>
      </c>
      <c r="MJ24" s="376">
        <v>0</v>
      </c>
      <c r="MK24" s="376">
        <v>0</v>
      </c>
      <c r="ML24" s="376">
        <f t="shared" si="472"/>
        <v>0</v>
      </c>
      <c r="MM24" s="376">
        <v>0</v>
      </c>
      <c r="MN24" s="376">
        <v>0</v>
      </c>
      <c r="MO24" s="376">
        <f t="shared" si="473"/>
        <v>0</v>
      </c>
      <c r="MP24" s="376">
        <v>0</v>
      </c>
      <c r="MQ24" s="376">
        <v>0</v>
      </c>
      <c r="MR24" s="376">
        <f t="shared" si="474"/>
        <v>0</v>
      </c>
      <c r="MS24" s="376">
        <v>0</v>
      </c>
      <c r="MT24" s="376">
        <v>0</v>
      </c>
      <c r="MU24" s="376">
        <f t="shared" si="475"/>
        <v>0</v>
      </c>
      <c r="MV24" s="376">
        <v>0</v>
      </c>
      <c r="MW24" s="376">
        <v>0</v>
      </c>
      <c r="MX24" s="376">
        <f t="shared" si="476"/>
        <v>0</v>
      </c>
      <c r="MY24" s="376">
        <v>0</v>
      </c>
      <c r="MZ24" s="376">
        <v>0</v>
      </c>
      <c r="NA24" s="545">
        <f t="shared" si="477"/>
        <v>0</v>
      </c>
      <c r="NB24" s="376">
        <v>0</v>
      </c>
      <c r="NC24" s="376">
        <v>0</v>
      </c>
      <c r="ND24" s="543">
        <f t="shared" si="478"/>
        <v>0</v>
      </c>
      <c r="NE24" s="542">
        <f t="shared" si="483"/>
        <v>14683</v>
      </c>
      <c r="NF24" s="376">
        <f t="shared" si="483"/>
        <v>14408</v>
      </c>
      <c r="NG24" s="543">
        <f t="shared" si="480"/>
        <v>29091</v>
      </c>
      <c r="NH24" s="542">
        <f t="shared" si="481"/>
        <v>1002</v>
      </c>
      <c r="NI24" s="376">
        <f t="shared" si="481"/>
        <v>905</v>
      </c>
      <c r="NJ24" s="543">
        <f t="shared" si="482"/>
        <v>1907</v>
      </c>
    </row>
    <row r="25" spans="1:374" x14ac:dyDescent="0.3">
      <c r="A25" s="541" t="s">
        <v>268</v>
      </c>
      <c r="B25" s="589" t="s">
        <v>50</v>
      </c>
      <c r="C25" s="544">
        <v>293</v>
      </c>
      <c r="D25" s="376">
        <v>274</v>
      </c>
      <c r="E25" s="376">
        <f t="shared" si="357"/>
        <v>567</v>
      </c>
      <c r="F25" s="376">
        <v>392</v>
      </c>
      <c r="G25" s="376">
        <v>369</v>
      </c>
      <c r="H25" s="376">
        <f t="shared" si="358"/>
        <v>761</v>
      </c>
      <c r="I25" s="376">
        <v>463</v>
      </c>
      <c r="J25" s="376">
        <v>440</v>
      </c>
      <c r="K25" s="376">
        <f t="shared" si="359"/>
        <v>903</v>
      </c>
      <c r="L25" s="376">
        <v>556</v>
      </c>
      <c r="M25" s="376">
        <v>513</v>
      </c>
      <c r="N25" s="376">
        <f t="shared" si="360"/>
        <v>1069</v>
      </c>
      <c r="O25" s="376">
        <v>609</v>
      </c>
      <c r="P25" s="376">
        <v>474</v>
      </c>
      <c r="Q25" s="376">
        <f t="shared" si="361"/>
        <v>1083</v>
      </c>
      <c r="R25" s="376">
        <v>627</v>
      </c>
      <c r="S25" s="376">
        <v>543</v>
      </c>
      <c r="T25" s="376">
        <f t="shared" si="362"/>
        <v>1170</v>
      </c>
      <c r="U25" s="376">
        <v>616</v>
      </c>
      <c r="V25" s="376">
        <v>599</v>
      </c>
      <c r="W25" s="376">
        <f t="shared" si="363"/>
        <v>1215</v>
      </c>
      <c r="X25" s="376">
        <v>653</v>
      </c>
      <c r="Y25" s="376">
        <v>607</v>
      </c>
      <c r="Z25" s="376">
        <f t="shared" si="364"/>
        <v>1260</v>
      </c>
      <c r="AA25" s="376">
        <v>624</v>
      </c>
      <c r="AB25" s="376">
        <v>605</v>
      </c>
      <c r="AC25" s="376">
        <f t="shared" si="365"/>
        <v>1229</v>
      </c>
      <c r="AD25" s="376">
        <v>601</v>
      </c>
      <c r="AE25" s="376">
        <v>564</v>
      </c>
      <c r="AF25" s="376">
        <f t="shared" si="366"/>
        <v>1165</v>
      </c>
      <c r="AG25" s="376">
        <v>611</v>
      </c>
      <c r="AH25" s="376">
        <v>515</v>
      </c>
      <c r="AI25" s="376">
        <f t="shared" si="367"/>
        <v>1126</v>
      </c>
      <c r="AJ25" s="376">
        <v>558</v>
      </c>
      <c r="AK25" s="376">
        <v>562</v>
      </c>
      <c r="AL25" s="376">
        <f t="shared" si="368"/>
        <v>1120</v>
      </c>
      <c r="AM25" s="376">
        <v>561</v>
      </c>
      <c r="AN25" s="376">
        <v>530</v>
      </c>
      <c r="AO25" s="376">
        <f t="shared" si="369"/>
        <v>1091</v>
      </c>
      <c r="AP25" s="376">
        <v>600</v>
      </c>
      <c r="AQ25" s="376">
        <v>537</v>
      </c>
      <c r="AR25" s="376">
        <f t="shared" si="370"/>
        <v>1137</v>
      </c>
      <c r="AS25" s="376">
        <v>650</v>
      </c>
      <c r="AT25" s="376">
        <v>572</v>
      </c>
      <c r="AU25" s="376">
        <f t="shared" si="371"/>
        <v>1222</v>
      </c>
      <c r="AV25" s="376">
        <v>577</v>
      </c>
      <c r="AW25" s="376">
        <v>536</v>
      </c>
      <c r="AX25" s="376">
        <f t="shared" si="372"/>
        <v>1113</v>
      </c>
      <c r="AY25" s="376">
        <v>549</v>
      </c>
      <c r="AZ25" s="376">
        <v>506</v>
      </c>
      <c r="BA25" s="376">
        <f t="shared" si="373"/>
        <v>1055</v>
      </c>
      <c r="BB25" s="376">
        <v>518</v>
      </c>
      <c r="BC25" s="376">
        <v>449</v>
      </c>
      <c r="BD25" s="376">
        <f t="shared" si="374"/>
        <v>967</v>
      </c>
      <c r="BE25" s="376">
        <v>536</v>
      </c>
      <c r="BF25" s="376">
        <v>470</v>
      </c>
      <c r="BG25" s="376">
        <f t="shared" si="375"/>
        <v>1006</v>
      </c>
      <c r="BH25" s="376">
        <v>592</v>
      </c>
      <c r="BI25" s="376">
        <v>501</v>
      </c>
      <c r="BJ25" s="376">
        <f t="shared" si="376"/>
        <v>1093</v>
      </c>
      <c r="BK25" s="376">
        <v>547</v>
      </c>
      <c r="BL25" s="376">
        <v>451</v>
      </c>
      <c r="BM25" s="376">
        <f t="shared" si="377"/>
        <v>998</v>
      </c>
      <c r="BN25" s="376">
        <v>516</v>
      </c>
      <c r="BO25" s="376">
        <v>504</v>
      </c>
      <c r="BP25" s="376">
        <f t="shared" si="378"/>
        <v>1020</v>
      </c>
      <c r="BQ25" s="376">
        <v>562</v>
      </c>
      <c r="BR25" s="376">
        <v>513</v>
      </c>
      <c r="BS25" s="376">
        <f t="shared" si="379"/>
        <v>1075</v>
      </c>
      <c r="BT25" s="376">
        <v>591</v>
      </c>
      <c r="BU25" s="376">
        <v>537</v>
      </c>
      <c r="BV25" s="376">
        <f t="shared" si="380"/>
        <v>1128</v>
      </c>
      <c r="BW25" s="376">
        <v>557</v>
      </c>
      <c r="BX25" s="376">
        <v>524</v>
      </c>
      <c r="BY25" s="376">
        <f t="shared" si="381"/>
        <v>1081</v>
      </c>
      <c r="BZ25" s="376">
        <v>580</v>
      </c>
      <c r="CA25" s="376">
        <v>557</v>
      </c>
      <c r="CB25" s="376">
        <f t="shared" si="382"/>
        <v>1137</v>
      </c>
      <c r="CC25" s="376">
        <v>668</v>
      </c>
      <c r="CD25" s="376">
        <v>542</v>
      </c>
      <c r="CE25" s="376">
        <f t="shared" si="383"/>
        <v>1210</v>
      </c>
      <c r="CF25" s="376">
        <v>523</v>
      </c>
      <c r="CG25" s="376">
        <v>511</v>
      </c>
      <c r="CH25" s="376">
        <f t="shared" si="384"/>
        <v>1034</v>
      </c>
      <c r="CI25" s="376">
        <v>604</v>
      </c>
      <c r="CJ25" s="376">
        <v>634</v>
      </c>
      <c r="CK25" s="376">
        <f t="shared" si="385"/>
        <v>1238</v>
      </c>
      <c r="CL25" s="376">
        <v>595</v>
      </c>
      <c r="CM25" s="376">
        <v>588</v>
      </c>
      <c r="CN25" s="376">
        <f t="shared" si="386"/>
        <v>1183</v>
      </c>
      <c r="CO25" s="376">
        <v>644</v>
      </c>
      <c r="CP25" s="376">
        <v>610</v>
      </c>
      <c r="CQ25" s="376">
        <f t="shared" si="387"/>
        <v>1254</v>
      </c>
      <c r="CR25" s="376">
        <v>655</v>
      </c>
      <c r="CS25" s="376">
        <v>664</v>
      </c>
      <c r="CT25" s="376">
        <f t="shared" si="388"/>
        <v>1319</v>
      </c>
      <c r="CU25" s="376">
        <v>607</v>
      </c>
      <c r="CV25" s="376">
        <v>632</v>
      </c>
      <c r="CW25" s="376">
        <f t="shared" si="389"/>
        <v>1239</v>
      </c>
      <c r="CX25" s="376">
        <v>622</v>
      </c>
      <c r="CY25" s="376">
        <v>640</v>
      </c>
      <c r="CZ25" s="376">
        <f t="shared" si="390"/>
        <v>1262</v>
      </c>
      <c r="DA25" s="376">
        <v>665</v>
      </c>
      <c r="DB25" s="376">
        <v>659</v>
      </c>
      <c r="DC25" s="376">
        <f t="shared" si="391"/>
        <v>1324</v>
      </c>
      <c r="DD25" s="376">
        <v>621</v>
      </c>
      <c r="DE25" s="376">
        <v>607</v>
      </c>
      <c r="DF25" s="376">
        <f t="shared" si="392"/>
        <v>1228</v>
      </c>
      <c r="DG25" s="376">
        <v>627</v>
      </c>
      <c r="DH25" s="376">
        <v>629</v>
      </c>
      <c r="DI25" s="376">
        <f t="shared" si="393"/>
        <v>1256</v>
      </c>
      <c r="DJ25" s="376">
        <v>598</v>
      </c>
      <c r="DK25" s="376">
        <v>553</v>
      </c>
      <c r="DL25" s="376">
        <f t="shared" si="394"/>
        <v>1151</v>
      </c>
      <c r="DM25" s="376">
        <v>569</v>
      </c>
      <c r="DN25" s="376">
        <v>547</v>
      </c>
      <c r="DO25" s="376">
        <f t="shared" si="395"/>
        <v>1116</v>
      </c>
      <c r="DP25" s="376">
        <v>572</v>
      </c>
      <c r="DQ25" s="376">
        <v>533</v>
      </c>
      <c r="DR25" s="376">
        <f t="shared" si="396"/>
        <v>1105</v>
      </c>
      <c r="DS25" s="376">
        <v>579</v>
      </c>
      <c r="DT25" s="376">
        <v>566</v>
      </c>
      <c r="DU25" s="376">
        <f t="shared" si="397"/>
        <v>1145</v>
      </c>
      <c r="DV25" s="376">
        <v>576</v>
      </c>
      <c r="DW25" s="376">
        <v>589</v>
      </c>
      <c r="DX25" s="376">
        <f t="shared" si="398"/>
        <v>1165</v>
      </c>
      <c r="DY25" s="376">
        <v>562</v>
      </c>
      <c r="DZ25" s="376">
        <v>507</v>
      </c>
      <c r="EA25" s="376">
        <f t="shared" si="399"/>
        <v>1069</v>
      </c>
      <c r="EB25" s="376">
        <v>548</v>
      </c>
      <c r="EC25" s="376">
        <v>597</v>
      </c>
      <c r="ED25" s="376">
        <f t="shared" si="400"/>
        <v>1145</v>
      </c>
      <c r="EE25" s="376">
        <v>540</v>
      </c>
      <c r="EF25" s="376">
        <v>550</v>
      </c>
      <c r="EG25" s="376">
        <f t="shared" si="401"/>
        <v>1090</v>
      </c>
      <c r="EH25" s="376">
        <v>479</v>
      </c>
      <c r="EI25" s="376">
        <v>507</v>
      </c>
      <c r="EJ25" s="376">
        <f t="shared" si="402"/>
        <v>986</v>
      </c>
      <c r="EK25" s="376">
        <v>466</v>
      </c>
      <c r="EL25" s="376">
        <v>456</v>
      </c>
      <c r="EM25" s="376">
        <f t="shared" si="403"/>
        <v>922</v>
      </c>
      <c r="EN25" s="376">
        <v>437</v>
      </c>
      <c r="EO25" s="376">
        <v>442</v>
      </c>
      <c r="EP25" s="376">
        <f t="shared" si="404"/>
        <v>879</v>
      </c>
      <c r="EQ25" s="376">
        <v>408</v>
      </c>
      <c r="ER25" s="376">
        <v>446</v>
      </c>
      <c r="ES25" s="376">
        <f t="shared" si="405"/>
        <v>854</v>
      </c>
      <c r="ET25" s="376">
        <v>384</v>
      </c>
      <c r="EU25" s="376">
        <v>451</v>
      </c>
      <c r="EV25" s="376">
        <f t="shared" si="406"/>
        <v>835</v>
      </c>
      <c r="EW25" s="376">
        <v>416</v>
      </c>
      <c r="EX25" s="376">
        <v>451</v>
      </c>
      <c r="EY25" s="376">
        <f t="shared" si="407"/>
        <v>867</v>
      </c>
      <c r="EZ25" s="376">
        <v>401</v>
      </c>
      <c r="FA25" s="376">
        <v>446</v>
      </c>
      <c r="FB25" s="376">
        <f t="shared" si="408"/>
        <v>847</v>
      </c>
      <c r="FC25" s="376">
        <v>351</v>
      </c>
      <c r="FD25" s="376">
        <v>418</v>
      </c>
      <c r="FE25" s="376">
        <f t="shared" si="409"/>
        <v>769</v>
      </c>
      <c r="FF25" s="376">
        <v>396</v>
      </c>
      <c r="FG25" s="376">
        <v>435</v>
      </c>
      <c r="FH25" s="376">
        <f t="shared" si="410"/>
        <v>831</v>
      </c>
      <c r="FI25" s="376">
        <v>335</v>
      </c>
      <c r="FJ25" s="376">
        <v>401</v>
      </c>
      <c r="FK25" s="376">
        <f t="shared" si="411"/>
        <v>736</v>
      </c>
      <c r="FL25" s="376">
        <v>342</v>
      </c>
      <c r="FM25" s="376">
        <v>401</v>
      </c>
      <c r="FN25" s="376">
        <f t="shared" si="412"/>
        <v>743</v>
      </c>
      <c r="FO25" s="376">
        <v>390</v>
      </c>
      <c r="FP25" s="376">
        <v>440</v>
      </c>
      <c r="FQ25" s="376">
        <f t="shared" si="413"/>
        <v>830</v>
      </c>
      <c r="FR25" s="376">
        <v>352</v>
      </c>
      <c r="FS25" s="376">
        <v>407</v>
      </c>
      <c r="FT25" s="376">
        <f t="shared" si="414"/>
        <v>759</v>
      </c>
      <c r="FU25" s="376">
        <v>366</v>
      </c>
      <c r="FV25" s="376">
        <v>439</v>
      </c>
      <c r="FW25" s="376">
        <f t="shared" si="415"/>
        <v>805</v>
      </c>
      <c r="FX25" s="376">
        <v>298</v>
      </c>
      <c r="FY25" s="376">
        <v>443</v>
      </c>
      <c r="FZ25" s="376">
        <f t="shared" si="416"/>
        <v>741</v>
      </c>
      <c r="GA25" s="376">
        <v>356</v>
      </c>
      <c r="GB25" s="376">
        <v>485</v>
      </c>
      <c r="GC25" s="376">
        <f t="shared" si="417"/>
        <v>841</v>
      </c>
      <c r="GD25" s="376">
        <v>335</v>
      </c>
      <c r="GE25" s="376">
        <v>432</v>
      </c>
      <c r="GF25" s="376">
        <f t="shared" si="418"/>
        <v>767</v>
      </c>
      <c r="GG25" s="376">
        <v>303</v>
      </c>
      <c r="GH25" s="376">
        <v>472</v>
      </c>
      <c r="GI25" s="376">
        <f t="shared" si="419"/>
        <v>775</v>
      </c>
      <c r="GJ25" s="376">
        <v>345</v>
      </c>
      <c r="GK25" s="376">
        <v>442</v>
      </c>
      <c r="GL25" s="376">
        <f t="shared" si="420"/>
        <v>787</v>
      </c>
      <c r="GM25" s="376">
        <v>291</v>
      </c>
      <c r="GN25" s="376">
        <v>405</v>
      </c>
      <c r="GO25" s="376">
        <f t="shared" si="421"/>
        <v>696</v>
      </c>
      <c r="GP25" s="376">
        <v>306</v>
      </c>
      <c r="GQ25" s="376">
        <v>344</v>
      </c>
      <c r="GR25" s="376">
        <f t="shared" si="422"/>
        <v>650</v>
      </c>
      <c r="GS25" s="376">
        <v>309</v>
      </c>
      <c r="GT25" s="376">
        <v>340</v>
      </c>
      <c r="GU25" s="376">
        <f t="shared" si="423"/>
        <v>649</v>
      </c>
      <c r="GV25" s="376">
        <v>308</v>
      </c>
      <c r="GW25" s="376">
        <v>330</v>
      </c>
      <c r="GX25" s="376">
        <f t="shared" si="424"/>
        <v>638</v>
      </c>
      <c r="GY25" s="376">
        <v>274</v>
      </c>
      <c r="GZ25" s="376">
        <v>244</v>
      </c>
      <c r="HA25" s="376">
        <f t="shared" si="425"/>
        <v>518</v>
      </c>
      <c r="HB25" s="376">
        <v>219</v>
      </c>
      <c r="HC25" s="376">
        <v>198</v>
      </c>
      <c r="HD25" s="376">
        <f t="shared" si="426"/>
        <v>417</v>
      </c>
      <c r="HE25" s="376">
        <v>228</v>
      </c>
      <c r="HF25" s="376">
        <v>165</v>
      </c>
      <c r="HG25" s="376">
        <f t="shared" si="427"/>
        <v>393</v>
      </c>
      <c r="HH25" s="376">
        <v>212</v>
      </c>
      <c r="HI25" s="376">
        <v>152</v>
      </c>
      <c r="HJ25" s="376">
        <f t="shared" si="428"/>
        <v>364</v>
      </c>
      <c r="HK25" s="376">
        <v>151</v>
      </c>
      <c r="HL25" s="376">
        <v>92</v>
      </c>
      <c r="HM25" s="376">
        <f t="shared" si="429"/>
        <v>243</v>
      </c>
      <c r="HN25" s="376">
        <v>138</v>
      </c>
      <c r="HO25" s="376">
        <v>96</v>
      </c>
      <c r="HP25" s="376">
        <f t="shared" si="430"/>
        <v>234</v>
      </c>
      <c r="HQ25" s="376">
        <v>105</v>
      </c>
      <c r="HR25" s="376">
        <v>88</v>
      </c>
      <c r="HS25" s="376">
        <f t="shared" si="431"/>
        <v>193</v>
      </c>
      <c r="HT25" s="376">
        <v>81</v>
      </c>
      <c r="HU25" s="376">
        <v>85</v>
      </c>
      <c r="HV25" s="376">
        <f t="shared" si="432"/>
        <v>166</v>
      </c>
      <c r="HW25" s="376">
        <v>50</v>
      </c>
      <c r="HX25" s="376">
        <v>51</v>
      </c>
      <c r="HY25" s="376">
        <f t="shared" si="433"/>
        <v>101</v>
      </c>
      <c r="HZ25" s="376">
        <v>58</v>
      </c>
      <c r="IA25" s="376">
        <v>45</v>
      </c>
      <c r="IB25" s="376">
        <f t="shared" si="434"/>
        <v>103</v>
      </c>
      <c r="IC25" s="376">
        <v>31</v>
      </c>
      <c r="ID25" s="376">
        <v>42</v>
      </c>
      <c r="IE25" s="376">
        <f t="shared" si="435"/>
        <v>73</v>
      </c>
      <c r="IF25" s="376">
        <v>29</v>
      </c>
      <c r="IG25" s="376">
        <v>32</v>
      </c>
      <c r="IH25" s="376">
        <f t="shared" si="436"/>
        <v>61</v>
      </c>
      <c r="II25" s="376">
        <v>27</v>
      </c>
      <c r="IJ25" s="376">
        <v>48</v>
      </c>
      <c r="IK25" s="376">
        <f t="shared" si="437"/>
        <v>75</v>
      </c>
      <c r="IL25" s="376">
        <v>28</v>
      </c>
      <c r="IM25" s="376">
        <v>35</v>
      </c>
      <c r="IN25" s="376">
        <f t="shared" si="438"/>
        <v>63</v>
      </c>
      <c r="IO25" s="376">
        <v>18</v>
      </c>
      <c r="IP25" s="376">
        <v>31</v>
      </c>
      <c r="IQ25" s="376">
        <f t="shared" si="439"/>
        <v>49</v>
      </c>
      <c r="IR25" s="376">
        <v>23</v>
      </c>
      <c r="IS25" s="376">
        <v>23</v>
      </c>
      <c r="IT25" s="376">
        <f t="shared" si="440"/>
        <v>46</v>
      </c>
      <c r="IU25" s="376">
        <v>17</v>
      </c>
      <c r="IV25" s="376">
        <v>16</v>
      </c>
      <c r="IW25" s="376">
        <f t="shared" si="441"/>
        <v>33</v>
      </c>
      <c r="IX25" s="376">
        <v>17</v>
      </c>
      <c r="IY25" s="376">
        <v>22</v>
      </c>
      <c r="IZ25" s="376">
        <f t="shared" si="442"/>
        <v>39</v>
      </c>
      <c r="JA25" s="376">
        <v>17</v>
      </c>
      <c r="JB25" s="376">
        <v>17</v>
      </c>
      <c r="JC25" s="376">
        <f t="shared" si="443"/>
        <v>34</v>
      </c>
      <c r="JD25" s="376">
        <v>9</v>
      </c>
      <c r="JE25" s="376">
        <v>15</v>
      </c>
      <c r="JF25" s="376">
        <f t="shared" si="444"/>
        <v>24</v>
      </c>
      <c r="JG25" s="376">
        <v>6</v>
      </c>
      <c r="JH25" s="376">
        <v>9</v>
      </c>
      <c r="JI25" s="376">
        <f t="shared" si="445"/>
        <v>15</v>
      </c>
      <c r="JJ25" s="376">
        <v>5</v>
      </c>
      <c r="JK25" s="376">
        <v>8</v>
      </c>
      <c r="JL25" s="376">
        <f t="shared" si="446"/>
        <v>13</v>
      </c>
      <c r="JM25" s="376">
        <v>7</v>
      </c>
      <c r="JN25" s="376">
        <v>9</v>
      </c>
      <c r="JO25" s="376">
        <f t="shared" si="447"/>
        <v>16</v>
      </c>
      <c r="JP25" s="376">
        <v>1</v>
      </c>
      <c r="JQ25" s="376">
        <v>8</v>
      </c>
      <c r="JR25" s="376">
        <f t="shared" si="448"/>
        <v>9</v>
      </c>
      <c r="JS25" s="376">
        <v>2</v>
      </c>
      <c r="JT25" s="376">
        <v>2</v>
      </c>
      <c r="JU25" s="376">
        <f t="shared" si="449"/>
        <v>4</v>
      </c>
      <c r="JV25" s="376">
        <v>4</v>
      </c>
      <c r="JW25" s="376">
        <v>5</v>
      </c>
      <c r="JX25" s="376">
        <f t="shared" si="450"/>
        <v>9</v>
      </c>
      <c r="JY25" s="376">
        <v>1</v>
      </c>
      <c r="JZ25" s="376">
        <v>1</v>
      </c>
      <c r="KA25" s="376">
        <f t="shared" si="451"/>
        <v>2</v>
      </c>
      <c r="KB25" s="376">
        <v>1</v>
      </c>
      <c r="KC25" s="376">
        <v>0</v>
      </c>
      <c r="KD25" s="376">
        <f t="shared" si="452"/>
        <v>1</v>
      </c>
      <c r="KE25" s="376">
        <v>0</v>
      </c>
      <c r="KF25" s="376">
        <v>1</v>
      </c>
      <c r="KG25" s="376">
        <f t="shared" si="453"/>
        <v>1</v>
      </c>
      <c r="KH25" s="376">
        <v>1</v>
      </c>
      <c r="KI25" s="376">
        <v>1</v>
      </c>
      <c r="KJ25" s="376">
        <f t="shared" si="454"/>
        <v>2</v>
      </c>
      <c r="KK25" s="376">
        <v>1</v>
      </c>
      <c r="KL25" s="376">
        <v>0</v>
      </c>
      <c r="KM25" s="376">
        <f t="shared" si="455"/>
        <v>1</v>
      </c>
      <c r="KN25" s="376">
        <v>0</v>
      </c>
      <c r="KO25" s="376">
        <v>1</v>
      </c>
      <c r="KP25" s="376">
        <f t="shared" si="456"/>
        <v>1</v>
      </c>
      <c r="KQ25" s="376">
        <v>0</v>
      </c>
      <c r="KR25" s="376">
        <v>1</v>
      </c>
      <c r="KS25" s="376">
        <f t="shared" si="457"/>
        <v>1</v>
      </c>
      <c r="KT25" s="376">
        <v>0</v>
      </c>
      <c r="KU25" s="376">
        <v>0</v>
      </c>
      <c r="KV25" s="376">
        <f t="shared" si="458"/>
        <v>0</v>
      </c>
      <c r="KW25" s="376">
        <v>0</v>
      </c>
      <c r="KX25" s="376">
        <v>0</v>
      </c>
      <c r="KY25" s="376">
        <f t="shared" si="459"/>
        <v>0</v>
      </c>
      <c r="KZ25" s="376">
        <v>0</v>
      </c>
      <c r="LA25" s="376">
        <v>0</v>
      </c>
      <c r="LB25" s="376">
        <f t="shared" si="460"/>
        <v>0</v>
      </c>
      <c r="LC25" s="376">
        <v>0</v>
      </c>
      <c r="LD25" s="376">
        <v>0</v>
      </c>
      <c r="LE25" s="376">
        <f t="shared" si="461"/>
        <v>0</v>
      </c>
      <c r="LF25" s="376">
        <v>0</v>
      </c>
      <c r="LG25" s="376">
        <v>0</v>
      </c>
      <c r="LH25" s="376">
        <f t="shared" si="462"/>
        <v>0</v>
      </c>
      <c r="LI25" s="376">
        <v>0</v>
      </c>
      <c r="LJ25" s="376">
        <v>0</v>
      </c>
      <c r="LK25" s="376">
        <f t="shared" si="463"/>
        <v>0</v>
      </c>
      <c r="LL25" s="376">
        <v>0</v>
      </c>
      <c r="LM25" s="376">
        <v>0</v>
      </c>
      <c r="LN25" s="376">
        <f t="shared" si="464"/>
        <v>0</v>
      </c>
      <c r="LO25" s="376">
        <v>0</v>
      </c>
      <c r="LP25" s="376">
        <v>0</v>
      </c>
      <c r="LQ25" s="376">
        <f t="shared" si="465"/>
        <v>0</v>
      </c>
      <c r="LR25" s="376">
        <v>0</v>
      </c>
      <c r="LS25" s="376">
        <v>0</v>
      </c>
      <c r="LT25" s="376">
        <f t="shared" si="466"/>
        <v>0</v>
      </c>
      <c r="LU25" s="376">
        <v>0</v>
      </c>
      <c r="LV25" s="376">
        <v>0</v>
      </c>
      <c r="LW25" s="376">
        <f t="shared" si="467"/>
        <v>0</v>
      </c>
      <c r="LX25" s="376">
        <v>0</v>
      </c>
      <c r="LY25" s="376">
        <v>0</v>
      </c>
      <c r="LZ25" s="376">
        <f t="shared" si="468"/>
        <v>0</v>
      </c>
      <c r="MA25" s="376">
        <v>0</v>
      </c>
      <c r="MB25" s="376">
        <v>0</v>
      </c>
      <c r="MC25" s="376">
        <f t="shared" si="469"/>
        <v>0</v>
      </c>
      <c r="MD25" s="376">
        <v>0</v>
      </c>
      <c r="ME25" s="376">
        <v>0</v>
      </c>
      <c r="MF25" s="376">
        <f t="shared" si="470"/>
        <v>0</v>
      </c>
      <c r="MG25" s="376">
        <v>0</v>
      </c>
      <c r="MH25" s="376">
        <v>0</v>
      </c>
      <c r="MI25" s="376">
        <f t="shared" si="471"/>
        <v>0</v>
      </c>
      <c r="MJ25" s="376">
        <v>0</v>
      </c>
      <c r="MK25" s="376">
        <v>0</v>
      </c>
      <c r="ML25" s="376">
        <f t="shared" si="472"/>
        <v>0</v>
      </c>
      <c r="MM25" s="376">
        <v>0</v>
      </c>
      <c r="MN25" s="376">
        <v>0</v>
      </c>
      <c r="MO25" s="376">
        <f t="shared" si="473"/>
        <v>0</v>
      </c>
      <c r="MP25" s="376">
        <v>0</v>
      </c>
      <c r="MQ25" s="376">
        <v>0</v>
      </c>
      <c r="MR25" s="376">
        <f t="shared" si="474"/>
        <v>0</v>
      </c>
      <c r="MS25" s="376">
        <v>0</v>
      </c>
      <c r="MT25" s="376">
        <v>0</v>
      </c>
      <c r="MU25" s="376">
        <f t="shared" si="475"/>
        <v>0</v>
      </c>
      <c r="MV25" s="376">
        <v>0</v>
      </c>
      <c r="MW25" s="376">
        <v>0</v>
      </c>
      <c r="MX25" s="376">
        <f t="shared" si="476"/>
        <v>0</v>
      </c>
      <c r="MY25" s="376">
        <v>0</v>
      </c>
      <c r="MZ25" s="376">
        <v>0</v>
      </c>
      <c r="NA25" s="545">
        <f t="shared" si="477"/>
        <v>0</v>
      </c>
      <c r="NB25" s="376">
        <v>0</v>
      </c>
      <c r="NC25" s="376">
        <v>0</v>
      </c>
      <c r="ND25" s="543">
        <f t="shared" si="478"/>
        <v>0</v>
      </c>
      <c r="NE25" s="542">
        <f t="shared" si="483"/>
        <v>36049</v>
      </c>
      <c r="NF25" s="376">
        <f t="shared" si="483"/>
        <v>35786</v>
      </c>
      <c r="NG25" s="543">
        <f t="shared" si="480"/>
        <v>71835</v>
      </c>
      <c r="NH25" s="542">
        <f t="shared" si="481"/>
        <v>2940</v>
      </c>
      <c r="NI25" s="376">
        <f t="shared" si="481"/>
        <v>2613</v>
      </c>
      <c r="NJ25" s="543">
        <f t="shared" si="482"/>
        <v>5553</v>
      </c>
    </row>
    <row r="26" spans="1:374" x14ac:dyDescent="0.3">
      <c r="A26" s="541" t="s">
        <v>269</v>
      </c>
      <c r="B26" s="589" t="s">
        <v>52</v>
      </c>
      <c r="C26" s="544">
        <v>114</v>
      </c>
      <c r="D26" s="376">
        <v>95</v>
      </c>
      <c r="E26" s="376">
        <f t="shared" si="357"/>
        <v>209</v>
      </c>
      <c r="F26" s="376">
        <v>137</v>
      </c>
      <c r="G26" s="376">
        <v>163</v>
      </c>
      <c r="H26" s="376">
        <f t="shared" si="358"/>
        <v>300</v>
      </c>
      <c r="I26" s="376">
        <v>156</v>
      </c>
      <c r="J26" s="376">
        <v>170</v>
      </c>
      <c r="K26" s="376">
        <f t="shared" si="359"/>
        <v>326</v>
      </c>
      <c r="L26" s="376">
        <v>219</v>
      </c>
      <c r="M26" s="376">
        <v>167</v>
      </c>
      <c r="N26" s="376">
        <f t="shared" si="360"/>
        <v>386</v>
      </c>
      <c r="O26" s="376">
        <v>194</v>
      </c>
      <c r="P26" s="376">
        <v>178</v>
      </c>
      <c r="Q26" s="376">
        <f t="shared" si="361"/>
        <v>372</v>
      </c>
      <c r="R26" s="376">
        <v>194</v>
      </c>
      <c r="S26" s="376">
        <v>175</v>
      </c>
      <c r="T26" s="376">
        <f t="shared" si="362"/>
        <v>369</v>
      </c>
      <c r="U26" s="376">
        <v>203</v>
      </c>
      <c r="V26" s="376">
        <v>204</v>
      </c>
      <c r="W26" s="376">
        <f t="shared" si="363"/>
        <v>407</v>
      </c>
      <c r="X26" s="376">
        <v>221</v>
      </c>
      <c r="Y26" s="376">
        <v>209</v>
      </c>
      <c r="Z26" s="376">
        <f t="shared" si="364"/>
        <v>430</v>
      </c>
      <c r="AA26" s="376">
        <v>203</v>
      </c>
      <c r="AB26" s="376">
        <v>202</v>
      </c>
      <c r="AC26" s="376">
        <f t="shared" si="365"/>
        <v>405</v>
      </c>
      <c r="AD26" s="376">
        <v>210</v>
      </c>
      <c r="AE26" s="376">
        <v>198</v>
      </c>
      <c r="AF26" s="376">
        <f t="shared" si="366"/>
        <v>408</v>
      </c>
      <c r="AG26" s="376">
        <v>207</v>
      </c>
      <c r="AH26" s="376">
        <v>183</v>
      </c>
      <c r="AI26" s="376">
        <f t="shared" si="367"/>
        <v>390</v>
      </c>
      <c r="AJ26" s="376">
        <v>181</v>
      </c>
      <c r="AK26" s="376">
        <v>172</v>
      </c>
      <c r="AL26" s="376">
        <f t="shared" si="368"/>
        <v>353</v>
      </c>
      <c r="AM26" s="376">
        <v>204</v>
      </c>
      <c r="AN26" s="376">
        <v>193</v>
      </c>
      <c r="AO26" s="376">
        <f t="shared" si="369"/>
        <v>397</v>
      </c>
      <c r="AP26" s="376">
        <v>180</v>
      </c>
      <c r="AQ26" s="376">
        <v>162</v>
      </c>
      <c r="AR26" s="376">
        <f t="shared" si="370"/>
        <v>342</v>
      </c>
      <c r="AS26" s="376">
        <v>223</v>
      </c>
      <c r="AT26" s="376">
        <v>194</v>
      </c>
      <c r="AU26" s="376">
        <f t="shared" si="371"/>
        <v>417</v>
      </c>
      <c r="AV26" s="376">
        <v>192</v>
      </c>
      <c r="AW26" s="376">
        <v>176</v>
      </c>
      <c r="AX26" s="376">
        <f t="shared" si="372"/>
        <v>368</v>
      </c>
      <c r="AY26" s="376">
        <v>184</v>
      </c>
      <c r="AZ26" s="376">
        <v>169</v>
      </c>
      <c r="BA26" s="376">
        <f t="shared" si="373"/>
        <v>353</v>
      </c>
      <c r="BB26" s="376">
        <v>179</v>
      </c>
      <c r="BC26" s="376">
        <v>158</v>
      </c>
      <c r="BD26" s="376">
        <f t="shared" si="374"/>
        <v>337</v>
      </c>
      <c r="BE26" s="376">
        <v>203</v>
      </c>
      <c r="BF26" s="376">
        <v>187</v>
      </c>
      <c r="BG26" s="376">
        <f t="shared" si="375"/>
        <v>390</v>
      </c>
      <c r="BH26" s="376">
        <v>204</v>
      </c>
      <c r="BI26" s="376">
        <v>175</v>
      </c>
      <c r="BJ26" s="376">
        <f t="shared" si="376"/>
        <v>379</v>
      </c>
      <c r="BK26" s="376">
        <v>191</v>
      </c>
      <c r="BL26" s="376">
        <v>182</v>
      </c>
      <c r="BM26" s="376">
        <f t="shared" si="377"/>
        <v>373</v>
      </c>
      <c r="BN26" s="376">
        <v>199</v>
      </c>
      <c r="BO26" s="376">
        <v>192</v>
      </c>
      <c r="BP26" s="376">
        <f t="shared" si="378"/>
        <v>391</v>
      </c>
      <c r="BQ26" s="376">
        <v>210</v>
      </c>
      <c r="BR26" s="376">
        <v>220</v>
      </c>
      <c r="BS26" s="376">
        <f t="shared" si="379"/>
        <v>430</v>
      </c>
      <c r="BT26" s="376">
        <v>239</v>
      </c>
      <c r="BU26" s="376">
        <v>219</v>
      </c>
      <c r="BV26" s="376">
        <f t="shared" si="380"/>
        <v>458</v>
      </c>
      <c r="BW26" s="376">
        <v>214</v>
      </c>
      <c r="BX26" s="376">
        <v>194</v>
      </c>
      <c r="BY26" s="376">
        <f t="shared" si="381"/>
        <v>408</v>
      </c>
      <c r="BZ26" s="376">
        <v>213</v>
      </c>
      <c r="CA26" s="376">
        <v>202</v>
      </c>
      <c r="CB26" s="376">
        <f t="shared" si="382"/>
        <v>415</v>
      </c>
      <c r="CC26" s="376">
        <v>241</v>
      </c>
      <c r="CD26" s="376">
        <v>227</v>
      </c>
      <c r="CE26" s="376">
        <f t="shared" si="383"/>
        <v>468</v>
      </c>
      <c r="CF26" s="376">
        <v>214</v>
      </c>
      <c r="CG26" s="376">
        <v>167</v>
      </c>
      <c r="CH26" s="376">
        <f t="shared" si="384"/>
        <v>381</v>
      </c>
      <c r="CI26" s="376">
        <v>222</v>
      </c>
      <c r="CJ26" s="376">
        <v>209</v>
      </c>
      <c r="CK26" s="376">
        <f t="shared" si="385"/>
        <v>431</v>
      </c>
      <c r="CL26" s="376">
        <v>191</v>
      </c>
      <c r="CM26" s="376">
        <v>216</v>
      </c>
      <c r="CN26" s="376">
        <f t="shared" si="386"/>
        <v>407</v>
      </c>
      <c r="CO26" s="376">
        <v>231</v>
      </c>
      <c r="CP26" s="376">
        <v>239</v>
      </c>
      <c r="CQ26" s="376">
        <f t="shared" si="387"/>
        <v>470</v>
      </c>
      <c r="CR26" s="376">
        <v>229</v>
      </c>
      <c r="CS26" s="376">
        <v>241</v>
      </c>
      <c r="CT26" s="376">
        <f t="shared" si="388"/>
        <v>470</v>
      </c>
      <c r="CU26" s="376">
        <v>228</v>
      </c>
      <c r="CV26" s="376">
        <v>194</v>
      </c>
      <c r="CW26" s="376">
        <f t="shared" si="389"/>
        <v>422</v>
      </c>
      <c r="CX26" s="376">
        <v>191</v>
      </c>
      <c r="CY26" s="376">
        <v>197</v>
      </c>
      <c r="CZ26" s="376">
        <f t="shared" si="390"/>
        <v>388</v>
      </c>
      <c r="DA26" s="376">
        <v>216</v>
      </c>
      <c r="DB26" s="376">
        <v>213</v>
      </c>
      <c r="DC26" s="376">
        <f t="shared" si="391"/>
        <v>429</v>
      </c>
      <c r="DD26" s="376">
        <v>202</v>
      </c>
      <c r="DE26" s="376">
        <v>196</v>
      </c>
      <c r="DF26" s="376">
        <f t="shared" si="392"/>
        <v>398</v>
      </c>
      <c r="DG26" s="376">
        <v>218</v>
      </c>
      <c r="DH26" s="376">
        <v>214</v>
      </c>
      <c r="DI26" s="376">
        <f t="shared" si="393"/>
        <v>432</v>
      </c>
      <c r="DJ26" s="376">
        <v>199</v>
      </c>
      <c r="DK26" s="376">
        <v>191</v>
      </c>
      <c r="DL26" s="376">
        <f t="shared" si="394"/>
        <v>390</v>
      </c>
      <c r="DM26" s="376">
        <v>159</v>
      </c>
      <c r="DN26" s="376">
        <v>155</v>
      </c>
      <c r="DO26" s="376">
        <f t="shared" si="395"/>
        <v>314</v>
      </c>
      <c r="DP26" s="376">
        <v>216</v>
      </c>
      <c r="DQ26" s="376">
        <v>162</v>
      </c>
      <c r="DR26" s="376">
        <f t="shared" si="396"/>
        <v>378</v>
      </c>
      <c r="DS26" s="376">
        <v>188</v>
      </c>
      <c r="DT26" s="376">
        <v>160</v>
      </c>
      <c r="DU26" s="376">
        <f t="shared" si="397"/>
        <v>348</v>
      </c>
      <c r="DV26" s="376">
        <v>166</v>
      </c>
      <c r="DW26" s="376">
        <v>182</v>
      </c>
      <c r="DX26" s="376">
        <f t="shared" si="398"/>
        <v>348</v>
      </c>
      <c r="DY26" s="376">
        <v>192</v>
      </c>
      <c r="DZ26" s="376">
        <v>201</v>
      </c>
      <c r="EA26" s="376">
        <f t="shared" si="399"/>
        <v>393</v>
      </c>
      <c r="EB26" s="376">
        <v>188</v>
      </c>
      <c r="EC26" s="376">
        <v>190</v>
      </c>
      <c r="ED26" s="376">
        <f t="shared" si="400"/>
        <v>378</v>
      </c>
      <c r="EE26" s="376">
        <v>198</v>
      </c>
      <c r="EF26" s="376">
        <v>197</v>
      </c>
      <c r="EG26" s="376">
        <f t="shared" si="401"/>
        <v>395</v>
      </c>
      <c r="EH26" s="376">
        <v>197</v>
      </c>
      <c r="EI26" s="376">
        <v>163</v>
      </c>
      <c r="EJ26" s="376">
        <f t="shared" si="402"/>
        <v>360</v>
      </c>
      <c r="EK26" s="376">
        <v>190</v>
      </c>
      <c r="EL26" s="376">
        <v>190</v>
      </c>
      <c r="EM26" s="376">
        <f t="shared" si="403"/>
        <v>380</v>
      </c>
      <c r="EN26" s="376">
        <v>168</v>
      </c>
      <c r="EO26" s="376">
        <v>172</v>
      </c>
      <c r="EP26" s="376">
        <f t="shared" si="404"/>
        <v>340</v>
      </c>
      <c r="EQ26" s="376">
        <v>158</v>
      </c>
      <c r="ER26" s="376">
        <v>194</v>
      </c>
      <c r="ES26" s="376">
        <f t="shared" si="405"/>
        <v>352</v>
      </c>
      <c r="ET26" s="376">
        <v>168</v>
      </c>
      <c r="EU26" s="376">
        <v>157</v>
      </c>
      <c r="EV26" s="376">
        <f t="shared" si="406"/>
        <v>325</v>
      </c>
      <c r="EW26" s="376">
        <v>146</v>
      </c>
      <c r="EX26" s="376">
        <v>171</v>
      </c>
      <c r="EY26" s="376">
        <f t="shared" si="407"/>
        <v>317</v>
      </c>
      <c r="EZ26" s="376">
        <v>140</v>
      </c>
      <c r="FA26" s="376">
        <v>186</v>
      </c>
      <c r="FB26" s="376">
        <f t="shared" si="408"/>
        <v>326</v>
      </c>
      <c r="FC26" s="376">
        <v>128</v>
      </c>
      <c r="FD26" s="376">
        <v>152</v>
      </c>
      <c r="FE26" s="376">
        <f t="shared" si="409"/>
        <v>280</v>
      </c>
      <c r="FF26" s="376">
        <v>135</v>
      </c>
      <c r="FG26" s="376">
        <v>162</v>
      </c>
      <c r="FH26" s="376">
        <f t="shared" si="410"/>
        <v>297</v>
      </c>
      <c r="FI26" s="376">
        <v>143</v>
      </c>
      <c r="FJ26" s="376">
        <v>190</v>
      </c>
      <c r="FK26" s="376">
        <f t="shared" si="411"/>
        <v>333</v>
      </c>
      <c r="FL26" s="376">
        <v>141</v>
      </c>
      <c r="FM26" s="376">
        <v>152</v>
      </c>
      <c r="FN26" s="376">
        <f t="shared" si="412"/>
        <v>293</v>
      </c>
      <c r="FO26" s="376">
        <v>160</v>
      </c>
      <c r="FP26" s="376">
        <v>194</v>
      </c>
      <c r="FQ26" s="376">
        <f t="shared" si="413"/>
        <v>354</v>
      </c>
      <c r="FR26" s="376">
        <v>128</v>
      </c>
      <c r="FS26" s="376">
        <v>154</v>
      </c>
      <c r="FT26" s="376">
        <f t="shared" si="414"/>
        <v>282</v>
      </c>
      <c r="FU26" s="376">
        <v>152</v>
      </c>
      <c r="FV26" s="376">
        <v>159</v>
      </c>
      <c r="FW26" s="376">
        <f t="shared" si="415"/>
        <v>311</v>
      </c>
      <c r="FX26" s="376">
        <v>118</v>
      </c>
      <c r="FY26" s="376">
        <v>137</v>
      </c>
      <c r="FZ26" s="376">
        <f t="shared" si="416"/>
        <v>255</v>
      </c>
      <c r="GA26" s="376">
        <v>134</v>
      </c>
      <c r="GB26" s="376">
        <v>160</v>
      </c>
      <c r="GC26" s="376">
        <f t="shared" si="417"/>
        <v>294</v>
      </c>
      <c r="GD26" s="376">
        <v>128</v>
      </c>
      <c r="GE26" s="376">
        <v>116</v>
      </c>
      <c r="GF26" s="376">
        <f t="shared" si="418"/>
        <v>244</v>
      </c>
      <c r="GG26" s="376">
        <v>110</v>
      </c>
      <c r="GH26" s="376">
        <v>117</v>
      </c>
      <c r="GI26" s="376">
        <f t="shared" si="419"/>
        <v>227</v>
      </c>
      <c r="GJ26" s="376">
        <v>104</v>
      </c>
      <c r="GK26" s="376">
        <v>114</v>
      </c>
      <c r="GL26" s="376">
        <f t="shared" si="420"/>
        <v>218</v>
      </c>
      <c r="GM26" s="376">
        <v>94</v>
      </c>
      <c r="GN26" s="376">
        <v>97</v>
      </c>
      <c r="GO26" s="376">
        <f t="shared" si="421"/>
        <v>191</v>
      </c>
      <c r="GP26" s="376">
        <v>97</v>
      </c>
      <c r="GQ26" s="376">
        <v>105</v>
      </c>
      <c r="GR26" s="376">
        <f t="shared" si="422"/>
        <v>202</v>
      </c>
      <c r="GS26" s="376">
        <v>87</v>
      </c>
      <c r="GT26" s="376">
        <v>91</v>
      </c>
      <c r="GU26" s="376">
        <f t="shared" si="423"/>
        <v>178</v>
      </c>
      <c r="GV26" s="376">
        <v>76</v>
      </c>
      <c r="GW26" s="376">
        <v>75</v>
      </c>
      <c r="GX26" s="376">
        <f t="shared" si="424"/>
        <v>151</v>
      </c>
      <c r="GY26" s="376">
        <v>78</v>
      </c>
      <c r="GZ26" s="376">
        <v>71</v>
      </c>
      <c r="HA26" s="376">
        <f t="shared" si="425"/>
        <v>149</v>
      </c>
      <c r="HB26" s="376">
        <v>67</v>
      </c>
      <c r="HC26" s="376">
        <v>60</v>
      </c>
      <c r="HD26" s="376">
        <f t="shared" si="426"/>
        <v>127</v>
      </c>
      <c r="HE26" s="376">
        <v>57</v>
      </c>
      <c r="HF26" s="376">
        <v>65</v>
      </c>
      <c r="HG26" s="376">
        <f t="shared" si="427"/>
        <v>122</v>
      </c>
      <c r="HH26" s="376">
        <v>69</v>
      </c>
      <c r="HI26" s="376">
        <v>52</v>
      </c>
      <c r="HJ26" s="376">
        <f t="shared" si="428"/>
        <v>121</v>
      </c>
      <c r="HK26" s="376">
        <v>46</v>
      </c>
      <c r="HL26" s="376">
        <v>37</v>
      </c>
      <c r="HM26" s="376">
        <f t="shared" si="429"/>
        <v>83</v>
      </c>
      <c r="HN26" s="376">
        <v>42</v>
      </c>
      <c r="HO26" s="376">
        <v>35</v>
      </c>
      <c r="HP26" s="376">
        <f t="shared" si="430"/>
        <v>77</v>
      </c>
      <c r="HQ26" s="376">
        <v>24</v>
      </c>
      <c r="HR26" s="376">
        <v>32</v>
      </c>
      <c r="HS26" s="376">
        <f t="shared" si="431"/>
        <v>56</v>
      </c>
      <c r="HT26" s="376">
        <v>22</v>
      </c>
      <c r="HU26" s="376">
        <v>25</v>
      </c>
      <c r="HV26" s="376">
        <f t="shared" si="432"/>
        <v>47</v>
      </c>
      <c r="HW26" s="376">
        <v>19</v>
      </c>
      <c r="HX26" s="376">
        <v>18</v>
      </c>
      <c r="HY26" s="376">
        <f t="shared" si="433"/>
        <v>37</v>
      </c>
      <c r="HZ26" s="376">
        <v>23</v>
      </c>
      <c r="IA26" s="376">
        <v>22</v>
      </c>
      <c r="IB26" s="376">
        <f t="shared" si="434"/>
        <v>45</v>
      </c>
      <c r="IC26" s="376">
        <v>16</v>
      </c>
      <c r="ID26" s="376">
        <v>18</v>
      </c>
      <c r="IE26" s="376">
        <f t="shared" si="435"/>
        <v>34</v>
      </c>
      <c r="IF26" s="376">
        <v>7</v>
      </c>
      <c r="IG26" s="376">
        <v>16</v>
      </c>
      <c r="IH26" s="376">
        <f t="shared" si="436"/>
        <v>23</v>
      </c>
      <c r="II26" s="376">
        <v>13</v>
      </c>
      <c r="IJ26" s="376">
        <v>14</v>
      </c>
      <c r="IK26" s="376">
        <f t="shared" si="437"/>
        <v>27</v>
      </c>
      <c r="IL26" s="376">
        <v>10</v>
      </c>
      <c r="IM26" s="376">
        <v>17</v>
      </c>
      <c r="IN26" s="376">
        <f t="shared" si="438"/>
        <v>27</v>
      </c>
      <c r="IO26" s="376">
        <v>8</v>
      </c>
      <c r="IP26" s="376">
        <v>9</v>
      </c>
      <c r="IQ26" s="376">
        <f t="shared" si="439"/>
        <v>17</v>
      </c>
      <c r="IR26" s="376">
        <v>7</v>
      </c>
      <c r="IS26" s="376">
        <v>11</v>
      </c>
      <c r="IT26" s="376">
        <f t="shared" si="440"/>
        <v>18</v>
      </c>
      <c r="IU26" s="376">
        <v>6</v>
      </c>
      <c r="IV26" s="376">
        <v>4</v>
      </c>
      <c r="IW26" s="376">
        <f t="shared" si="441"/>
        <v>10</v>
      </c>
      <c r="IX26" s="376">
        <v>5</v>
      </c>
      <c r="IY26" s="376">
        <v>7</v>
      </c>
      <c r="IZ26" s="376">
        <f t="shared" si="442"/>
        <v>12</v>
      </c>
      <c r="JA26" s="376">
        <v>1</v>
      </c>
      <c r="JB26" s="376">
        <v>13</v>
      </c>
      <c r="JC26" s="376">
        <f t="shared" si="443"/>
        <v>14</v>
      </c>
      <c r="JD26" s="376">
        <v>2</v>
      </c>
      <c r="JE26" s="376">
        <v>1</v>
      </c>
      <c r="JF26" s="376">
        <f t="shared" si="444"/>
        <v>3</v>
      </c>
      <c r="JG26" s="376">
        <v>2</v>
      </c>
      <c r="JH26" s="376">
        <v>6</v>
      </c>
      <c r="JI26" s="376">
        <f t="shared" si="445"/>
        <v>8</v>
      </c>
      <c r="JJ26" s="376">
        <v>4</v>
      </c>
      <c r="JK26" s="376">
        <v>4</v>
      </c>
      <c r="JL26" s="376">
        <f t="shared" si="446"/>
        <v>8</v>
      </c>
      <c r="JM26" s="376">
        <v>1</v>
      </c>
      <c r="JN26" s="376">
        <v>6</v>
      </c>
      <c r="JO26" s="376">
        <f t="shared" si="447"/>
        <v>7</v>
      </c>
      <c r="JP26" s="376">
        <v>1</v>
      </c>
      <c r="JQ26" s="376">
        <v>2</v>
      </c>
      <c r="JR26" s="376">
        <f t="shared" si="448"/>
        <v>3</v>
      </c>
      <c r="JS26" s="376">
        <v>0</v>
      </c>
      <c r="JT26" s="376">
        <v>0</v>
      </c>
      <c r="JU26" s="376">
        <f t="shared" si="449"/>
        <v>0</v>
      </c>
      <c r="JV26" s="376">
        <v>1</v>
      </c>
      <c r="JW26" s="376">
        <v>1</v>
      </c>
      <c r="JX26" s="376">
        <f t="shared" si="450"/>
        <v>2</v>
      </c>
      <c r="JY26" s="376">
        <v>0</v>
      </c>
      <c r="JZ26" s="376">
        <v>2</v>
      </c>
      <c r="KA26" s="376">
        <f t="shared" si="451"/>
        <v>2</v>
      </c>
      <c r="KB26" s="376">
        <v>0</v>
      </c>
      <c r="KC26" s="376">
        <v>0</v>
      </c>
      <c r="KD26" s="376">
        <f t="shared" si="452"/>
        <v>0</v>
      </c>
      <c r="KE26" s="376">
        <v>0</v>
      </c>
      <c r="KF26" s="376">
        <v>0</v>
      </c>
      <c r="KG26" s="376">
        <f t="shared" si="453"/>
        <v>0</v>
      </c>
      <c r="KH26" s="376">
        <v>0</v>
      </c>
      <c r="KI26" s="376">
        <v>0</v>
      </c>
      <c r="KJ26" s="376">
        <f t="shared" si="454"/>
        <v>0</v>
      </c>
      <c r="KK26" s="376">
        <v>0</v>
      </c>
      <c r="KL26" s="376">
        <v>0</v>
      </c>
      <c r="KM26" s="376">
        <f t="shared" si="455"/>
        <v>0</v>
      </c>
      <c r="KN26" s="376">
        <v>0</v>
      </c>
      <c r="KO26" s="376">
        <v>0</v>
      </c>
      <c r="KP26" s="376">
        <f t="shared" si="456"/>
        <v>0</v>
      </c>
      <c r="KQ26" s="376">
        <v>0</v>
      </c>
      <c r="KR26" s="376">
        <v>0</v>
      </c>
      <c r="KS26" s="376">
        <f t="shared" si="457"/>
        <v>0</v>
      </c>
      <c r="KT26" s="376">
        <v>0</v>
      </c>
      <c r="KU26" s="376">
        <v>1</v>
      </c>
      <c r="KV26" s="376">
        <f t="shared" si="458"/>
        <v>1</v>
      </c>
      <c r="KW26" s="376">
        <v>0</v>
      </c>
      <c r="KX26" s="376">
        <v>0</v>
      </c>
      <c r="KY26" s="376">
        <f t="shared" si="459"/>
        <v>0</v>
      </c>
      <c r="KZ26" s="376">
        <v>0</v>
      </c>
      <c r="LA26" s="376">
        <v>0</v>
      </c>
      <c r="LB26" s="376">
        <f t="shared" si="460"/>
        <v>0</v>
      </c>
      <c r="LC26" s="376">
        <v>0</v>
      </c>
      <c r="LD26" s="376">
        <v>0</v>
      </c>
      <c r="LE26" s="376">
        <f t="shared" si="461"/>
        <v>0</v>
      </c>
      <c r="LF26" s="376">
        <v>0</v>
      </c>
      <c r="LG26" s="376">
        <v>0</v>
      </c>
      <c r="LH26" s="376">
        <f t="shared" si="462"/>
        <v>0</v>
      </c>
      <c r="LI26" s="376">
        <v>0</v>
      </c>
      <c r="LJ26" s="376">
        <v>0</v>
      </c>
      <c r="LK26" s="376">
        <f t="shared" si="463"/>
        <v>0</v>
      </c>
      <c r="LL26" s="376">
        <v>0</v>
      </c>
      <c r="LM26" s="376">
        <v>0</v>
      </c>
      <c r="LN26" s="376">
        <f t="shared" si="464"/>
        <v>0</v>
      </c>
      <c r="LO26" s="376">
        <v>0</v>
      </c>
      <c r="LP26" s="376">
        <v>0</v>
      </c>
      <c r="LQ26" s="376">
        <f t="shared" si="465"/>
        <v>0</v>
      </c>
      <c r="LR26" s="376">
        <v>0</v>
      </c>
      <c r="LS26" s="376">
        <v>0</v>
      </c>
      <c r="LT26" s="376">
        <f t="shared" si="466"/>
        <v>0</v>
      </c>
      <c r="LU26" s="376">
        <v>0</v>
      </c>
      <c r="LV26" s="376">
        <v>0</v>
      </c>
      <c r="LW26" s="376">
        <f t="shared" si="467"/>
        <v>0</v>
      </c>
      <c r="LX26" s="376">
        <v>0</v>
      </c>
      <c r="LY26" s="376">
        <v>0</v>
      </c>
      <c r="LZ26" s="376">
        <f t="shared" si="468"/>
        <v>0</v>
      </c>
      <c r="MA26" s="376">
        <v>0</v>
      </c>
      <c r="MB26" s="376">
        <v>0</v>
      </c>
      <c r="MC26" s="376">
        <f t="shared" si="469"/>
        <v>0</v>
      </c>
      <c r="MD26" s="376">
        <v>0</v>
      </c>
      <c r="ME26" s="376">
        <v>0</v>
      </c>
      <c r="MF26" s="376">
        <f t="shared" si="470"/>
        <v>0</v>
      </c>
      <c r="MG26" s="376">
        <v>0</v>
      </c>
      <c r="MH26" s="376">
        <v>0</v>
      </c>
      <c r="MI26" s="376">
        <f t="shared" si="471"/>
        <v>0</v>
      </c>
      <c r="MJ26" s="376">
        <v>0</v>
      </c>
      <c r="MK26" s="376">
        <v>0</v>
      </c>
      <c r="ML26" s="376">
        <f t="shared" si="472"/>
        <v>0</v>
      </c>
      <c r="MM26" s="376">
        <v>0</v>
      </c>
      <c r="MN26" s="376">
        <v>0</v>
      </c>
      <c r="MO26" s="376">
        <f t="shared" si="473"/>
        <v>0</v>
      </c>
      <c r="MP26" s="376">
        <v>0</v>
      </c>
      <c r="MQ26" s="376">
        <v>0</v>
      </c>
      <c r="MR26" s="376">
        <f t="shared" si="474"/>
        <v>0</v>
      </c>
      <c r="MS26" s="376">
        <v>0</v>
      </c>
      <c r="MT26" s="376">
        <v>0</v>
      </c>
      <c r="MU26" s="376">
        <f t="shared" si="475"/>
        <v>0</v>
      </c>
      <c r="MV26" s="376">
        <v>0</v>
      </c>
      <c r="MW26" s="376">
        <v>0</v>
      </c>
      <c r="MX26" s="376">
        <f t="shared" si="476"/>
        <v>0</v>
      </c>
      <c r="MY26" s="376">
        <v>0</v>
      </c>
      <c r="MZ26" s="376">
        <v>0</v>
      </c>
      <c r="NA26" s="545">
        <f t="shared" si="477"/>
        <v>0</v>
      </c>
      <c r="NB26" s="376">
        <v>0</v>
      </c>
      <c r="NC26" s="376">
        <v>0</v>
      </c>
      <c r="ND26" s="543">
        <f t="shared" si="478"/>
        <v>0</v>
      </c>
      <c r="NE26" s="542">
        <f t="shared" si="483"/>
        <v>12596</v>
      </c>
      <c r="NF26" s="376">
        <f t="shared" si="483"/>
        <v>12447</v>
      </c>
      <c r="NG26" s="543">
        <f t="shared" si="480"/>
        <v>25043</v>
      </c>
      <c r="NH26" s="542">
        <f t="shared" si="481"/>
        <v>1014</v>
      </c>
      <c r="NI26" s="376">
        <f t="shared" si="481"/>
        <v>948</v>
      </c>
      <c r="NJ26" s="543">
        <f t="shared" si="482"/>
        <v>1962</v>
      </c>
    </row>
    <row r="27" spans="1:374" ht="14.5" thickBot="1" x14ac:dyDescent="0.35">
      <c r="A27" s="568" t="s">
        <v>270</v>
      </c>
      <c r="B27" s="590" t="s">
        <v>54</v>
      </c>
      <c r="C27" s="550">
        <v>316</v>
      </c>
      <c r="D27" s="380">
        <v>340</v>
      </c>
      <c r="E27" s="380">
        <f t="shared" si="357"/>
        <v>656</v>
      </c>
      <c r="F27" s="380">
        <v>458</v>
      </c>
      <c r="G27" s="380">
        <v>405</v>
      </c>
      <c r="H27" s="380">
        <f t="shared" si="358"/>
        <v>863</v>
      </c>
      <c r="I27" s="380">
        <v>521</v>
      </c>
      <c r="J27" s="380">
        <v>451</v>
      </c>
      <c r="K27" s="380">
        <f t="shared" si="359"/>
        <v>972</v>
      </c>
      <c r="L27" s="380">
        <v>599</v>
      </c>
      <c r="M27" s="380">
        <v>562</v>
      </c>
      <c r="N27" s="380">
        <f t="shared" si="360"/>
        <v>1161</v>
      </c>
      <c r="O27" s="380">
        <v>649</v>
      </c>
      <c r="P27" s="380">
        <v>611</v>
      </c>
      <c r="Q27" s="380">
        <f t="shared" si="361"/>
        <v>1260</v>
      </c>
      <c r="R27" s="380">
        <v>683</v>
      </c>
      <c r="S27" s="380">
        <v>641</v>
      </c>
      <c r="T27" s="380">
        <f t="shared" si="362"/>
        <v>1324</v>
      </c>
      <c r="U27" s="380">
        <v>762</v>
      </c>
      <c r="V27" s="380">
        <v>716</v>
      </c>
      <c r="W27" s="380">
        <f t="shared" si="363"/>
        <v>1478</v>
      </c>
      <c r="X27" s="380">
        <v>773</v>
      </c>
      <c r="Y27" s="380">
        <v>733</v>
      </c>
      <c r="Z27" s="380">
        <f t="shared" si="364"/>
        <v>1506</v>
      </c>
      <c r="AA27" s="380">
        <v>750</v>
      </c>
      <c r="AB27" s="380">
        <v>676</v>
      </c>
      <c r="AC27" s="380">
        <f t="shared" si="365"/>
        <v>1426</v>
      </c>
      <c r="AD27" s="380">
        <v>714</v>
      </c>
      <c r="AE27" s="380">
        <v>652</v>
      </c>
      <c r="AF27" s="380">
        <f t="shared" si="366"/>
        <v>1366</v>
      </c>
      <c r="AG27" s="380">
        <v>719</v>
      </c>
      <c r="AH27" s="380">
        <v>704</v>
      </c>
      <c r="AI27" s="380">
        <f t="shared" si="367"/>
        <v>1423</v>
      </c>
      <c r="AJ27" s="380">
        <v>723</v>
      </c>
      <c r="AK27" s="380">
        <v>731</v>
      </c>
      <c r="AL27" s="380">
        <f t="shared" si="368"/>
        <v>1454</v>
      </c>
      <c r="AM27" s="380">
        <v>761</v>
      </c>
      <c r="AN27" s="380">
        <v>674</v>
      </c>
      <c r="AO27" s="380">
        <f t="shared" si="369"/>
        <v>1435</v>
      </c>
      <c r="AP27" s="380">
        <v>730</v>
      </c>
      <c r="AQ27" s="380">
        <v>707</v>
      </c>
      <c r="AR27" s="380">
        <f t="shared" si="370"/>
        <v>1437</v>
      </c>
      <c r="AS27" s="380">
        <v>754</v>
      </c>
      <c r="AT27" s="380">
        <v>724</v>
      </c>
      <c r="AU27" s="380">
        <f t="shared" si="371"/>
        <v>1478</v>
      </c>
      <c r="AV27" s="380">
        <v>670</v>
      </c>
      <c r="AW27" s="380">
        <v>698</v>
      </c>
      <c r="AX27" s="380">
        <f t="shared" si="372"/>
        <v>1368</v>
      </c>
      <c r="AY27" s="380">
        <v>722</v>
      </c>
      <c r="AZ27" s="380">
        <v>679</v>
      </c>
      <c r="BA27" s="380">
        <f t="shared" si="373"/>
        <v>1401</v>
      </c>
      <c r="BB27" s="380">
        <v>667</v>
      </c>
      <c r="BC27" s="380">
        <v>630</v>
      </c>
      <c r="BD27" s="380">
        <f t="shared" si="374"/>
        <v>1297</v>
      </c>
      <c r="BE27" s="380">
        <v>614</v>
      </c>
      <c r="BF27" s="380">
        <v>599</v>
      </c>
      <c r="BG27" s="380">
        <f t="shared" si="375"/>
        <v>1213</v>
      </c>
      <c r="BH27" s="380">
        <v>697</v>
      </c>
      <c r="BI27" s="380">
        <v>675</v>
      </c>
      <c r="BJ27" s="380">
        <f t="shared" si="376"/>
        <v>1372</v>
      </c>
      <c r="BK27" s="380">
        <v>612</v>
      </c>
      <c r="BL27" s="380">
        <v>584</v>
      </c>
      <c r="BM27" s="380">
        <f t="shared" si="377"/>
        <v>1196</v>
      </c>
      <c r="BN27" s="380">
        <v>632</v>
      </c>
      <c r="BO27" s="380">
        <v>629</v>
      </c>
      <c r="BP27" s="380">
        <f t="shared" si="378"/>
        <v>1261</v>
      </c>
      <c r="BQ27" s="380">
        <v>628</v>
      </c>
      <c r="BR27" s="380">
        <v>604</v>
      </c>
      <c r="BS27" s="380">
        <f t="shared" si="379"/>
        <v>1232</v>
      </c>
      <c r="BT27" s="380">
        <v>650</v>
      </c>
      <c r="BU27" s="380">
        <v>617</v>
      </c>
      <c r="BV27" s="380">
        <f t="shared" si="380"/>
        <v>1267</v>
      </c>
      <c r="BW27" s="380">
        <v>637</v>
      </c>
      <c r="BX27" s="380">
        <v>614</v>
      </c>
      <c r="BY27" s="380">
        <f t="shared" si="381"/>
        <v>1251</v>
      </c>
      <c r="BZ27" s="380">
        <v>646</v>
      </c>
      <c r="CA27" s="380">
        <v>676</v>
      </c>
      <c r="CB27" s="380">
        <f t="shared" si="382"/>
        <v>1322</v>
      </c>
      <c r="CC27" s="380">
        <v>699</v>
      </c>
      <c r="CD27" s="380">
        <v>677</v>
      </c>
      <c r="CE27" s="380">
        <f t="shared" si="383"/>
        <v>1376</v>
      </c>
      <c r="CF27" s="380">
        <v>564</v>
      </c>
      <c r="CG27" s="380">
        <v>597</v>
      </c>
      <c r="CH27" s="380">
        <f t="shared" si="384"/>
        <v>1161</v>
      </c>
      <c r="CI27" s="380">
        <v>672</v>
      </c>
      <c r="CJ27" s="380">
        <v>634</v>
      </c>
      <c r="CK27" s="380">
        <f t="shared" si="385"/>
        <v>1306</v>
      </c>
      <c r="CL27" s="380">
        <v>632</v>
      </c>
      <c r="CM27" s="380">
        <v>629</v>
      </c>
      <c r="CN27" s="380">
        <f t="shared" si="386"/>
        <v>1261</v>
      </c>
      <c r="CO27" s="380">
        <v>678</v>
      </c>
      <c r="CP27" s="380">
        <v>685</v>
      </c>
      <c r="CQ27" s="380">
        <f t="shared" si="387"/>
        <v>1363</v>
      </c>
      <c r="CR27" s="380">
        <v>666</v>
      </c>
      <c r="CS27" s="380">
        <v>685</v>
      </c>
      <c r="CT27" s="380">
        <f t="shared" si="388"/>
        <v>1351</v>
      </c>
      <c r="CU27" s="380">
        <v>625</v>
      </c>
      <c r="CV27" s="380">
        <v>656</v>
      </c>
      <c r="CW27" s="380">
        <f t="shared" si="389"/>
        <v>1281</v>
      </c>
      <c r="CX27" s="380">
        <v>620</v>
      </c>
      <c r="CY27" s="380">
        <v>688</v>
      </c>
      <c r="CZ27" s="380">
        <f t="shared" si="390"/>
        <v>1308</v>
      </c>
      <c r="DA27" s="380">
        <v>650</v>
      </c>
      <c r="DB27" s="380">
        <v>711</v>
      </c>
      <c r="DC27" s="380">
        <f t="shared" si="391"/>
        <v>1361</v>
      </c>
      <c r="DD27" s="380">
        <v>655</v>
      </c>
      <c r="DE27" s="380">
        <v>643</v>
      </c>
      <c r="DF27" s="380">
        <f t="shared" si="392"/>
        <v>1298</v>
      </c>
      <c r="DG27" s="380">
        <v>659</v>
      </c>
      <c r="DH27" s="380">
        <v>668</v>
      </c>
      <c r="DI27" s="380">
        <f t="shared" si="393"/>
        <v>1327</v>
      </c>
      <c r="DJ27" s="380">
        <v>667</v>
      </c>
      <c r="DK27" s="380">
        <v>655</v>
      </c>
      <c r="DL27" s="380">
        <f t="shared" si="394"/>
        <v>1322</v>
      </c>
      <c r="DM27" s="380">
        <v>651</v>
      </c>
      <c r="DN27" s="380">
        <v>654</v>
      </c>
      <c r="DO27" s="380">
        <f t="shared" si="395"/>
        <v>1305</v>
      </c>
      <c r="DP27" s="380">
        <v>641</v>
      </c>
      <c r="DQ27" s="380">
        <v>675</v>
      </c>
      <c r="DR27" s="380">
        <f t="shared" si="396"/>
        <v>1316</v>
      </c>
      <c r="DS27" s="380">
        <v>689</v>
      </c>
      <c r="DT27" s="380">
        <v>717</v>
      </c>
      <c r="DU27" s="380">
        <f t="shared" si="397"/>
        <v>1406</v>
      </c>
      <c r="DV27" s="380">
        <v>700</v>
      </c>
      <c r="DW27" s="380">
        <v>710</v>
      </c>
      <c r="DX27" s="380">
        <f t="shared" si="398"/>
        <v>1410</v>
      </c>
      <c r="DY27" s="380">
        <v>703</v>
      </c>
      <c r="DZ27" s="380">
        <v>661</v>
      </c>
      <c r="EA27" s="380">
        <f t="shared" si="399"/>
        <v>1364</v>
      </c>
      <c r="EB27" s="380">
        <v>733</v>
      </c>
      <c r="EC27" s="380">
        <v>771</v>
      </c>
      <c r="ED27" s="380">
        <f t="shared" si="400"/>
        <v>1504</v>
      </c>
      <c r="EE27" s="380">
        <v>701</v>
      </c>
      <c r="EF27" s="380">
        <v>711</v>
      </c>
      <c r="EG27" s="380">
        <f t="shared" si="401"/>
        <v>1412</v>
      </c>
      <c r="EH27" s="380">
        <v>637</v>
      </c>
      <c r="EI27" s="380">
        <v>679</v>
      </c>
      <c r="EJ27" s="380">
        <f t="shared" si="402"/>
        <v>1316</v>
      </c>
      <c r="EK27" s="380">
        <v>617</v>
      </c>
      <c r="EL27" s="380">
        <v>725</v>
      </c>
      <c r="EM27" s="380">
        <f t="shared" si="403"/>
        <v>1342</v>
      </c>
      <c r="EN27" s="380">
        <v>595</v>
      </c>
      <c r="EO27" s="380">
        <v>664</v>
      </c>
      <c r="EP27" s="380">
        <f t="shared" si="404"/>
        <v>1259</v>
      </c>
      <c r="EQ27" s="380">
        <v>571</v>
      </c>
      <c r="ER27" s="380">
        <v>566</v>
      </c>
      <c r="ES27" s="380">
        <f t="shared" si="405"/>
        <v>1137</v>
      </c>
      <c r="ET27" s="380">
        <v>544</v>
      </c>
      <c r="EU27" s="380">
        <v>548</v>
      </c>
      <c r="EV27" s="380">
        <f t="shared" si="406"/>
        <v>1092</v>
      </c>
      <c r="EW27" s="380">
        <v>535</v>
      </c>
      <c r="EX27" s="380">
        <v>571</v>
      </c>
      <c r="EY27" s="380">
        <f t="shared" si="407"/>
        <v>1106</v>
      </c>
      <c r="EZ27" s="380">
        <v>485</v>
      </c>
      <c r="FA27" s="380">
        <v>542</v>
      </c>
      <c r="FB27" s="380">
        <f t="shared" si="408"/>
        <v>1027</v>
      </c>
      <c r="FC27" s="380">
        <v>495</v>
      </c>
      <c r="FD27" s="380">
        <v>486</v>
      </c>
      <c r="FE27" s="380">
        <f t="shared" si="409"/>
        <v>981</v>
      </c>
      <c r="FF27" s="380">
        <v>502</v>
      </c>
      <c r="FG27" s="380">
        <v>538</v>
      </c>
      <c r="FH27" s="380">
        <f t="shared" si="410"/>
        <v>1040</v>
      </c>
      <c r="FI27" s="380">
        <v>454</v>
      </c>
      <c r="FJ27" s="380">
        <v>503</v>
      </c>
      <c r="FK27" s="380">
        <f t="shared" si="411"/>
        <v>957</v>
      </c>
      <c r="FL27" s="380">
        <v>445</v>
      </c>
      <c r="FM27" s="380">
        <v>479</v>
      </c>
      <c r="FN27" s="380">
        <f t="shared" si="412"/>
        <v>924</v>
      </c>
      <c r="FO27" s="380">
        <v>474</v>
      </c>
      <c r="FP27" s="380">
        <v>505</v>
      </c>
      <c r="FQ27" s="380">
        <f t="shared" si="413"/>
        <v>979</v>
      </c>
      <c r="FR27" s="380">
        <v>426</v>
      </c>
      <c r="FS27" s="380">
        <v>464</v>
      </c>
      <c r="FT27" s="380">
        <f t="shared" si="414"/>
        <v>890</v>
      </c>
      <c r="FU27" s="380">
        <v>408</v>
      </c>
      <c r="FV27" s="380">
        <v>445</v>
      </c>
      <c r="FW27" s="380">
        <f t="shared" si="415"/>
        <v>853</v>
      </c>
      <c r="FX27" s="380">
        <v>335</v>
      </c>
      <c r="FY27" s="380">
        <v>396</v>
      </c>
      <c r="FZ27" s="380">
        <f t="shared" si="416"/>
        <v>731</v>
      </c>
      <c r="GA27" s="380">
        <v>370</v>
      </c>
      <c r="GB27" s="380">
        <v>422</v>
      </c>
      <c r="GC27" s="380">
        <f t="shared" si="417"/>
        <v>792</v>
      </c>
      <c r="GD27" s="380">
        <v>347</v>
      </c>
      <c r="GE27" s="380">
        <v>455</v>
      </c>
      <c r="GF27" s="380">
        <f t="shared" si="418"/>
        <v>802</v>
      </c>
      <c r="GG27" s="380">
        <v>280</v>
      </c>
      <c r="GH27" s="380">
        <v>405</v>
      </c>
      <c r="GI27" s="380">
        <f t="shared" si="419"/>
        <v>685</v>
      </c>
      <c r="GJ27" s="380">
        <v>303</v>
      </c>
      <c r="GK27" s="380">
        <v>407</v>
      </c>
      <c r="GL27" s="380">
        <f t="shared" si="420"/>
        <v>710</v>
      </c>
      <c r="GM27" s="380">
        <v>281</v>
      </c>
      <c r="GN27" s="380">
        <v>392</v>
      </c>
      <c r="GO27" s="380">
        <f t="shared" si="421"/>
        <v>673</v>
      </c>
      <c r="GP27" s="380">
        <v>268</v>
      </c>
      <c r="GQ27" s="380">
        <v>397</v>
      </c>
      <c r="GR27" s="380">
        <f t="shared" si="422"/>
        <v>665</v>
      </c>
      <c r="GS27" s="380">
        <v>336</v>
      </c>
      <c r="GT27" s="380">
        <v>428</v>
      </c>
      <c r="GU27" s="380">
        <f t="shared" si="423"/>
        <v>764</v>
      </c>
      <c r="GV27" s="380">
        <v>301</v>
      </c>
      <c r="GW27" s="380">
        <v>354</v>
      </c>
      <c r="GX27" s="380">
        <f t="shared" si="424"/>
        <v>655</v>
      </c>
      <c r="GY27" s="380">
        <v>267</v>
      </c>
      <c r="GZ27" s="380">
        <v>326</v>
      </c>
      <c r="HA27" s="380">
        <f t="shared" si="425"/>
        <v>593</v>
      </c>
      <c r="HB27" s="380">
        <v>251</v>
      </c>
      <c r="HC27" s="380">
        <v>225</v>
      </c>
      <c r="HD27" s="380">
        <f t="shared" si="426"/>
        <v>476</v>
      </c>
      <c r="HE27" s="380">
        <v>248</v>
      </c>
      <c r="HF27" s="380">
        <v>226</v>
      </c>
      <c r="HG27" s="380">
        <f t="shared" si="427"/>
        <v>474</v>
      </c>
      <c r="HH27" s="380">
        <v>207</v>
      </c>
      <c r="HI27" s="380">
        <v>223</v>
      </c>
      <c r="HJ27" s="380">
        <f t="shared" si="428"/>
        <v>430</v>
      </c>
      <c r="HK27" s="380">
        <v>219</v>
      </c>
      <c r="HL27" s="380">
        <v>177</v>
      </c>
      <c r="HM27" s="380">
        <f t="shared" si="429"/>
        <v>396</v>
      </c>
      <c r="HN27" s="380">
        <v>192</v>
      </c>
      <c r="HO27" s="380">
        <v>149</v>
      </c>
      <c r="HP27" s="380">
        <f t="shared" si="430"/>
        <v>341</v>
      </c>
      <c r="HQ27" s="380">
        <v>121</v>
      </c>
      <c r="HR27" s="380">
        <v>112</v>
      </c>
      <c r="HS27" s="380">
        <f t="shared" si="431"/>
        <v>233</v>
      </c>
      <c r="HT27" s="380">
        <v>106</v>
      </c>
      <c r="HU27" s="380">
        <v>79</v>
      </c>
      <c r="HV27" s="380">
        <f t="shared" si="432"/>
        <v>185</v>
      </c>
      <c r="HW27" s="380">
        <v>98</v>
      </c>
      <c r="HX27" s="380">
        <v>87</v>
      </c>
      <c r="HY27" s="380">
        <f t="shared" si="433"/>
        <v>185</v>
      </c>
      <c r="HZ27" s="380">
        <v>77</v>
      </c>
      <c r="IA27" s="380">
        <v>70</v>
      </c>
      <c r="IB27" s="380">
        <f t="shared" si="434"/>
        <v>147</v>
      </c>
      <c r="IC27" s="380">
        <v>54</v>
      </c>
      <c r="ID27" s="380">
        <v>51</v>
      </c>
      <c r="IE27" s="380">
        <f t="shared" si="435"/>
        <v>105</v>
      </c>
      <c r="IF27" s="380">
        <v>30</v>
      </c>
      <c r="IG27" s="380">
        <v>50</v>
      </c>
      <c r="IH27" s="380">
        <f t="shared" si="436"/>
        <v>80</v>
      </c>
      <c r="II27" s="380">
        <v>45</v>
      </c>
      <c r="IJ27" s="380">
        <v>52</v>
      </c>
      <c r="IK27" s="380">
        <f t="shared" si="437"/>
        <v>97</v>
      </c>
      <c r="IL27" s="380">
        <v>32</v>
      </c>
      <c r="IM27" s="380">
        <v>23</v>
      </c>
      <c r="IN27" s="380">
        <f t="shared" si="438"/>
        <v>55</v>
      </c>
      <c r="IO27" s="380">
        <v>23</v>
      </c>
      <c r="IP27" s="380">
        <v>28</v>
      </c>
      <c r="IQ27" s="380">
        <f t="shared" si="439"/>
        <v>51</v>
      </c>
      <c r="IR27" s="380">
        <v>20</v>
      </c>
      <c r="IS27" s="380">
        <v>22</v>
      </c>
      <c r="IT27" s="380">
        <f t="shared" si="440"/>
        <v>42</v>
      </c>
      <c r="IU27" s="380">
        <v>16</v>
      </c>
      <c r="IV27" s="380">
        <v>21</v>
      </c>
      <c r="IW27" s="380">
        <f t="shared" si="441"/>
        <v>37</v>
      </c>
      <c r="IX27" s="380">
        <v>8</v>
      </c>
      <c r="IY27" s="380">
        <v>20</v>
      </c>
      <c r="IZ27" s="380">
        <f t="shared" si="442"/>
        <v>28</v>
      </c>
      <c r="JA27" s="380">
        <v>10</v>
      </c>
      <c r="JB27" s="380">
        <v>10</v>
      </c>
      <c r="JC27" s="380">
        <f t="shared" si="443"/>
        <v>20</v>
      </c>
      <c r="JD27" s="380">
        <v>7</v>
      </c>
      <c r="JE27" s="380">
        <v>14</v>
      </c>
      <c r="JF27" s="380">
        <f t="shared" si="444"/>
        <v>21</v>
      </c>
      <c r="JG27" s="380">
        <v>4</v>
      </c>
      <c r="JH27" s="380">
        <v>14</v>
      </c>
      <c r="JI27" s="380">
        <f t="shared" si="445"/>
        <v>18</v>
      </c>
      <c r="JJ27" s="380">
        <v>7</v>
      </c>
      <c r="JK27" s="380">
        <v>7</v>
      </c>
      <c r="JL27" s="380">
        <f t="shared" si="446"/>
        <v>14</v>
      </c>
      <c r="JM27" s="380">
        <v>3</v>
      </c>
      <c r="JN27" s="380">
        <v>4</v>
      </c>
      <c r="JO27" s="380">
        <f t="shared" si="447"/>
        <v>7</v>
      </c>
      <c r="JP27" s="380">
        <v>3</v>
      </c>
      <c r="JQ27" s="380">
        <v>6</v>
      </c>
      <c r="JR27" s="380">
        <f t="shared" si="448"/>
        <v>9</v>
      </c>
      <c r="JS27" s="380">
        <v>1</v>
      </c>
      <c r="JT27" s="380">
        <v>4</v>
      </c>
      <c r="JU27" s="380">
        <f t="shared" si="449"/>
        <v>5</v>
      </c>
      <c r="JV27" s="380">
        <v>2</v>
      </c>
      <c r="JW27" s="380">
        <v>5</v>
      </c>
      <c r="JX27" s="380">
        <f t="shared" si="450"/>
        <v>7</v>
      </c>
      <c r="JY27" s="380">
        <v>2</v>
      </c>
      <c r="JZ27" s="380">
        <v>2</v>
      </c>
      <c r="KA27" s="380">
        <f t="shared" si="451"/>
        <v>4</v>
      </c>
      <c r="KB27" s="380">
        <v>0</v>
      </c>
      <c r="KC27" s="380">
        <v>2</v>
      </c>
      <c r="KD27" s="380">
        <f t="shared" si="452"/>
        <v>2</v>
      </c>
      <c r="KE27" s="380">
        <v>1</v>
      </c>
      <c r="KF27" s="380">
        <v>1</v>
      </c>
      <c r="KG27" s="380">
        <f t="shared" si="453"/>
        <v>2</v>
      </c>
      <c r="KH27" s="380">
        <v>0</v>
      </c>
      <c r="KI27" s="380">
        <v>3</v>
      </c>
      <c r="KJ27" s="380">
        <f t="shared" si="454"/>
        <v>3</v>
      </c>
      <c r="KK27" s="380">
        <v>0</v>
      </c>
      <c r="KL27" s="380">
        <v>0</v>
      </c>
      <c r="KM27" s="380">
        <f t="shared" si="455"/>
        <v>0</v>
      </c>
      <c r="KN27" s="380">
        <v>0</v>
      </c>
      <c r="KO27" s="380">
        <v>2</v>
      </c>
      <c r="KP27" s="380">
        <f t="shared" si="456"/>
        <v>2</v>
      </c>
      <c r="KQ27" s="380">
        <v>1</v>
      </c>
      <c r="KR27" s="380">
        <v>0</v>
      </c>
      <c r="KS27" s="380">
        <f t="shared" si="457"/>
        <v>1</v>
      </c>
      <c r="KT27" s="380">
        <v>0</v>
      </c>
      <c r="KU27" s="380">
        <v>0</v>
      </c>
      <c r="KV27" s="380">
        <f t="shared" si="458"/>
        <v>0</v>
      </c>
      <c r="KW27" s="380">
        <v>0</v>
      </c>
      <c r="KX27" s="380">
        <v>0</v>
      </c>
      <c r="KY27" s="380">
        <f t="shared" si="459"/>
        <v>0</v>
      </c>
      <c r="KZ27" s="380">
        <v>0</v>
      </c>
      <c r="LA27" s="380">
        <v>0</v>
      </c>
      <c r="LB27" s="380">
        <f t="shared" si="460"/>
        <v>0</v>
      </c>
      <c r="LC27" s="380">
        <v>0</v>
      </c>
      <c r="LD27" s="380">
        <v>0</v>
      </c>
      <c r="LE27" s="380">
        <f t="shared" si="461"/>
        <v>0</v>
      </c>
      <c r="LF27" s="380">
        <v>0</v>
      </c>
      <c r="LG27" s="380">
        <v>0</v>
      </c>
      <c r="LH27" s="380">
        <f t="shared" si="462"/>
        <v>0</v>
      </c>
      <c r="LI27" s="380">
        <v>0</v>
      </c>
      <c r="LJ27" s="380">
        <v>0</v>
      </c>
      <c r="LK27" s="380">
        <f t="shared" si="463"/>
        <v>0</v>
      </c>
      <c r="LL27" s="380">
        <v>0</v>
      </c>
      <c r="LM27" s="380">
        <v>0</v>
      </c>
      <c r="LN27" s="380">
        <f t="shared" si="464"/>
        <v>0</v>
      </c>
      <c r="LO27" s="380">
        <v>0</v>
      </c>
      <c r="LP27" s="380">
        <v>0</v>
      </c>
      <c r="LQ27" s="380">
        <f t="shared" si="465"/>
        <v>0</v>
      </c>
      <c r="LR27" s="380">
        <v>0</v>
      </c>
      <c r="LS27" s="380">
        <v>0</v>
      </c>
      <c r="LT27" s="380">
        <f t="shared" si="466"/>
        <v>0</v>
      </c>
      <c r="LU27" s="380">
        <v>0</v>
      </c>
      <c r="LV27" s="380">
        <v>0</v>
      </c>
      <c r="LW27" s="380">
        <f t="shared" si="467"/>
        <v>0</v>
      </c>
      <c r="LX27" s="380">
        <v>0</v>
      </c>
      <c r="LY27" s="380">
        <v>0</v>
      </c>
      <c r="LZ27" s="380">
        <f t="shared" si="468"/>
        <v>0</v>
      </c>
      <c r="MA27" s="380">
        <v>0</v>
      </c>
      <c r="MB27" s="380">
        <v>0</v>
      </c>
      <c r="MC27" s="380">
        <f t="shared" si="469"/>
        <v>0</v>
      </c>
      <c r="MD27" s="380">
        <v>0</v>
      </c>
      <c r="ME27" s="380">
        <v>0</v>
      </c>
      <c r="MF27" s="380">
        <f t="shared" si="470"/>
        <v>0</v>
      </c>
      <c r="MG27" s="380">
        <v>0</v>
      </c>
      <c r="MH27" s="380">
        <v>0</v>
      </c>
      <c r="MI27" s="380">
        <f t="shared" si="471"/>
        <v>0</v>
      </c>
      <c r="MJ27" s="380">
        <v>0</v>
      </c>
      <c r="MK27" s="380">
        <v>0</v>
      </c>
      <c r="ML27" s="380">
        <f t="shared" si="472"/>
        <v>0</v>
      </c>
      <c r="MM27" s="380">
        <v>0</v>
      </c>
      <c r="MN27" s="380">
        <v>0</v>
      </c>
      <c r="MO27" s="380">
        <f t="shared" si="473"/>
        <v>0</v>
      </c>
      <c r="MP27" s="380">
        <v>0</v>
      </c>
      <c r="MQ27" s="380">
        <v>0</v>
      </c>
      <c r="MR27" s="380">
        <f t="shared" si="474"/>
        <v>0</v>
      </c>
      <c r="MS27" s="380">
        <v>0</v>
      </c>
      <c r="MT27" s="380">
        <v>0</v>
      </c>
      <c r="MU27" s="380">
        <f t="shared" si="475"/>
        <v>0</v>
      </c>
      <c r="MV27" s="380">
        <v>0</v>
      </c>
      <c r="MW27" s="380">
        <v>0</v>
      </c>
      <c r="MX27" s="380">
        <f t="shared" si="476"/>
        <v>0</v>
      </c>
      <c r="MY27" s="380">
        <v>0</v>
      </c>
      <c r="MZ27" s="380">
        <v>0</v>
      </c>
      <c r="NA27" s="551">
        <f t="shared" si="477"/>
        <v>0</v>
      </c>
      <c r="NB27" s="380">
        <v>0</v>
      </c>
      <c r="NC27" s="380">
        <v>0</v>
      </c>
      <c r="ND27" s="549">
        <f t="shared" si="478"/>
        <v>0</v>
      </c>
      <c r="NE27" s="542">
        <f t="shared" si="483"/>
        <v>41756</v>
      </c>
      <c r="NF27" s="376">
        <f t="shared" si="483"/>
        <v>42545</v>
      </c>
      <c r="NG27" s="598">
        <f t="shared" si="480"/>
        <v>84301</v>
      </c>
      <c r="NH27" s="599">
        <f t="shared" si="481"/>
        <v>3226</v>
      </c>
      <c r="NI27" s="600">
        <f t="shared" si="481"/>
        <v>3010</v>
      </c>
      <c r="NJ27" s="598">
        <f t="shared" si="482"/>
        <v>6236</v>
      </c>
    </row>
    <row r="28" spans="1:374" x14ac:dyDescent="0.3">
      <c r="A28" s="552" t="s">
        <v>271</v>
      </c>
      <c r="B28" s="601" t="s">
        <v>61</v>
      </c>
      <c r="C28" s="556">
        <v>848</v>
      </c>
      <c r="D28" s="384">
        <v>790</v>
      </c>
      <c r="E28" s="384">
        <f t="shared" si="357"/>
        <v>1638</v>
      </c>
      <c r="F28" s="384">
        <v>1075</v>
      </c>
      <c r="G28" s="384">
        <v>1105</v>
      </c>
      <c r="H28" s="384">
        <f t="shared" si="358"/>
        <v>2180</v>
      </c>
      <c r="I28" s="384">
        <v>1339</v>
      </c>
      <c r="J28" s="384">
        <v>1222</v>
      </c>
      <c r="K28" s="384">
        <f t="shared" si="359"/>
        <v>2561</v>
      </c>
      <c r="L28" s="384">
        <v>1518</v>
      </c>
      <c r="M28" s="384">
        <v>1410</v>
      </c>
      <c r="N28" s="384">
        <f t="shared" si="360"/>
        <v>2928</v>
      </c>
      <c r="O28" s="384">
        <v>1669</v>
      </c>
      <c r="P28" s="384">
        <v>1486</v>
      </c>
      <c r="Q28" s="384">
        <f t="shared" si="361"/>
        <v>3155</v>
      </c>
      <c r="R28" s="384">
        <v>1597</v>
      </c>
      <c r="S28" s="384">
        <v>1614</v>
      </c>
      <c r="T28" s="384">
        <f t="shared" si="362"/>
        <v>3211</v>
      </c>
      <c r="U28" s="384">
        <v>1878</v>
      </c>
      <c r="V28" s="384">
        <v>1703</v>
      </c>
      <c r="W28" s="384">
        <f t="shared" si="363"/>
        <v>3581</v>
      </c>
      <c r="X28" s="384">
        <v>1998</v>
      </c>
      <c r="Y28" s="384">
        <v>1819</v>
      </c>
      <c r="Z28" s="384">
        <f t="shared" si="364"/>
        <v>3817</v>
      </c>
      <c r="AA28" s="384">
        <v>1879</v>
      </c>
      <c r="AB28" s="384">
        <v>1789</v>
      </c>
      <c r="AC28" s="384">
        <f t="shared" si="365"/>
        <v>3668</v>
      </c>
      <c r="AD28" s="384">
        <v>1757</v>
      </c>
      <c r="AE28" s="384">
        <v>1629</v>
      </c>
      <c r="AF28" s="384">
        <f t="shared" si="366"/>
        <v>3386</v>
      </c>
      <c r="AG28" s="384">
        <v>1847</v>
      </c>
      <c r="AH28" s="384">
        <v>1765</v>
      </c>
      <c r="AI28" s="384">
        <f t="shared" si="367"/>
        <v>3612</v>
      </c>
      <c r="AJ28" s="384">
        <v>1900</v>
      </c>
      <c r="AK28" s="384">
        <v>1748</v>
      </c>
      <c r="AL28" s="384">
        <f t="shared" si="368"/>
        <v>3648</v>
      </c>
      <c r="AM28" s="384">
        <v>1782</v>
      </c>
      <c r="AN28" s="384">
        <v>1747</v>
      </c>
      <c r="AO28" s="384">
        <f t="shared" si="369"/>
        <v>3529</v>
      </c>
      <c r="AP28" s="384">
        <v>1858</v>
      </c>
      <c r="AQ28" s="384">
        <v>1790</v>
      </c>
      <c r="AR28" s="384">
        <f t="shared" si="370"/>
        <v>3648</v>
      </c>
      <c r="AS28" s="384">
        <v>1890</v>
      </c>
      <c r="AT28" s="384">
        <v>1788</v>
      </c>
      <c r="AU28" s="384">
        <f t="shared" si="371"/>
        <v>3678</v>
      </c>
      <c r="AV28" s="384">
        <v>1882</v>
      </c>
      <c r="AW28" s="384">
        <v>1761</v>
      </c>
      <c r="AX28" s="384">
        <f t="shared" si="372"/>
        <v>3643</v>
      </c>
      <c r="AY28" s="384">
        <v>1798</v>
      </c>
      <c r="AZ28" s="384">
        <v>1670</v>
      </c>
      <c r="BA28" s="384">
        <f t="shared" si="373"/>
        <v>3468</v>
      </c>
      <c r="BB28" s="384">
        <v>1541</v>
      </c>
      <c r="BC28" s="384">
        <v>1494</v>
      </c>
      <c r="BD28" s="384">
        <f t="shared" si="374"/>
        <v>3035</v>
      </c>
      <c r="BE28" s="384">
        <v>1694</v>
      </c>
      <c r="BF28" s="384">
        <v>1585</v>
      </c>
      <c r="BG28" s="384">
        <f t="shared" si="375"/>
        <v>3279</v>
      </c>
      <c r="BH28" s="384">
        <v>1706</v>
      </c>
      <c r="BI28" s="384">
        <v>1676</v>
      </c>
      <c r="BJ28" s="384">
        <f t="shared" si="376"/>
        <v>3382</v>
      </c>
      <c r="BK28" s="384">
        <v>1717</v>
      </c>
      <c r="BL28" s="384">
        <v>1595</v>
      </c>
      <c r="BM28" s="384">
        <f t="shared" si="377"/>
        <v>3312</v>
      </c>
      <c r="BN28" s="384">
        <v>1610</v>
      </c>
      <c r="BO28" s="384">
        <v>1634</v>
      </c>
      <c r="BP28" s="384">
        <f t="shared" si="378"/>
        <v>3244</v>
      </c>
      <c r="BQ28" s="384">
        <v>1661</v>
      </c>
      <c r="BR28" s="384">
        <v>1671</v>
      </c>
      <c r="BS28" s="384">
        <f t="shared" si="379"/>
        <v>3332</v>
      </c>
      <c r="BT28" s="384">
        <v>1766</v>
      </c>
      <c r="BU28" s="384">
        <v>1722</v>
      </c>
      <c r="BV28" s="384">
        <f t="shared" si="380"/>
        <v>3488</v>
      </c>
      <c r="BW28" s="384">
        <v>1701</v>
      </c>
      <c r="BX28" s="384">
        <v>1676</v>
      </c>
      <c r="BY28" s="384">
        <f t="shared" si="381"/>
        <v>3377</v>
      </c>
      <c r="BZ28" s="384">
        <v>1802</v>
      </c>
      <c r="CA28" s="384">
        <v>1848</v>
      </c>
      <c r="CB28" s="384">
        <f t="shared" si="382"/>
        <v>3650</v>
      </c>
      <c r="CC28" s="384">
        <v>1796</v>
      </c>
      <c r="CD28" s="384">
        <v>1814</v>
      </c>
      <c r="CE28" s="384">
        <f t="shared" si="383"/>
        <v>3610</v>
      </c>
      <c r="CF28" s="384">
        <v>1667</v>
      </c>
      <c r="CG28" s="384">
        <v>1647</v>
      </c>
      <c r="CH28" s="384">
        <f t="shared" si="384"/>
        <v>3314</v>
      </c>
      <c r="CI28" s="384">
        <v>1759</v>
      </c>
      <c r="CJ28" s="384">
        <v>1767</v>
      </c>
      <c r="CK28" s="384">
        <f t="shared" si="385"/>
        <v>3526</v>
      </c>
      <c r="CL28" s="384">
        <v>1681</v>
      </c>
      <c r="CM28" s="384">
        <v>1730</v>
      </c>
      <c r="CN28" s="384">
        <f t="shared" si="386"/>
        <v>3411</v>
      </c>
      <c r="CO28" s="384">
        <v>1767</v>
      </c>
      <c r="CP28" s="384">
        <v>1788</v>
      </c>
      <c r="CQ28" s="384">
        <f t="shared" si="387"/>
        <v>3555</v>
      </c>
      <c r="CR28" s="384">
        <v>1798</v>
      </c>
      <c r="CS28" s="384">
        <v>1953</v>
      </c>
      <c r="CT28" s="384">
        <f t="shared" si="388"/>
        <v>3751</v>
      </c>
      <c r="CU28" s="384">
        <v>1736</v>
      </c>
      <c r="CV28" s="384">
        <v>1793</v>
      </c>
      <c r="CW28" s="384">
        <f t="shared" si="389"/>
        <v>3529</v>
      </c>
      <c r="CX28" s="384">
        <v>1721</v>
      </c>
      <c r="CY28" s="384">
        <v>1810</v>
      </c>
      <c r="CZ28" s="384">
        <f t="shared" si="390"/>
        <v>3531</v>
      </c>
      <c r="DA28" s="384">
        <v>1765</v>
      </c>
      <c r="DB28" s="384">
        <v>1757</v>
      </c>
      <c r="DC28" s="384">
        <f t="shared" si="391"/>
        <v>3522</v>
      </c>
      <c r="DD28" s="384">
        <v>1752</v>
      </c>
      <c r="DE28" s="384">
        <v>1771</v>
      </c>
      <c r="DF28" s="384">
        <f t="shared" si="392"/>
        <v>3523</v>
      </c>
      <c r="DG28" s="384">
        <v>1725</v>
      </c>
      <c r="DH28" s="384">
        <v>1848</v>
      </c>
      <c r="DI28" s="384">
        <f t="shared" si="393"/>
        <v>3573</v>
      </c>
      <c r="DJ28" s="384">
        <v>1597</v>
      </c>
      <c r="DK28" s="384">
        <v>1690</v>
      </c>
      <c r="DL28" s="384">
        <f t="shared" si="394"/>
        <v>3287</v>
      </c>
      <c r="DM28" s="384">
        <v>1619</v>
      </c>
      <c r="DN28" s="384">
        <v>1616</v>
      </c>
      <c r="DO28" s="384">
        <f t="shared" si="395"/>
        <v>3235</v>
      </c>
      <c r="DP28" s="384">
        <v>1638</v>
      </c>
      <c r="DQ28" s="384">
        <v>1724</v>
      </c>
      <c r="DR28" s="384">
        <f t="shared" si="396"/>
        <v>3362</v>
      </c>
      <c r="DS28" s="384">
        <v>1777</v>
      </c>
      <c r="DT28" s="384">
        <v>1787</v>
      </c>
      <c r="DU28" s="384">
        <f t="shared" si="397"/>
        <v>3564</v>
      </c>
      <c r="DV28" s="384">
        <v>1776</v>
      </c>
      <c r="DW28" s="384">
        <v>1867</v>
      </c>
      <c r="DX28" s="384">
        <f t="shared" si="398"/>
        <v>3643</v>
      </c>
      <c r="DY28" s="384">
        <v>1694</v>
      </c>
      <c r="DZ28" s="384">
        <v>1805</v>
      </c>
      <c r="EA28" s="384">
        <f t="shared" si="399"/>
        <v>3499</v>
      </c>
      <c r="EB28" s="384">
        <v>1759</v>
      </c>
      <c r="EC28" s="384">
        <v>1855</v>
      </c>
      <c r="ED28" s="384">
        <f t="shared" si="400"/>
        <v>3614</v>
      </c>
      <c r="EE28" s="384">
        <v>1831</v>
      </c>
      <c r="EF28" s="384">
        <v>1830</v>
      </c>
      <c r="EG28" s="384">
        <f t="shared" si="401"/>
        <v>3661</v>
      </c>
      <c r="EH28" s="384">
        <v>1635</v>
      </c>
      <c r="EI28" s="384">
        <v>1725</v>
      </c>
      <c r="EJ28" s="384">
        <f t="shared" si="402"/>
        <v>3360</v>
      </c>
      <c r="EK28" s="384">
        <v>1748</v>
      </c>
      <c r="EL28" s="384">
        <v>1774</v>
      </c>
      <c r="EM28" s="384">
        <f t="shared" si="403"/>
        <v>3522</v>
      </c>
      <c r="EN28" s="384">
        <v>1595</v>
      </c>
      <c r="EO28" s="384">
        <v>1671</v>
      </c>
      <c r="EP28" s="384">
        <f t="shared" si="404"/>
        <v>3266</v>
      </c>
      <c r="EQ28" s="384">
        <v>1503</v>
      </c>
      <c r="ER28" s="384">
        <v>1568</v>
      </c>
      <c r="ES28" s="384">
        <f t="shared" si="405"/>
        <v>3071</v>
      </c>
      <c r="ET28" s="384">
        <v>1373</v>
      </c>
      <c r="EU28" s="384">
        <v>1567</v>
      </c>
      <c r="EV28" s="384">
        <f t="shared" si="406"/>
        <v>2940</v>
      </c>
      <c r="EW28" s="384">
        <v>1495</v>
      </c>
      <c r="EX28" s="384">
        <v>1502</v>
      </c>
      <c r="EY28" s="384">
        <f t="shared" si="407"/>
        <v>2997</v>
      </c>
      <c r="EZ28" s="384">
        <v>1351</v>
      </c>
      <c r="FA28" s="384">
        <v>1464</v>
      </c>
      <c r="FB28" s="384">
        <f t="shared" si="408"/>
        <v>2815</v>
      </c>
      <c r="FC28" s="384">
        <v>1183</v>
      </c>
      <c r="FD28" s="384">
        <v>1348</v>
      </c>
      <c r="FE28" s="384">
        <f t="shared" si="409"/>
        <v>2531</v>
      </c>
      <c r="FF28" s="384">
        <v>1320</v>
      </c>
      <c r="FG28" s="384">
        <v>1438</v>
      </c>
      <c r="FH28" s="384">
        <f t="shared" si="410"/>
        <v>2758</v>
      </c>
      <c r="FI28" s="384">
        <v>1263</v>
      </c>
      <c r="FJ28" s="384">
        <v>1324</v>
      </c>
      <c r="FK28" s="384">
        <f t="shared" si="411"/>
        <v>2587</v>
      </c>
      <c r="FL28" s="384">
        <v>1212</v>
      </c>
      <c r="FM28" s="384">
        <v>1298</v>
      </c>
      <c r="FN28" s="384">
        <f t="shared" si="412"/>
        <v>2510</v>
      </c>
      <c r="FO28" s="384">
        <v>1212</v>
      </c>
      <c r="FP28" s="384">
        <v>1349</v>
      </c>
      <c r="FQ28" s="384">
        <f t="shared" si="413"/>
        <v>2561</v>
      </c>
      <c r="FR28" s="384">
        <v>1143</v>
      </c>
      <c r="FS28" s="384">
        <v>1279</v>
      </c>
      <c r="FT28" s="384">
        <f t="shared" si="414"/>
        <v>2422</v>
      </c>
      <c r="FU28" s="384">
        <v>1079</v>
      </c>
      <c r="FV28" s="384">
        <v>1175</v>
      </c>
      <c r="FW28" s="384">
        <f t="shared" si="415"/>
        <v>2254</v>
      </c>
      <c r="FX28" s="384">
        <v>901</v>
      </c>
      <c r="FY28" s="384">
        <v>1052</v>
      </c>
      <c r="FZ28" s="384">
        <f t="shared" si="416"/>
        <v>1953</v>
      </c>
      <c r="GA28" s="384">
        <v>962</v>
      </c>
      <c r="GB28" s="384">
        <v>1229</v>
      </c>
      <c r="GC28" s="384">
        <f t="shared" si="417"/>
        <v>2191</v>
      </c>
      <c r="GD28" s="384">
        <v>944</v>
      </c>
      <c r="GE28" s="384">
        <v>1159</v>
      </c>
      <c r="GF28" s="384">
        <f t="shared" si="418"/>
        <v>2103</v>
      </c>
      <c r="GG28" s="384">
        <v>851</v>
      </c>
      <c r="GH28" s="384">
        <v>1057</v>
      </c>
      <c r="GI28" s="384">
        <f t="shared" si="419"/>
        <v>1908</v>
      </c>
      <c r="GJ28" s="384">
        <v>848</v>
      </c>
      <c r="GK28" s="384">
        <v>1061</v>
      </c>
      <c r="GL28" s="384">
        <f t="shared" si="420"/>
        <v>1909</v>
      </c>
      <c r="GM28" s="384">
        <v>751</v>
      </c>
      <c r="GN28" s="384">
        <v>938</v>
      </c>
      <c r="GO28" s="384">
        <f t="shared" si="421"/>
        <v>1689</v>
      </c>
      <c r="GP28" s="384">
        <v>815</v>
      </c>
      <c r="GQ28" s="384">
        <v>961</v>
      </c>
      <c r="GR28" s="384">
        <f t="shared" si="422"/>
        <v>1776</v>
      </c>
      <c r="GS28" s="384">
        <v>819</v>
      </c>
      <c r="GT28" s="384">
        <v>1026</v>
      </c>
      <c r="GU28" s="384">
        <f t="shared" si="423"/>
        <v>1845</v>
      </c>
      <c r="GV28" s="384">
        <v>705</v>
      </c>
      <c r="GW28" s="384">
        <v>878</v>
      </c>
      <c r="GX28" s="384">
        <f t="shared" si="424"/>
        <v>1583</v>
      </c>
      <c r="GY28" s="384">
        <v>684</v>
      </c>
      <c r="GZ28" s="384">
        <v>799</v>
      </c>
      <c r="HA28" s="384">
        <f t="shared" si="425"/>
        <v>1483</v>
      </c>
      <c r="HB28" s="384">
        <v>643</v>
      </c>
      <c r="HC28" s="384">
        <v>709</v>
      </c>
      <c r="HD28" s="384">
        <f t="shared" si="426"/>
        <v>1352</v>
      </c>
      <c r="HE28" s="384">
        <v>601</v>
      </c>
      <c r="HF28" s="384">
        <v>658</v>
      </c>
      <c r="HG28" s="384">
        <f t="shared" si="427"/>
        <v>1259</v>
      </c>
      <c r="HH28" s="384">
        <v>593</v>
      </c>
      <c r="HI28" s="384">
        <v>621</v>
      </c>
      <c r="HJ28" s="384">
        <f t="shared" si="428"/>
        <v>1214</v>
      </c>
      <c r="HK28" s="384">
        <v>536</v>
      </c>
      <c r="HL28" s="384">
        <v>525</v>
      </c>
      <c r="HM28" s="384">
        <f t="shared" si="429"/>
        <v>1061</v>
      </c>
      <c r="HN28" s="384">
        <v>468</v>
      </c>
      <c r="HO28" s="384">
        <v>467</v>
      </c>
      <c r="HP28" s="384">
        <f t="shared" si="430"/>
        <v>935</v>
      </c>
      <c r="HQ28" s="384">
        <v>343</v>
      </c>
      <c r="HR28" s="384">
        <v>351</v>
      </c>
      <c r="HS28" s="384">
        <f t="shared" si="431"/>
        <v>694</v>
      </c>
      <c r="HT28" s="384">
        <v>317</v>
      </c>
      <c r="HU28" s="384">
        <v>351</v>
      </c>
      <c r="HV28" s="384">
        <f t="shared" si="432"/>
        <v>668</v>
      </c>
      <c r="HW28" s="384">
        <v>291</v>
      </c>
      <c r="HX28" s="384">
        <v>253</v>
      </c>
      <c r="HY28" s="384">
        <f t="shared" si="433"/>
        <v>544</v>
      </c>
      <c r="HZ28" s="384">
        <v>234</v>
      </c>
      <c r="IA28" s="384">
        <v>224</v>
      </c>
      <c r="IB28" s="384">
        <f t="shared" si="434"/>
        <v>458</v>
      </c>
      <c r="IC28" s="384">
        <v>150</v>
      </c>
      <c r="ID28" s="384">
        <v>210</v>
      </c>
      <c r="IE28" s="384">
        <f t="shared" si="435"/>
        <v>360</v>
      </c>
      <c r="IF28" s="384">
        <v>138</v>
      </c>
      <c r="IG28" s="384">
        <v>145</v>
      </c>
      <c r="IH28" s="384">
        <f t="shared" si="436"/>
        <v>283</v>
      </c>
      <c r="II28" s="384">
        <v>116</v>
      </c>
      <c r="IJ28" s="384">
        <v>149</v>
      </c>
      <c r="IK28" s="384">
        <f t="shared" si="437"/>
        <v>265</v>
      </c>
      <c r="IL28" s="384">
        <v>110</v>
      </c>
      <c r="IM28" s="384">
        <v>136</v>
      </c>
      <c r="IN28" s="384">
        <f t="shared" si="438"/>
        <v>246</v>
      </c>
      <c r="IO28" s="384">
        <v>70</v>
      </c>
      <c r="IP28" s="384">
        <v>93</v>
      </c>
      <c r="IQ28" s="384">
        <f t="shared" si="439"/>
        <v>163</v>
      </c>
      <c r="IR28" s="384">
        <v>93</v>
      </c>
      <c r="IS28" s="384">
        <v>92</v>
      </c>
      <c r="IT28" s="384">
        <f t="shared" si="440"/>
        <v>185</v>
      </c>
      <c r="IU28" s="384">
        <v>55</v>
      </c>
      <c r="IV28" s="384">
        <v>70</v>
      </c>
      <c r="IW28" s="384">
        <f t="shared" si="441"/>
        <v>125</v>
      </c>
      <c r="IX28" s="384">
        <v>47</v>
      </c>
      <c r="IY28" s="384">
        <v>56</v>
      </c>
      <c r="IZ28" s="384">
        <f t="shared" si="442"/>
        <v>103</v>
      </c>
      <c r="JA28" s="384">
        <v>40</v>
      </c>
      <c r="JB28" s="384">
        <v>77</v>
      </c>
      <c r="JC28" s="384">
        <f t="shared" si="443"/>
        <v>117</v>
      </c>
      <c r="JD28" s="384">
        <v>20</v>
      </c>
      <c r="JE28" s="384">
        <v>35</v>
      </c>
      <c r="JF28" s="384">
        <f t="shared" si="444"/>
        <v>55</v>
      </c>
      <c r="JG28" s="384">
        <v>25</v>
      </c>
      <c r="JH28" s="384">
        <v>34</v>
      </c>
      <c r="JI28" s="384">
        <f t="shared" si="445"/>
        <v>59</v>
      </c>
      <c r="JJ28" s="384">
        <v>21</v>
      </c>
      <c r="JK28" s="384">
        <v>24</v>
      </c>
      <c r="JL28" s="384">
        <f t="shared" si="446"/>
        <v>45</v>
      </c>
      <c r="JM28" s="384">
        <v>10</v>
      </c>
      <c r="JN28" s="384">
        <v>35</v>
      </c>
      <c r="JO28" s="384">
        <f t="shared" si="447"/>
        <v>45</v>
      </c>
      <c r="JP28" s="384">
        <v>10</v>
      </c>
      <c r="JQ28" s="384">
        <v>21</v>
      </c>
      <c r="JR28" s="384">
        <f t="shared" si="448"/>
        <v>31</v>
      </c>
      <c r="JS28" s="384">
        <v>9</v>
      </c>
      <c r="JT28" s="384">
        <v>19</v>
      </c>
      <c r="JU28" s="384">
        <f t="shared" si="449"/>
        <v>28</v>
      </c>
      <c r="JV28" s="384">
        <v>4</v>
      </c>
      <c r="JW28" s="384">
        <v>19</v>
      </c>
      <c r="JX28" s="384">
        <f t="shared" si="450"/>
        <v>23</v>
      </c>
      <c r="JY28" s="384">
        <v>0</v>
      </c>
      <c r="JZ28" s="384">
        <v>7</v>
      </c>
      <c r="KA28" s="384">
        <f t="shared" si="451"/>
        <v>7</v>
      </c>
      <c r="KB28" s="384">
        <v>1</v>
      </c>
      <c r="KC28" s="384">
        <v>8</v>
      </c>
      <c r="KD28" s="384">
        <f t="shared" si="452"/>
        <v>9</v>
      </c>
      <c r="KE28" s="384">
        <v>1</v>
      </c>
      <c r="KF28" s="384">
        <v>5</v>
      </c>
      <c r="KG28" s="384">
        <f t="shared" si="453"/>
        <v>6</v>
      </c>
      <c r="KH28" s="384">
        <v>0</v>
      </c>
      <c r="KI28" s="384">
        <v>2</v>
      </c>
      <c r="KJ28" s="384">
        <f t="shared" si="454"/>
        <v>2</v>
      </c>
      <c r="KK28" s="384">
        <v>0</v>
      </c>
      <c r="KL28" s="384">
        <v>1</v>
      </c>
      <c r="KM28" s="384">
        <f t="shared" si="455"/>
        <v>1</v>
      </c>
      <c r="KN28" s="384">
        <v>0</v>
      </c>
      <c r="KO28" s="384">
        <v>4</v>
      </c>
      <c r="KP28" s="384">
        <f t="shared" si="456"/>
        <v>4</v>
      </c>
      <c r="KQ28" s="384">
        <v>1</v>
      </c>
      <c r="KR28" s="384">
        <v>1</v>
      </c>
      <c r="KS28" s="384">
        <f t="shared" si="457"/>
        <v>2</v>
      </c>
      <c r="KT28" s="384">
        <v>1</v>
      </c>
      <c r="KU28" s="384">
        <v>0</v>
      </c>
      <c r="KV28" s="384">
        <f t="shared" si="458"/>
        <v>1</v>
      </c>
      <c r="KW28" s="384">
        <v>0</v>
      </c>
      <c r="KX28" s="384">
        <v>0</v>
      </c>
      <c r="KY28" s="384">
        <f t="shared" si="459"/>
        <v>0</v>
      </c>
      <c r="KZ28" s="384">
        <v>0</v>
      </c>
      <c r="LA28" s="384">
        <v>0</v>
      </c>
      <c r="LB28" s="384">
        <f t="shared" si="460"/>
        <v>0</v>
      </c>
      <c r="LC28" s="384">
        <v>0</v>
      </c>
      <c r="LD28" s="384">
        <v>0</v>
      </c>
      <c r="LE28" s="384">
        <f t="shared" si="461"/>
        <v>0</v>
      </c>
      <c r="LF28" s="384">
        <v>0</v>
      </c>
      <c r="LG28" s="384">
        <v>0</v>
      </c>
      <c r="LH28" s="384">
        <f t="shared" si="462"/>
        <v>0</v>
      </c>
      <c r="LI28" s="384">
        <v>0</v>
      </c>
      <c r="LJ28" s="384">
        <v>0</v>
      </c>
      <c r="LK28" s="384">
        <f t="shared" si="463"/>
        <v>0</v>
      </c>
      <c r="LL28" s="384">
        <v>0</v>
      </c>
      <c r="LM28" s="384">
        <v>0</v>
      </c>
      <c r="LN28" s="384">
        <f t="shared" si="464"/>
        <v>0</v>
      </c>
      <c r="LO28" s="384">
        <v>0</v>
      </c>
      <c r="LP28" s="384">
        <v>0</v>
      </c>
      <c r="LQ28" s="384">
        <f t="shared" si="465"/>
        <v>0</v>
      </c>
      <c r="LR28" s="384">
        <v>0</v>
      </c>
      <c r="LS28" s="384">
        <v>0</v>
      </c>
      <c r="LT28" s="384">
        <f t="shared" si="466"/>
        <v>0</v>
      </c>
      <c r="LU28" s="384">
        <v>0</v>
      </c>
      <c r="LV28" s="384">
        <v>0</v>
      </c>
      <c r="LW28" s="384">
        <f t="shared" si="467"/>
        <v>0</v>
      </c>
      <c r="LX28" s="384">
        <v>0</v>
      </c>
      <c r="LY28" s="384">
        <v>0</v>
      </c>
      <c r="LZ28" s="384">
        <f t="shared" si="468"/>
        <v>0</v>
      </c>
      <c r="MA28" s="384">
        <v>0</v>
      </c>
      <c r="MB28" s="384">
        <v>0</v>
      </c>
      <c r="MC28" s="384">
        <f t="shared" si="469"/>
        <v>0</v>
      </c>
      <c r="MD28" s="384">
        <v>0</v>
      </c>
      <c r="ME28" s="384">
        <v>0</v>
      </c>
      <c r="MF28" s="384">
        <f t="shared" si="470"/>
        <v>0</v>
      </c>
      <c r="MG28" s="384">
        <v>0</v>
      </c>
      <c r="MH28" s="384">
        <v>0</v>
      </c>
      <c r="MI28" s="384">
        <f t="shared" si="471"/>
        <v>0</v>
      </c>
      <c r="MJ28" s="384">
        <v>0</v>
      </c>
      <c r="MK28" s="384">
        <v>0</v>
      </c>
      <c r="ML28" s="384">
        <f t="shared" si="472"/>
        <v>0</v>
      </c>
      <c r="MM28" s="384">
        <v>0</v>
      </c>
      <c r="MN28" s="384">
        <v>0</v>
      </c>
      <c r="MO28" s="384">
        <f t="shared" si="473"/>
        <v>0</v>
      </c>
      <c r="MP28" s="384">
        <v>0</v>
      </c>
      <c r="MQ28" s="384">
        <v>0</v>
      </c>
      <c r="MR28" s="384">
        <f t="shared" si="474"/>
        <v>0</v>
      </c>
      <c r="MS28" s="384">
        <v>0</v>
      </c>
      <c r="MT28" s="384">
        <v>0</v>
      </c>
      <c r="MU28" s="384">
        <f t="shared" si="475"/>
        <v>0</v>
      </c>
      <c r="MV28" s="384">
        <v>0</v>
      </c>
      <c r="MW28" s="384">
        <v>0</v>
      </c>
      <c r="MX28" s="384">
        <f t="shared" si="476"/>
        <v>0</v>
      </c>
      <c r="MY28" s="384">
        <v>0</v>
      </c>
      <c r="MZ28" s="384">
        <v>0</v>
      </c>
      <c r="NA28" s="557">
        <f t="shared" si="477"/>
        <v>0</v>
      </c>
      <c r="NB28" s="384">
        <v>0</v>
      </c>
      <c r="NC28" s="384">
        <v>0</v>
      </c>
      <c r="ND28" s="555">
        <f t="shared" si="478"/>
        <v>0</v>
      </c>
      <c r="NE28" s="570">
        <f>SUM(C28,F28,I28,L28,O28,R28,U28,X28,AA28,AD28,AG28,AJ28,AM28,AP28,AS28,AV28,AY28,BB28,BE28,BH28,BK28,BN28,BQ28,BT28,BW28,BZ28,CC28,CF28,CI28,CL28,CO28,CR28,CU28,CX28,DA28,DD28,DG28,DJ28,DM28,DP28,DS28,DV28,DY28,EB28,EE28,EH28,EK28,EN28,EQ28,ET28,EW28,EZ28,FC28,FF28,FI28,FL28,FO28,FR28,FU28,FX28,GA28,GD28,GG28,GJ28,GM28,GP28,GS28,GV28,GY28,HB28,HE28,HH28,HK28,HN28,HQ28,HT28,HW28,HZ28,IC28,IF28,II28,IL28,IO28,IR28,IU28,IX28,JA28,JD28,JG28,JJ28,JM28,JP28,JS28,JV28,JY28,KB28,KE28,KH28,KK28,KN28,KQ28,KT28,KW28,KZ28,LC28,LF28,LI28,LL28,LO28,LR28,LU28,LX28,MA28,MD28,MG28,MJ28,MM28,MP28,MS28,MV28,MY28)</f>
        <v>108911</v>
      </c>
      <c r="NF28" s="571">
        <f>SUM(D28,G28,J28,M28,P28,S28,V28,Y28,AB28,AE28,AH28,AK28,AN28,AQ28,AT28,AW28,AZ28,BC28,BF28,BI28,BL28,BO28,BR28,BU28,BX28,CA28,CD28,CG28,CJ28,CM28,CP28,CS28,CV28,CY28,DB28,DE28,DH28,DK28,DN28,DQ28,DT28,DW28,DZ28,EC28,EF28,EI28,EL28,EO28,ER28,EU28,EX28,FA28,FD28,FG28,FJ28,FM28,FP28,FS28,FV28,FY28,GB28,GE28,GH28,GK28,GN28,GQ28,GT28,GW28,GZ28,HC28,HF28,HI28,HL28,HO28,HR28,HU28,HX28,IA28,ID28,IG28,IJ28,IM28,IP28,IS28,IV28,IY28,JB28,JE28,JH28,JK28,JN28,JQ28,JT28,JW28,JZ28,KC28,KF28,KI28,KL28,KO28,KR28,KU28,KX28,LA28,LD28,LG28,LJ28,LM28,LP28,LS28,LV28,LY28,MB28,ME28,MH28,MK28,MN28,MQ28,MT28,MW28,MZ28)</f>
        <v>111633</v>
      </c>
      <c r="NG28" s="572">
        <f t="shared" si="480"/>
        <v>220544</v>
      </c>
      <c r="NH28" s="570">
        <f t="shared" si="481"/>
        <v>8046</v>
      </c>
      <c r="NI28" s="571">
        <f t="shared" si="481"/>
        <v>7627</v>
      </c>
      <c r="NJ28" s="572">
        <f t="shared" si="482"/>
        <v>15673</v>
      </c>
    </row>
    <row r="29" spans="1:374" x14ac:dyDescent="0.3">
      <c r="A29" s="558" t="s">
        <v>272</v>
      </c>
      <c r="B29" s="592" t="s">
        <v>57</v>
      </c>
      <c r="C29" s="561">
        <v>246</v>
      </c>
      <c r="D29" s="388">
        <v>215</v>
      </c>
      <c r="E29" s="388">
        <f t="shared" si="357"/>
        <v>461</v>
      </c>
      <c r="F29" s="388">
        <v>268</v>
      </c>
      <c r="G29" s="388">
        <v>309</v>
      </c>
      <c r="H29" s="388">
        <f t="shared" si="358"/>
        <v>577</v>
      </c>
      <c r="I29" s="388">
        <v>377</v>
      </c>
      <c r="J29" s="388">
        <v>332</v>
      </c>
      <c r="K29" s="388">
        <f t="shared" si="359"/>
        <v>709</v>
      </c>
      <c r="L29" s="388">
        <v>414</v>
      </c>
      <c r="M29" s="388">
        <v>418</v>
      </c>
      <c r="N29" s="388">
        <f t="shared" si="360"/>
        <v>832</v>
      </c>
      <c r="O29" s="388">
        <v>471</v>
      </c>
      <c r="P29" s="388">
        <v>419</v>
      </c>
      <c r="Q29" s="388">
        <f t="shared" si="361"/>
        <v>890</v>
      </c>
      <c r="R29" s="388">
        <v>448</v>
      </c>
      <c r="S29" s="388">
        <v>404</v>
      </c>
      <c r="T29" s="388">
        <f t="shared" si="362"/>
        <v>852</v>
      </c>
      <c r="U29" s="388">
        <v>516</v>
      </c>
      <c r="V29" s="388">
        <v>457</v>
      </c>
      <c r="W29" s="388">
        <f t="shared" si="363"/>
        <v>973</v>
      </c>
      <c r="X29" s="388">
        <v>522</v>
      </c>
      <c r="Y29" s="388">
        <v>526</v>
      </c>
      <c r="Z29" s="388">
        <f t="shared" si="364"/>
        <v>1048</v>
      </c>
      <c r="AA29" s="388">
        <v>533</v>
      </c>
      <c r="AB29" s="388">
        <v>497</v>
      </c>
      <c r="AC29" s="388">
        <f t="shared" si="365"/>
        <v>1030</v>
      </c>
      <c r="AD29" s="388">
        <v>479</v>
      </c>
      <c r="AE29" s="388">
        <v>469</v>
      </c>
      <c r="AF29" s="388">
        <f t="shared" si="366"/>
        <v>948</v>
      </c>
      <c r="AG29" s="388">
        <v>466</v>
      </c>
      <c r="AH29" s="388">
        <v>456</v>
      </c>
      <c r="AI29" s="388">
        <f t="shared" si="367"/>
        <v>922</v>
      </c>
      <c r="AJ29" s="388">
        <v>507</v>
      </c>
      <c r="AK29" s="388">
        <v>475</v>
      </c>
      <c r="AL29" s="388">
        <f t="shared" si="368"/>
        <v>982</v>
      </c>
      <c r="AM29" s="388">
        <v>464</v>
      </c>
      <c r="AN29" s="388">
        <v>475</v>
      </c>
      <c r="AO29" s="388">
        <f t="shared" si="369"/>
        <v>939</v>
      </c>
      <c r="AP29" s="388">
        <v>480</v>
      </c>
      <c r="AQ29" s="388">
        <v>496</v>
      </c>
      <c r="AR29" s="388">
        <f t="shared" si="370"/>
        <v>976</v>
      </c>
      <c r="AS29" s="388">
        <v>509</v>
      </c>
      <c r="AT29" s="388">
        <v>484</v>
      </c>
      <c r="AU29" s="388">
        <f t="shared" si="371"/>
        <v>993</v>
      </c>
      <c r="AV29" s="388">
        <v>521</v>
      </c>
      <c r="AW29" s="388">
        <v>458</v>
      </c>
      <c r="AX29" s="388">
        <f t="shared" si="372"/>
        <v>979</v>
      </c>
      <c r="AY29" s="388">
        <v>481</v>
      </c>
      <c r="AZ29" s="388">
        <v>453</v>
      </c>
      <c r="BA29" s="388">
        <f t="shared" si="373"/>
        <v>934</v>
      </c>
      <c r="BB29" s="388">
        <v>405</v>
      </c>
      <c r="BC29" s="388">
        <v>384</v>
      </c>
      <c r="BD29" s="388">
        <f t="shared" si="374"/>
        <v>789</v>
      </c>
      <c r="BE29" s="388">
        <v>465</v>
      </c>
      <c r="BF29" s="388">
        <v>442</v>
      </c>
      <c r="BG29" s="388">
        <f t="shared" si="375"/>
        <v>907</v>
      </c>
      <c r="BH29" s="388">
        <v>453</v>
      </c>
      <c r="BI29" s="388">
        <v>473</v>
      </c>
      <c r="BJ29" s="388">
        <f t="shared" si="376"/>
        <v>926</v>
      </c>
      <c r="BK29" s="388">
        <v>473</v>
      </c>
      <c r="BL29" s="388">
        <v>420</v>
      </c>
      <c r="BM29" s="388">
        <f t="shared" si="377"/>
        <v>893</v>
      </c>
      <c r="BN29" s="388">
        <v>448</v>
      </c>
      <c r="BO29" s="388">
        <v>473</v>
      </c>
      <c r="BP29" s="388">
        <f t="shared" si="378"/>
        <v>921</v>
      </c>
      <c r="BQ29" s="388">
        <v>454</v>
      </c>
      <c r="BR29" s="388">
        <v>480</v>
      </c>
      <c r="BS29" s="388">
        <f t="shared" si="379"/>
        <v>934</v>
      </c>
      <c r="BT29" s="388">
        <v>480</v>
      </c>
      <c r="BU29" s="388">
        <v>496</v>
      </c>
      <c r="BV29" s="388">
        <f t="shared" si="380"/>
        <v>976</v>
      </c>
      <c r="BW29" s="388">
        <v>481</v>
      </c>
      <c r="BX29" s="388">
        <v>487</v>
      </c>
      <c r="BY29" s="388">
        <f t="shared" si="381"/>
        <v>968</v>
      </c>
      <c r="BZ29" s="388">
        <v>489</v>
      </c>
      <c r="CA29" s="388">
        <v>524</v>
      </c>
      <c r="CB29" s="388">
        <f t="shared" si="382"/>
        <v>1013</v>
      </c>
      <c r="CC29" s="388">
        <v>534</v>
      </c>
      <c r="CD29" s="388">
        <v>545</v>
      </c>
      <c r="CE29" s="388">
        <f t="shared" si="383"/>
        <v>1079</v>
      </c>
      <c r="CF29" s="388">
        <v>490</v>
      </c>
      <c r="CG29" s="388">
        <v>462</v>
      </c>
      <c r="CH29" s="388">
        <f t="shared" si="384"/>
        <v>952</v>
      </c>
      <c r="CI29" s="388">
        <v>513</v>
      </c>
      <c r="CJ29" s="388">
        <v>518</v>
      </c>
      <c r="CK29" s="388">
        <f t="shared" si="385"/>
        <v>1031</v>
      </c>
      <c r="CL29" s="388">
        <v>478</v>
      </c>
      <c r="CM29" s="388">
        <v>521</v>
      </c>
      <c r="CN29" s="388">
        <f t="shared" si="386"/>
        <v>999</v>
      </c>
      <c r="CO29" s="388">
        <v>510</v>
      </c>
      <c r="CP29" s="388">
        <v>550</v>
      </c>
      <c r="CQ29" s="388">
        <f t="shared" si="387"/>
        <v>1060</v>
      </c>
      <c r="CR29" s="388">
        <v>530</v>
      </c>
      <c r="CS29" s="388">
        <v>554</v>
      </c>
      <c r="CT29" s="388">
        <f t="shared" si="388"/>
        <v>1084</v>
      </c>
      <c r="CU29" s="388">
        <v>522</v>
      </c>
      <c r="CV29" s="388">
        <v>526</v>
      </c>
      <c r="CW29" s="388">
        <f t="shared" si="389"/>
        <v>1048</v>
      </c>
      <c r="CX29" s="388">
        <v>496</v>
      </c>
      <c r="CY29" s="388">
        <v>513</v>
      </c>
      <c r="CZ29" s="388">
        <f t="shared" si="390"/>
        <v>1009</v>
      </c>
      <c r="DA29" s="388">
        <v>493</v>
      </c>
      <c r="DB29" s="388">
        <v>526</v>
      </c>
      <c r="DC29" s="388">
        <f t="shared" si="391"/>
        <v>1019</v>
      </c>
      <c r="DD29" s="388">
        <v>495</v>
      </c>
      <c r="DE29" s="388">
        <v>524</v>
      </c>
      <c r="DF29" s="388">
        <f t="shared" si="392"/>
        <v>1019</v>
      </c>
      <c r="DG29" s="388">
        <v>476</v>
      </c>
      <c r="DH29" s="388">
        <v>511</v>
      </c>
      <c r="DI29" s="388">
        <f t="shared" si="393"/>
        <v>987</v>
      </c>
      <c r="DJ29" s="388">
        <v>499</v>
      </c>
      <c r="DK29" s="388">
        <v>504</v>
      </c>
      <c r="DL29" s="388">
        <f t="shared" si="394"/>
        <v>1003</v>
      </c>
      <c r="DM29" s="388">
        <v>447</v>
      </c>
      <c r="DN29" s="388">
        <v>453</v>
      </c>
      <c r="DO29" s="388">
        <f t="shared" si="395"/>
        <v>900</v>
      </c>
      <c r="DP29" s="388">
        <v>457</v>
      </c>
      <c r="DQ29" s="388">
        <v>470</v>
      </c>
      <c r="DR29" s="388">
        <f t="shared" si="396"/>
        <v>927</v>
      </c>
      <c r="DS29" s="388">
        <v>505</v>
      </c>
      <c r="DT29" s="388">
        <v>480</v>
      </c>
      <c r="DU29" s="388">
        <f t="shared" si="397"/>
        <v>985</v>
      </c>
      <c r="DV29" s="388">
        <v>467</v>
      </c>
      <c r="DW29" s="388">
        <v>504</v>
      </c>
      <c r="DX29" s="388">
        <f t="shared" si="398"/>
        <v>971</v>
      </c>
      <c r="DY29" s="388">
        <v>454</v>
      </c>
      <c r="DZ29" s="388">
        <v>466</v>
      </c>
      <c r="EA29" s="388">
        <f t="shared" si="399"/>
        <v>920</v>
      </c>
      <c r="EB29" s="388">
        <v>441</v>
      </c>
      <c r="EC29" s="388">
        <v>455</v>
      </c>
      <c r="ED29" s="388">
        <f t="shared" si="400"/>
        <v>896</v>
      </c>
      <c r="EE29" s="388">
        <v>445</v>
      </c>
      <c r="EF29" s="388">
        <v>460</v>
      </c>
      <c r="EG29" s="388">
        <f t="shared" si="401"/>
        <v>905</v>
      </c>
      <c r="EH29" s="388">
        <v>395</v>
      </c>
      <c r="EI29" s="388">
        <v>457</v>
      </c>
      <c r="EJ29" s="388">
        <f t="shared" si="402"/>
        <v>852</v>
      </c>
      <c r="EK29" s="388">
        <v>445</v>
      </c>
      <c r="EL29" s="388">
        <v>459</v>
      </c>
      <c r="EM29" s="388">
        <f t="shared" si="403"/>
        <v>904</v>
      </c>
      <c r="EN29" s="388">
        <v>393</v>
      </c>
      <c r="EO29" s="388">
        <v>418</v>
      </c>
      <c r="EP29" s="388">
        <f t="shared" si="404"/>
        <v>811</v>
      </c>
      <c r="EQ29" s="388">
        <v>391</v>
      </c>
      <c r="ER29" s="388">
        <v>427</v>
      </c>
      <c r="ES29" s="388">
        <f t="shared" si="405"/>
        <v>818</v>
      </c>
      <c r="ET29" s="388">
        <v>363</v>
      </c>
      <c r="EU29" s="388">
        <v>412</v>
      </c>
      <c r="EV29" s="388">
        <f t="shared" si="406"/>
        <v>775</v>
      </c>
      <c r="EW29" s="388">
        <v>388</v>
      </c>
      <c r="EX29" s="388">
        <v>398</v>
      </c>
      <c r="EY29" s="388">
        <f t="shared" si="407"/>
        <v>786</v>
      </c>
      <c r="EZ29" s="388">
        <v>335</v>
      </c>
      <c r="FA29" s="388">
        <v>412</v>
      </c>
      <c r="FB29" s="388">
        <f t="shared" si="408"/>
        <v>747</v>
      </c>
      <c r="FC29" s="388">
        <v>345</v>
      </c>
      <c r="FD29" s="388">
        <v>390</v>
      </c>
      <c r="FE29" s="388">
        <f t="shared" si="409"/>
        <v>735</v>
      </c>
      <c r="FF29" s="388">
        <v>332</v>
      </c>
      <c r="FG29" s="388">
        <v>417</v>
      </c>
      <c r="FH29" s="388">
        <f t="shared" si="410"/>
        <v>749</v>
      </c>
      <c r="FI29" s="388">
        <v>340</v>
      </c>
      <c r="FJ29" s="388">
        <v>384</v>
      </c>
      <c r="FK29" s="388">
        <f t="shared" si="411"/>
        <v>724</v>
      </c>
      <c r="FL29" s="388">
        <v>374</v>
      </c>
      <c r="FM29" s="388">
        <v>357</v>
      </c>
      <c r="FN29" s="388">
        <f t="shared" si="412"/>
        <v>731</v>
      </c>
      <c r="FO29" s="388">
        <v>326</v>
      </c>
      <c r="FP29" s="388">
        <v>385</v>
      </c>
      <c r="FQ29" s="388">
        <f t="shared" si="413"/>
        <v>711</v>
      </c>
      <c r="FR29" s="388">
        <v>300</v>
      </c>
      <c r="FS29" s="388">
        <v>369</v>
      </c>
      <c r="FT29" s="388">
        <f t="shared" si="414"/>
        <v>669</v>
      </c>
      <c r="FU29" s="388">
        <v>300</v>
      </c>
      <c r="FV29" s="388">
        <v>348</v>
      </c>
      <c r="FW29" s="388">
        <f t="shared" si="415"/>
        <v>648</v>
      </c>
      <c r="FX29" s="388">
        <v>266</v>
      </c>
      <c r="FY29" s="388">
        <v>310</v>
      </c>
      <c r="FZ29" s="388">
        <f t="shared" si="416"/>
        <v>576</v>
      </c>
      <c r="GA29" s="388">
        <v>278</v>
      </c>
      <c r="GB29" s="388">
        <v>378</v>
      </c>
      <c r="GC29" s="388">
        <f t="shared" si="417"/>
        <v>656</v>
      </c>
      <c r="GD29" s="388">
        <v>277</v>
      </c>
      <c r="GE29" s="388">
        <v>321</v>
      </c>
      <c r="GF29" s="388">
        <f t="shared" si="418"/>
        <v>598</v>
      </c>
      <c r="GG29" s="388">
        <v>240</v>
      </c>
      <c r="GH29" s="388">
        <v>342</v>
      </c>
      <c r="GI29" s="388">
        <f t="shared" si="419"/>
        <v>582</v>
      </c>
      <c r="GJ29" s="388">
        <v>259</v>
      </c>
      <c r="GK29" s="388">
        <v>317</v>
      </c>
      <c r="GL29" s="388">
        <f t="shared" si="420"/>
        <v>576</v>
      </c>
      <c r="GM29" s="388">
        <v>228</v>
      </c>
      <c r="GN29" s="388">
        <v>277</v>
      </c>
      <c r="GO29" s="388">
        <f t="shared" si="421"/>
        <v>505</v>
      </c>
      <c r="GP29" s="388">
        <v>265</v>
      </c>
      <c r="GQ29" s="388">
        <v>280</v>
      </c>
      <c r="GR29" s="388">
        <f t="shared" si="422"/>
        <v>545</v>
      </c>
      <c r="GS29" s="388">
        <v>252</v>
      </c>
      <c r="GT29" s="388">
        <v>290</v>
      </c>
      <c r="GU29" s="388">
        <f t="shared" si="423"/>
        <v>542</v>
      </c>
      <c r="GV29" s="388">
        <v>207</v>
      </c>
      <c r="GW29" s="388">
        <v>265</v>
      </c>
      <c r="GX29" s="388">
        <f t="shared" si="424"/>
        <v>472</v>
      </c>
      <c r="GY29" s="388">
        <v>218</v>
      </c>
      <c r="GZ29" s="388">
        <v>217</v>
      </c>
      <c r="HA29" s="388">
        <f t="shared" si="425"/>
        <v>435</v>
      </c>
      <c r="HB29" s="388">
        <v>189</v>
      </c>
      <c r="HC29" s="388">
        <v>173</v>
      </c>
      <c r="HD29" s="388">
        <f t="shared" si="426"/>
        <v>362</v>
      </c>
      <c r="HE29" s="388">
        <v>175</v>
      </c>
      <c r="HF29" s="388">
        <v>162</v>
      </c>
      <c r="HG29" s="388">
        <f t="shared" si="427"/>
        <v>337</v>
      </c>
      <c r="HH29" s="388">
        <v>183</v>
      </c>
      <c r="HI29" s="388">
        <v>144</v>
      </c>
      <c r="HJ29" s="388">
        <f t="shared" si="428"/>
        <v>327</v>
      </c>
      <c r="HK29" s="388">
        <v>145</v>
      </c>
      <c r="HL29" s="388">
        <v>126</v>
      </c>
      <c r="HM29" s="388">
        <f t="shared" si="429"/>
        <v>271</v>
      </c>
      <c r="HN29" s="388">
        <v>111</v>
      </c>
      <c r="HO29" s="388">
        <v>106</v>
      </c>
      <c r="HP29" s="388">
        <f t="shared" si="430"/>
        <v>217</v>
      </c>
      <c r="HQ29" s="388">
        <v>96</v>
      </c>
      <c r="HR29" s="388">
        <v>74</v>
      </c>
      <c r="HS29" s="388">
        <f t="shared" si="431"/>
        <v>170</v>
      </c>
      <c r="HT29" s="388">
        <v>79</v>
      </c>
      <c r="HU29" s="388">
        <v>70</v>
      </c>
      <c r="HV29" s="388">
        <f t="shared" si="432"/>
        <v>149</v>
      </c>
      <c r="HW29" s="388">
        <v>62</v>
      </c>
      <c r="HX29" s="388">
        <v>53</v>
      </c>
      <c r="HY29" s="388">
        <f t="shared" si="433"/>
        <v>115</v>
      </c>
      <c r="HZ29" s="388">
        <v>49</v>
      </c>
      <c r="IA29" s="388">
        <v>50</v>
      </c>
      <c r="IB29" s="388">
        <f t="shared" si="434"/>
        <v>99</v>
      </c>
      <c r="IC29" s="388">
        <v>37</v>
      </c>
      <c r="ID29" s="388">
        <v>47</v>
      </c>
      <c r="IE29" s="388">
        <f t="shared" si="435"/>
        <v>84</v>
      </c>
      <c r="IF29" s="388">
        <v>36</v>
      </c>
      <c r="IG29" s="388">
        <v>37</v>
      </c>
      <c r="IH29" s="388">
        <f t="shared" si="436"/>
        <v>73</v>
      </c>
      <c r="II29" s="388">
        <v>36</v>
      </c>
      <c r="IJ29" s="388">
        <v>39</v>
      </c>
      <c r="IK29" s="388">
        <f t="shared" si="437"/>
        <v>75</v>
      </c>
      <c r="IL29" s="388">
        <v>25</v>
      </c>
      <c r="IM29" s="388">
        <v>44</v>
      </c>
      <c r="IN29" s="388">
        <f t="shared" si="438"/>
        <v>69</v>
      </c>
      <c r="IO29" s="388">
        <v>13</v>
      </c>
      <c r="IP29" s="388">
        <v>24</v>
      </c>
      <c r="IQ29" s="388">
        <f t="shared" si="439"/>
        <v>37</v>
      </c>
      <c r="IR29" s="388">
        <v>24</v>
      </c>
      <c r="IS29" s="388">
        <v>25</v>
      </c>
      <c r="IT29" s="388">
        <f t="shared" si="440"/>
        <v>49</v>
      </c>
      <c r="IU29" s="388">
        <v>16</v>
      </c>
      <c r="IV29" s="388">
        <v>23</v>
      </c>
      <c r="IW29" s="388">
        <f t="shared" si="441"/>
        <v>39</v>
      </c>
      <c r="IX29" s="388">
        <v>13</v>
      </c>
      <c r="IY29" s="388">
        <v>12</v>
      </c>
      <c r="IZ29" s="388">
        <f t="shared" si="442"/>
        <v>25</v>
      </c>
      <c r="JA29" s="388">
        <v>11</v>
      </c>
      <c r="JB29" s="388">
        <v>19</v>
      </c>
      <c r="JC29" s="388">
        <f t="shared" si="443"/>
        <v>30</v>
      </c>
      <c r="JD29" s="388">
        <v>7</v>
      </c>
      <c r="JE29" s="388">
        <v>9</v>
      </c>
      <c r="JF29" s="388">
        <f t="shared" si="444"/>
        <v>16</v>
      </c>
      <c r="JG29" s="388">
        <v>10</v>
      </c>
      <c r="JH29" s="388">
        <v>10</v>
      </c>
      <c r="JI29" s="388">
        <f t="shared" si="445"/>
        <v>20</v>
      </c>
      <c r="JJ29" s="388">
        <v>8</v>
      </c>
      <c r="JK29" s="388">
        <v>9</v>
      </c>
      <c r="JL29" s="388">
        <f t="shared" si="446"/>
        <v>17</v>
      </c>
      <c r="JM29" s="388">
        <v>3</v>
      </c>
      <c r="JN29" s="388">
        <v>8</v>
      </c>
      <c r="JO29" s="388">
        <f t="shared" si="447"/>
        <v>11</v>
      </c>
      <c r="JP29" s="388">
        <v>2</v>
      </c>
      <c r="JQ29" s="388">
        <v>4</v>
      </c>
      <c r="JR29" s="388">
        <f t="shared" si="448"/>
        <v>6</v>
      </c>
      <c r="JS29" s="388">
        <v>2</v>
      </c>
      <c r="JT29" s="388">
        <v>3</v>
      </c>
      <c r="JU29" s="388">
        <f t="shared" si="449"/>
        <v>5</v>
      </c>
      <c r="JV29" s="388">
        <v>0</v>
      </c>
      <c r="JW29" s="388">
        <v>7</v>
      </c>
      <c r="JX29" s="388">
        <f t="shared" si="450"/>
        <v>7</v>
      </c>
      <c r="JY29" s="388">
        <v>0</v>
      </c>
      <c r="JZ29" s="388">
        <v>3</v>
      </c>
      <c r="KA29" s="388">
        <f t="shared" si="451"/>
        <v>3</v>
      </c>
      <c r="KB29" s="388">
        <v>0</v>
      </c>
      <c r="KC29" s="388">
        <v>2</v>
      </c>
      <c r="KD29" s="388">
        <f t="shared" si="452"/>
        <v>2</v>
      </c>
      <c r="KE29" s="388">
        <v>0</v>
      </c>
      <c r="KF29" s="388">
        <v>2</v>
      </c>
      <c r="KG29" s="388">
        <f t="shared" si="453"/>
        <v>2</v>
      </c>
      <c r="KH29" s="388">
        <v>0</v>
      </c>
      <c r="KI29" s="388">
        <v>0</v>
      </c>
      <c r="KJ29" s="388">
        <f t="shared" si="454"/>
        <v>0</v>
      </c>
      <c r="KK29" s="388">
        <v>0</v>
      </c>
      <c r="KL29" s="388">
        <v>1</v>
      </c>
      <c r="KM29" s="388">
        <f t="shared" si="455"/>
        <v>1</v>
      </c>
      <c r="KN29" s="388">
        <v>0</v>
      </c>
      <c r="KO29" s="388">
        <v>0</v>
      </c>
      <c r="KP29" s="388">
        <f t="shared" si="456"/>
        <v>0</v>
      </c>
      <c r="KQ29" s="388">
        <v>1</v>
      </c>
      <c r="KR29" s="388">
        <v>0</v>
      </c>
      <c r="KS29" s="388">
        <f t="shared" si="457"/>
        <v>1</v>
      </c>
      <c r="KT29" s="388">
        <v>0</v>
      </c>
      <c r="KU29" s="388">
        <v>0</v>
      </c>
      <c r="KV29" s="388">
        <f t="shared" si="458"/>
        <v>0</v>
      </c>
      <c r="KW29" s="388">
        <v>0</v>
      </c>
      <c r="KX29" s="388">
        <v>0</v>
      </c>
      <c r="KY29" s="388">
        <f t="shared" si="459"/>
        <v>0</v>
      </c>
      <c r="KZ29" s="388">
        <v>0</v>
      </c>
      <c r="LA29" s="388">
        <v>0</v>
      </c>
      <c r="LB29" s="388">
        <f t="shared" si="460"/>
        <v>0</v>
      </c>
      <c r="LC29" s="388">
        <v>0</v>
      </c>
      <c r="LD29" s="388">
        <v>0</v>
      </c>
      <c r="LE29" s="388">
        <f t="shared" si="461"/>
        <v>0</v>
      </c>
      <c r="LF29" s="388">
        <v>0</v>
      </c>
      <c r="LG29" s="388">
        <v>0</v>
      </c>
      <c r="LH29" s="388">
        <f t="shared" si="462"/>
        <v>0</v>
      </c>
      <c r="LI29" s="388">
        <v>0</v>
      </c>
      <c r="LJ29" s="388">
        <v>0</v>
      </c>
      <c r="LK29" s="388">
        <f t="shared" si="463"/>
        <v>0</v>
      </c>
      <c r="LL29" s="388">
        <v>0</v>
      </c>
      <c r="LM29" s="388">
        <v>0</v>
      </c>
      <c r="LN29" s="388">
        <f t="shared" si="464"/>
        <v>0</v>
      </c>
      <c r="LO29" s="388">
        <v>0</v>
      </c>
      <c r="LP29" s="388">
        <v>0</v>
      </c>
      <c r="LQ29" s="388">
        <f t="shared" si="465"/>
        <v>0</v>
      </c>
      <c r="LR29" s="388">
        <v>0</v>
      </c>
      <c r="LS29" s="388">
        <v>0</v>
      </c>
      <c r="LT29" s="388">
        <f t="shared" si="466"/>
        <v>0</v>
      </c>
      <c r="LU29" s="388">
        <v>0</v>
      </c>
      <c r="LV29" s="388">
        <v>0</v>
      </c>
      <c r="LW29" s="388">
        <f t="shared" si="467"/>
        <v>0</v>
      </c>
      <c r="LX29" s="388">
        <v>0</v>
      </c>
      <c r="LY29" s="388">
        <v>0</v>
      </c>
      <c r="LZ29" s="388">
        <f t="shared" si="468"/>
        <v>0</v>
      </c>
      <c r="MA29" s="388">
        <v>0</v>
      </c>
      <c r="MB29" s="388">
        <v>0</v>
      </c>
      <c r="MC29" s="388">
        <f t="shared" si="469"/>
        <v>0</v>
      </c>
      <c r="MD29" s="388">
        <v>0</v>
      </c>
      <c r="ME29" s="388">
        <v>0</v>
      </c>
      <c r="MF29" s="388">
        <f t="shared" si="470"/>
        <v>0</v>
      </c>
      <c r="MG29" s="388">
        <v>0</v>
      </c>
      <c r="MH29" s="388">
        <v>0</v>
      </c>
      <c r="MI29" s="388">
        <f t="shared" si="471"/>
        <v>0</v>
      </c>
      <c r="MJ29" s="388">
        <v>0</v>
      </c>
      <c r="MK29" s="388">
        <v>0</v>
      </c>
      <c r="ML29" s="388">
        <f t="shared" si="472"/>
        <v>0</v>
      </c>
      <c r="MM29" s="388">
        <v>0</v>
      </c>
      <c r="MN29" s="388">
        <v>0</v>
      </c>
      <c r="MO29" s="388">
        <f t="shared" si="473"/>
        <v>0</v>
      </c>
      <c r="MP29" s="388">
        <v>0</v>
      </c>
      <c r="MQ29" s="388">
        <v>0</v>
      </c>
      <c r="MR29" s="388">
        <f t="shared" si="474"/>
        <v>0</v>
      </c>
      <c r="MS29" s="388">
        <v>0</v>
      </c>
      <c r="MT29" s="388">
        <v>0</v>
      </c>
      <c r="MU29" s="388">
        <f t="shared" si="475"/>
        <v>0</v>
      </c>
      <c r="MV29" s="388">
        <v>0</v>
      </c>
      <c r="MW29" s="388">
        <v>0</v>
      </c>
      <c r="MX29" s="388">
        <f t="shared" si="476"/>
        <v>0</v>
      </c>
      <c r="MY29" s="388">
        <v>0</v>
      </c>
      <c r="MZ29" s="388">
        <v>0</v>
      </c>
      <c r="NA29" s="562">
        <f t="shared" si="477"/>
        <v>0</v>
      </c>
      <c r="NB29" s="388">
        <v>0</v>
      </c>
      <c r="NC29" s="388">
        <v>0</v>
      </c>
      <c r="ND29" s="560">
        <f t="shared" si="478"/>
        <v>0</v>
      </c>
      <c r="NE29" s="559">
        <f>SUM(C29,F29,I29,L29,O29,R29,U29,X29,AA29,AD29,AG29,AJ29,AM29,AP29,AS29,AV29,AY29,BB29,BE29,BH29,BK29,BN29,BQ29,BT29,BW29,BZ29,CC29,CF29,CI29,CL29,CO29,CR29,CU29,CX29,DA29,DD29,DG29,DJ29,DM29,DP29,DS29,DV29,DY29,EB29,EE29,EH29,EK29,EN29,EQ29,ET29,EW29,EZ29,FC29,FF29,FI29,FL29,FO29,FR29,FU29,FX29,GA29,GD29,GG29,GJ29,GM29,GP29,GS29,GV29,GY29,HB29,HE29,HH29,HK29,HN29,HQ29,HT29,HW29,HZ29,IC29,IF29,II29,IL29,IO29,IR29,IU29,IX29,JA29,JD29,JG29,JJ29,JM29,JP29,JS29,JV29,JY29,KB29,KE29,KH29,KK29,KN29,KQ29,KT29,KW29,KZ29,LC29,LF29,LI29,LL29,LO29,LR29,LU29,LX29,MA29,MD29,MG29,MJ29,MM29,MP29,MS29,MV29,MY29)</f>
        <v>29952</v>
      </c>
      <c r="NF29" s="388">
        <f>SUM(D29,G29,J29,M29,P29,S29,V29,Y29,AB29,AE29,AH29,AK29,AN29,AQ29,AT29,AW29,AZ29,BC29,BF29,BI29,BL29,BO29,BR29,BU29,BX29,CA29,CD29,CG29,CJ29,CM29,CP29,CS29,CV29,CY29,DB29,DE29,DH29,DK29,DN29,DQ29,DT29,DW29,DZ29,EC29,EF29,EI29,EL29,EO29,ER29,EU29,EX29,FA29,FD29,FG29,FJ29,FM29,FP29,FS29,FV29,FY29,GB29,GE29,GH29,GK29,GN29,GQ29,GT29,GW29,GZ29,HC29,HF29,HI29,HL29,HO29,HR29,HU29,HX29,IA29,ID29,IG29,IJ29,IM29,IP29,IS29,IV29,IY29,JB29,JE29,JH29,JK29,JN29,JQ29,JT29,JW29,JZ29,KC29,KF29,KI29,KL29,KO29,KR29,KU29,KX29,LA29,LD29,LG29,LJ29,LM29,LP29,LS29,LV29,LY29,MB29,ME29,MH29,MK29,MN29,MQ29,MT29,MW29,MZ29)</f>
        <v>30980</v>
      </c>
      <c r="NG29" s="560">
        <f t="shared" si="480"/>
        <v>60932</v>
      </c>
      <c r="NH29" s="559">
        <f t="shared" si="481"/>
        <v>2224</v>
      </c>
      <c r="NI29" s="388">
        <f t="shared" si="481"/>
        <v>2097</v>
      </c>
      <c r="NJ29" s="560">
        <f t="shared" si="482"/>
        <v>4321</v>
      </c>
    </row>
    <row r="30" spans="1:374" x14ac:dyDescent="0.3">
      <c r="A30" s="558" t="s">
        <v>273</v>
      </c>
      <c r="B30" s="592" t="s">
        <v>59</v>
      </c>
      <c r="C30" s="561">
        <v>70</v>
      </c>
      <c r="D30" s="388">
        <v>62</v>
      </c>
      <c r="E30" s="388">
        <f t="shared" si="357"/>
        <v>132</v>
      </c>
      <c r="F30" s="388">
        <v>95</v>
      </c>
      <c r="G30" s="388">
        <v>90</v>
      </c>
      <c r="H30" s="388">
        <f t="shared" si="358"/>
        <v>185</v>
      </c>
      <c r="I30" s="388">
        <v>125</v>
      </c>
      <c r="J30" s="388">
        <v>118</v>
      </c>
      <c r="K30" s="388">
        <f t="shared" si="359"/>
        <v>243</v>
      </c>
      <c r="L30" s="388">
        <v>119</v>
      </c>
      <c r="M30" s="388">
        <v>118</v>
      </c>
      <c r="N30" s="388">
        <f t="shared" si="360"/>
        <v>237</v>
      </c>
      <c r="O30" s="388">
        <v>169</v>
      </c>
      <c r="P30" s="388">
        <v>119</v>
      </c>
      <c r="Q30" s="388">
        <f t="shared" si="361"/>
        <v>288</v>
      </c>
      <c r="R30" s="388">
        <v>144</v>
      </c>
      <c r="S30" s="388">
        <v>147</v>
      </c>
      <c r="T30" s="388">
        <f t="shared" si="362"/>
        <v>291</v>
      </c>
      <c r="U30" s="388">
        <v>153</v>
      </c>
      <c r="V30" s="388">
        <v>151</v>
      </c>
      <c r="W30" s="388">
        <f t="shared" si="363"/>
        <v>304</v>
      </c>
      <c r="X30" s="388">
        <v>191</v>
      </c>
      <c r="Y30" s="388">
        <v>172</v>
      </c>
      <c r="Z30" s="388">
        <f t="shared" si="364"/>
        <v>363</v>
      </c>
      <c r="AA30" s="388">
        <v>153</v>
      </c>
      <c r="AB30" s="388">
        <v>161</v>
      </c>
      <c r="AC30" s="388">
        <f t="shared" si="365"/>
        <v>314</v>
      </c>
      <c r="AD30" s="388">
        <v>144</v>
      </c>
      <c r="AE30" s="388">
        <v>142</v>
      </c>
      <c r="AF30" s="388">
        <f t="shared" si="366"/>
        <v>286</v>
      </c>
      <c r="AG30" s="388">
        <v>155</v>
      </c>
      <c r="AH30" s="388">
        <v>140</v>
      </c>
      <c r="AI30" s="388">
        <f t="shared" si="367"/>
        <v>295</v>
      </c>
      <c r="AJ30" s="388">
        <v>163</v>
      </c>
      <c r="AK30" s="388">
        <v>157</v>
      </c>
      <c r="AL30" s="388">
        <f t="shared" si="368"/>
        <v>320</v>
      </c>
      <c r="AM30" s="388">
        <v>159</v>
      </c>
      <c r="AN30" s="388">
        <v>151</v>
      </c>
      <c r="AO30" s="388">
        <f t="shared" si="369"/>
        <v>310</v>
      </c>
      <c r="AP30" s="388">
        <v>160</v>
      </c>
      <c r="AQ30" s="388">
        <v>145</v>
      </c>
      <c r="AR30" s="388">
        <f t="shared" si="370"/>
        <v>305</v>
      </c>
      <c r="AS30" s="388">
        <v>161</v>
      </c>
      <c r="AT30" s="388">
        <v>149</v>
      </c>
      <c r="AU30" s="388">
        <f t="shared" si="371"/>
        <v>310</v>
      </c>
      <c r="AV30" s="388">
        <v>142</v>
      </c>
      <c r="AW30" s="388">
        <v>134</v>
      </c>
      <c r="AX30" s="388">
        <f t="shared" si="372"/>
        <v>276</v>
      </c>
      <c r="AY30" s="388">
        <v>150</v>
      </c>
      <c r="AZ30" s="388">
        <v>136</v>
      </c>
      <c r="BA30" s="388">
        <f t="shared" si="373"/>
        <v>286</v>
      </c>
      <c r="BB30" s="388">
        <v>126</v>
      </c>
      <c r="BC30" s="388">
        <v>123</v>
      </c>
      <c r="BD30" s="388">
        <f t="shared" si="374"/>
        <v>249</v>
      </c>
      <c r="BE30" s="388">
        <v>134</v>
      </c>
      <c r="BF30" s="388">
        <v>123</v>
      </c>
      <c r="BG30" s="388">
        <f t="shared" si="375"/>
        <v>257</v>
      </c>
      <c r="BH30" s="388">
        <v>151</v>
      </c>
      <c r="BI30" s="388">
        <v>145</v>
      </c>
      <c r="BJ30" s="388">
        <f t="shared" si="376"/>
        <v>296</v>
      </c>
      <c r="BK30" s="388">
        <v>135</v>
      </c>
      <c r="BL30" s="388">
        <v>135</v>
      </c>
      <c r="BM30" s="388">
        <f t="shared" si="377"/>
        <v>270</v>
      </c>
      <c r="BN30" s="388">
        <v>140</v>
      </c>
      <c r="BO30" s="388">
        <v>130</v>
      </c>
      <c r="BP30" s="388">
        <f t="shared" si="378"/>
        <v>270</v>
      </c>
      <c r="BQ30" s="388">
        <v>129</v>
      </c>
      <c r="BR30" s="388">
        <v>143</v>
      </c>
      <c r="BS30" s="388">
        <f t="shared" si="379"/>
        <v>272</v>
      </c>
      <c r="BT30" s="388">
        <v>151</v>
      </c>
      <c r="BU30" s="388">
        <v>120</v>
      </c>
      <c r="BV30" s="388">
        <f t="shared" si="380"/>
        <v>271</v>
      </c>
      <c r="BW30" s="388">
        <v>127</v>
      </c>
      <c r="BX30" s="388">
        <v>142</v>
      </c>
      <c r="BY30" s="388">
        <f t="shared" si="381"/>
        <v>269</v>
      </c>
      <c r="BZ30" s="388">
        <v>156</v>
      </c>
      <c r="CA30" s="388">
        <v>143</v>
      </c>
      <c r="CB30" s="388">
        <f t="shared" si="382"/>
        <v>299</v>
      </c>
      <c r="CC30" s="388">
        <v>126</v>
      </c>
      <c r="CD30" s="388">
        <v>135</v>
      </c>
      <c r="CE30" s="388">
        <f t="shared" si="383"/>
        <v>261</v>
      </c>
      <c r="CF30" s="388">
        <v>147</v>
      </c>
      <c r="CG30" s="388">
        <v>143</v>
      </c>
      <c r="CH30" s="388">
        <f t="shared" si="384"/>
        <v>290</v>
      </c>
      <c r="CI30" s="388">
        <v>132</v>
      </c>
      <c r="CJ30" s="388">
        <v>145</v>
      </c>
      <c r="CK30" s="388">
        <f t="shared" si="385"/>
        <v>277</v>
      </c>
      <c r="CL30" s="388">
        <v>140</v>
      </c>
      <c r="CM30" s="388">
        <v>132</v>
      </c>
      <c r="CN30" s="388">
        <f t="shared" si="386"/>
        <v>272</v>
      </c>
      <c r="CO30" s="388">
        <v>129</v>
      </c>
      <c r="CP30" s="388">
        <v>144</v>
      </c>
      <c r="CQ30" s="388">
        <f t="shared" si="387"/>
        <v>273</v>
      </c>
      <c r="CR30" s="388">
        <v>140</v>
      </c>
      <c r="CS30" s="388">
        <v>157</v>
      </c>
      <c r="CT30" s="388">
        <f t="shared" si="388"/>
        <v>297</v>
      </c>
      <c r="CU30" s="388">
        <v>134</v>
      </c>
      <c r="CV30" s="388">
        <v>130</v>
      </c>
      <c r="CW30" s="388">
        <f t="shared" si="389"/>
        <v>264</v>
      </c>
      <c r="CX30" s="388">
        <v>117</v>
      </c>
      <c r="CY30" s="388">
        <v>149</v>
      </c>
      <c r="CZ30" s="388">
        <f t="shared" si="390"/>
        <v>266</v>
      </c>
      <c r="DA30" s="388">
        <v>148</v>
      </c>
      <c r="DB30" s="388">
        <v>129</v>
      </c>
      <c r="DC30" s="388">
        <f t="shared" si="391"/>
        <v>277</v>
      </c>
      <c r="DD30" s="388">
        <v>138</v>
      </c>
      <c r="DE30" s="388">
        <v>134</v>
      </c>
      <c r="DF30" s="388">
        <f t="shared" si="392"/>
        <v>272</v>
      </c>
      <c r="DG30" s="388">
        <v>146</v>
      </c>
      <c r="DH30" s="388">
        <v>156</v>
      </c>
      <c r="DI30" s="388">
        <f t="shared" si="393"/>
        <v>302</v>
      </c>
      <c r="DJ30" s="388">
        <v>133</v>
      </c>
      <c r="DK30" s="388">
        <v>135</v>
      </c>
      <c r="DL30" s="388">
        <f t="shared" si="394"/>
        <v>268</v>
      </c>
      <c r="DM30" s="388">
        <v>144</v>
      </c>
      <c r="DN30" s="388">
        <v>133</v>
      </c>
      <c r="DO30" s="388">
        <f t="shared" si="395"/>
        <v>277</v>
      </c>
      <c r="DP30" s="388">
        <v>123</v>
      </c>
      <c r="DQ30" s="388">
        <v>129</v>
      </c>
      <c r="DR30" s="388">
        <f t="shared" si="396"/>
        <v>252</v>
      </c>
      <c r="DS30" s="388">
        <v>140</v>
      </c>
      <c r="DT30" s="388">
        <v>140</v>
      </c>
      <c r="DU30" s="388">
        <f t="shared" si="397"/>
        <v>280</v>
      </c>
      <c r="DV30" s="388">
        <v>145</v>
      </c>
      <c r="DW30" s="388">
        <v>153</v>
      </c>
      <c r="DX30" s="388">
        <f t="shared" si="398"/>
        <v>298</v>
      </c>
      <c r="DY30" s="388">
        <v>132</v>
      </c>
      <c r="DZ30" s="388">
        <v>160</v>
      </c>
      <c r="EA30" s="388">
        <f t="shared" si="399"/>
        <v>292</v>
      </c>
      <c r="EB30" s="388">
        <v>139</v>
      </c>
      <c r="EC30" s="388">
        <v>153</v>
      </c>
      <c r="ED30" s="388">
        <f t="shared" si="400"/>
        <v>292</v>
      </c>
      <c r="EE30" s="388">
        <v>170</v>
      </c>
      <c r="EF30" s="388">
        <v>156</v>
      </c>
      <c r="EG30" s="388">
        <f t="shared" si="401"/>
        <v>326</v>
      </c>
      <c r="EH30" s="388">
        <v>139</v>
      </c>
      <c r="EI30" s="388">
        <v>137</v>
      </c>
      <c r="EJ30" s="388">
        <f t="shared" si="402"/>
        <v>276</v>
      </c>
      <c r="EK30" s="388">
        <v>165</v>
      </c>
      <c r="EL30" s="388">
        <v>137</v>
      </c>
      <c r="EM30" s="388">
        <f t="shared" si="403"/>
        <v>302</v>
      </c>
      <c r="EN30" s="388">
        <v>125</v>
      </c>
      <c r="EO30" s="388">
        <v>127</v>
      </c>
      <c r="EP30" s="388">
        <f t="shared" si="404"/>
        <v>252</v>
      </c>
      <c r="EQ30" s="388">
        <v>131</v>
      </c>
      <c r="ER30" s="388">
        <v>114</v>
      </c>
      <c r="ES30" s="388">
        <f t="shared" si="405"/>
        <v>245</v>
      </c>
      <c r="ET30" s="388">
        <v>118</v>
      </c>
      <c r="EU30" s="388">
        <v>126</v>
      </c>
      <c r="EV30" s="388">
        <f t="shared" si="406"/>
        <v>244</v>
      </c>
      <c r="EW30" s="388">
        <v>136</v>
      </c>
      <c r="EX30" s="388">
        <v>125</v>
      </c>
      <c r="EY30" s="388">
        <f t="shared" si="407"/>
        <v>261</v>
      </c>
      <c r="EZ30" s="388">
        <v>105</v>
      </c>
      <c r="FA30" s="388">
        <v>133</v>
      </c>
      <c r="FB30" s="388">
        <f t="shared" si="408"/>
        <v>238</v>
      </c>
      <c r="FC30" s="388">
        <v>91</v>
      </c>
      <c r="FD30" s="388">
        <v>109</v>
      </c>
      <c r="FE30" s="388">
        <f t="shared" si="409"/>
        <v>200</v>
      </c>
      <c r="FF30" s="388">
        <v>115</v>
      </c>
      <c r="FG30" s="388">
        <v>117</v>
      </c>
      <c r="FH30" s="388">
        <f t="shared" si="410"/>
        <v>232</v>
      </c>
      <c r="FI30" s="388">
        <v>103</v>
      </c>
      <c r="FJ30" s="388">
        <v>120</v>
      </c>
      <c r="FK30" s="388">
        <f t="shared" si="411"/>
        <v>223</v>
      </c>
      <c r="FL30" s="388">
        <v>79</v>
      </c>
      <c r="FM30" s="388">
        <v>106</v>
      </c>
      <c r="FN30" s="388">
        <f t="shared" si="412"/>
        <v>185</v>
      </c>
      <c r="FO30" s="388">
        <v>127</v>
      </c>
      <c r="FP30" s="388">
        <v>105</v>
      </c>
      <c r="FQ30" s="388">
        <f t="shared" si="413"/>
        <v>232</v>
      </c>
      <c r="FR30" s="388">
        <v>86</v>
      </c>
      <c r="FS30" s="388">
        <v>106</v>
      </c>
      <c r="FT30" s="388">
        <f t="shared" si="414"/>
        <v>192</v>
      </c>
      <c r="FU30" s="388">
        <v>89</v>
      </c>
      <c r="FV30" s="388">
        <v>86</v>
      </c>
      <c r="FW30" s="388">
        <f t="shared" si="415"/>
        <v>175</v>
      </c>
      <c r="FX30" s="388">
        <v>84</v>
      </c>
      <c r="FY30" s="388">
        <v>90</v>
      </c>
      <c r="FZ30" s="388">
        <f t="shared" si="416"/>
        <v>174</v>
      </c>
      <c r="GA30" s="388">
        <v>75</v>
      </c>
      <c r="GB30" s="388">
        <v>73</v>
      </c>
      <c r="GC30" s="388">
        <f t="shared" si="417"/>
        <v>148</v>
      </c>
      <c r="GD30" s="388">
        <v>71</v>
      </c>
      <c r="GE30" s="388">
        <v>83</v>
      </c>
      <c r="GF30" s="388">
        <f t="shared" si="418"/>
        <v>154</v>
      </c>
      <c r="GG30" s="388">
        <v>63</v>
      </c>
      <c r="GH30" s="388">
        <v>65</v>
      </c>
      <c r="GI30" s="388">
        <f t="shared" si="419"/>
        <v>128</v>
      </c>
      <c r="GJ30" s="388">
        <v>64</v>
      </c>
      <c r="GK30" s="388">
        <v>69</v>
      </c>
      <c r="GL30" s="388">
        <f t="shared" si="420"/>
        <v>133</v>
      </c>
      <c r="GM30" s="388">
        <v>55</v>
      </c>
      <c r="GN30" s="388">
        <v>68</v>
      </c>
      <c r="GO30" s="388">
        <f t="shared" si="421"/>
        <v>123</v>
      </c>
      <c r="GP30" s="388">
        <v>53</v>
      </c>
      <c r="GQ30" s="388">
        <v>64</v>
      </c>
      <c r="GR30" s="388">
        <f t="shared" si="422"/>
        <v>117</v>
      </c>
      <c r="GS30" s="388">
        <v>43</v>
      </c>
      <c r="GT30" s="388">
        <v>60</v>
      </c>
      <c r="GU30" s="388">
        <f t="shared" si="423"/>
        <v>103</v>
      </c>
      <c r="GV30" s="388">
        <v>34</v>
      </c>
      <c r="GW30" s="388">
        <v>52</v>
      </c>
      <c r="GX30" s="388">
        <f t="shared" si="424"/>
        <v>86</v>
      </c>
      <c r="GY30" s="388">
        <v>44</v>
      </c>
      <c r="GZ30" s="388">
        <v>38</v>
      </c>
      <c r="HA30" s="388">
        <f t="shared" si="425"/>
        <v>82</v>
      </c>
      <c r="HB30" s="388">
        <v>46</v>
      </c>
      <c r="HC30" s="388">
        <v>46</v>
      </c>
      <c r="HD30" s="388">
        <f t="shared" si="426"/>
        <v>92</v>
      </c>
      <c r="HE30" s="388">
        <v>32</v>
      </c>
      <c r="HF30" s="388">
        <v>30</v>
      </c>
      <c r="HG30" s="388">
        <f t="shared" si="427"/>
        <v>62</v>
      </c>
      <c r="HH30" s="388">
        <v>28</v>
      </c>
      <c r="HI30" s="388">
        <v>43</v>
      </c>
      <c r="HJ30" s="388">
        <f t="shared" si="428"/>
        <v>71</v>
      </c>
      <c r="HK30" s="388">
        <v>24</v>
      </c>
      <c r="HL30" s="388">
        <v>23</v>
      </c>
      <c r="HM30" s="388">
        <f t="shared" si="429"/>
        <v>47</v>
      </c>
      <c r="HN30" s="388">
        <v>34</v>
      </c>
      <c r="HO30" s="388">
        <v>37</v>
      </c>
      <c r="HP30" s="388">
        <f t="shared" si="430"/>
        <v>71</v>
      </c>
      <c r="HQ30" s="388">
        <v>18</v>
      </c>
      <c r="HR30" s="388">
        <v>28</v>
      </c>
      <c r="HS30" s="388">
        <f t="shared" si="431"/>
        <v>46</v>
      </c>
      <c r="HT30" s="388">
        <v>17</v>
      </c>
      <c r="HU30" s="388">
        <v>22</v>
      </c>
      <c r="HV30" s="388">
        <f t="shared" si="432"/>
        <v>39</v>
      </c>
      <c r="HW30" s="388">
        <v>12</v>
      </c>
      <c r="HX30" s="388">
        <v>16</v>
      </c>
      <c r="HY30" s="388">
        <f t="shared" si="433"/>
        <v>28</v>
      </c>
      <c r="HZ30" s="388">
        <v>16</v>
      </c>
      <c r="IA30" s="388">
        <v>13</v>
      </c>
      <c r="IB30" s="388">
        <f t="shared" si="434"/>
        <v>29</v>
      </c>
      <c r="IC30" s="388">
        <v>4</v>
      </c>
      <c r="ID30" s="388">
        <v>15</v>
      </c>
      <c r="IE30" s="388">
        <f t="shared" si="435"/>
        <v>19</v>
      </c>
      <c r="IF30" s="388">
        <v>7</v>
      </c>
      <c r="IG30" s="388">
        <v>10</v>
      </c>
      <c r="IH30" s="388">
        <f t="shared" si="436"/>
        <v>17</v>
      </c>
      <c r="II30" s="388">
        <v>8</v>
      </c>
      <c r="IJ30" s="388">
        <v>17</v>
      </c>
      <c r="IK30" s="388">
        <f t="shared" si="437"/>
        <v>25</v>
      </c>
      <c r="IL30" s="388">
        <v>2</v>
      </c>
      <c r="IM30" s="388">
        <v>11</v>
      </c>
      <c r="IN30" s="388">
        <f t="shared" si="438"/>
        <v>13</v>
      </c>
      <c r="IO30" s="388">
        <v>2</v>
      </c>
      <c r="IP30" s="388">
        <v>3</v>
      </c>
      <c r="IQ30" s="388">
        <f t="shared" si="439"/>
        <v>5</v>
      </c>
      <c r="IR30" s="388">
        <v>3</v>
      </c>
      <c r="IS30" s="388">
        <v>6</v>
      </c>
      <c r="IT30" s="388">
        <f t="shared" si="440"/>
        <v>9</v>
      </c>
      <c r="IU30" s="388">
        <v>3</v>
      </c>
      <c r="IV30" s="388">
        <v>3</v>
      </c>
      <c r="IW30" s="388">
        <f t="shared" si="441"/>
        <v>6</v>
      </c>
      <c r="IX30" s="388">
        <v>4</v>
      </c>
      <c r="IY30" s="388">
        <v>6</v>
      </c>
      <c r="IZ30" s="388">
        <f t="shared" si="442"/>
        <v>10</v>
      </c>
      <c r="JA30" s="388">
        <v>3</v>
      </c>
      <c r="JB30" s="388">
        <v>3</v>
      </c>
      <c r="JC30" s="388">
        <f t="shared" si="443"/>
        <v>6</v>
      </c>
      <c r="JD30" s="388">
        <v>0</v>
      </c>
      <c r="JE30" s="388">
        <v>1</v>
      </c>
      <c r="JF30" s="388">
        <f t="shared" si="444"/>
        <v>1</v>
      </c>
      <c r="JG30" s="388">
        <v>2</v>
      </c>
      <c r="JH30" s="388">
        <v>4</v>
      </c>
      <c r="JI30" s="388">
        <f t="shared" si="445"/>
        <v>6</v>
      </c>
      <c r="JJ30" s="388">
        <v>2</v>
      </c>
      <c r="JK30" s="388">
        <v>0</v>
      </c>
      <c r="JL30" s="388">
        <f t="shared" si="446"/>
        <v>2</v>
      </c>
      <c r="JM30" s="388">
        <v>0</v>
      </c>
      <c r="JN30" s="388">
        <v>2</v>
      </c>
      <c r="JO30" s="388">
        <f t="shared" si="447"/>
        <v>2</v>
      </c>
      <c r="JP30" s="388">
        <v>1</v>
      </c>
      <c r="JQ30" s="388">
        <v>1</v>
      </c>
      <c r="JR30" s="388">
        <f t="shared" si="448"/>
        <v>2</v>
      </c>
      <c r="JS30" s="388">
        <v>0</v>
      </c>
      <c r="JT30" s="388">
        <v>2</v>
      </c>
      <c r="JU30" s="388">
        <f t="shared" si="449"/>
        <v>2</v>
      </c>
      <c r="JV30" s="388">
        <v>0</v>
      </c>
      <c r="JW30" s="388">
        <v>1</v>
      </c>
      <c r="JX30" s="388">
        <f t="shared" si="450"/>
        <v>1</v>
      </c>
      <c r="JY30" s="388">
        <v>0</v>
      </c>
      <c r="JZ30" s="388">
        <v>0</v>
      </c>
      <c r="KA30" s="388">
        <f t="shared" si="451"/>
        <v>0</v>
      </c>
      <c r="KB30" s="388">
        <v>0</v>
      </c>
      <c r="KC30" s="388">
        <v>0</v>
      </c>
      <c r="KD30" s="388">
        <f t="shared" si="452"/>
        <v>0</v>
      </c>
      <c r="KE30" s="388">
        <v>0</v>
      </c>
      <c r="KF30" s="388">
        <v>1</v>
      </c>
      <c r="KG30" s="388">
        <f t="shared" si="453"/>
        <v>1</v>
      </c>
      <c r="KH30" s="388">
        <v>0</v>
      </c>
      <c r="KI30" s="388">
        <v>1</v>
      </c>
      <c r="KJ30" s="388">
        <f t="shared" si="454"/>
        <v>1</v>
      </c>
      <c r="KK30" s="388">
        <v>0</v>
      </c>
      <c r="KL30" s="388">
        <v>0</v>
      </c>
      <c r="KM30" s="388">
        <f t="shared" si="455"/>
        <v>0</v>
      </c>
      <c r="KN30" s="388">
        <v>0</v>
      </c>
      <c r="KO30" s="388">
        <v>1</v>
      </c>
      <c r="KP30" s="388">
        <f t="shared" si="456"/>
        <v>1</v>
      </c>
      <c r="KQ30" s="388">
        <v>0</v>
      </c>
      <c r="KR30" s="388">
        <v>0</v>
      </c>
      <c r="KS30" s="388">
        <f t="shared" si="457"/>
        <v>0</v>
      </c>
      <c r="KT30" s="388">
        <v>1</v>
      </c>
      <c r="KU30" s="388">
        <v>0</v>
      </c>
      <c r="KV30" s="388">
        <f t="shared" si="458"/>
        <v>1</v>
      </c>
      <c r="KW30" s="388">
        <v>0</v>
      </c>
      <c r="KX30" s="388">
        <v>0</v>
      </c>
      <c r="KY30" s="388">
        <f t="shared" si="459"/>
        <v>0</v>
      </c>
      <c r="KZ30" s="388">
        <v>0</v>
      </c>
      <c r="LA30" s="388">
        <v>0</v>
      </c>
      <c r="LB30" s="388">
        <f t="shared" si="460"/>
        <v>0</v>
      </c>
      <c r="LC30" s="388">
        <v>0</v>
      </c>
      <c r="LD30" s="388">
        <v>0</v>
      </c>
      <c r="LE30" s="388">
        <f t="shared" si="461"/>
        <v>0</v>
      </c>
      <c r="LF30" s="388">
        <v>0</v>
      </c>
      <c r="LG30" s="388">
        <v>0</v>
      </c>
      <c r="LH30" s="388">
        <f t="shared" si="462"/>
        <v>0</v>
      </c>
      <c r="LI30" s="388">
        <v>0</v>
      </c>
      <c r="LJ30" s="388">
        <v>0</v>
      </c>
      <c r="LK30" s="388">
        <f t="shared" si="463"/>
        <v>0</v>
      </c>
      <c r="LL30" s="388">
        <v>0</v>
      </c>
      <c r="LM30" s="388">
        <v>0</v>
      </c>
      <c r="LN30" s="388">
        <f t="shared" si="464"/>
        <v>0</v>
      </c>
      <c r="LO30" s="388">
        <v>0</v>
      </c>
      <c r="LP30" s="388">
        <v>0</v>
      </c>
      <c r="LQ30" s="388">
        <f t="shared" si="465"/>
        <v>0</v>
      </c>
      <c r="LR30" s="388">
        <v>0</v>
      </c>
      <c r="LS30" s="388">
        <v>0</v>
      </c>
      <c r="LT30" s="388">
        <f t="shared" si="466"/>
        <v>0</v>
      </c>
      <c r="LU30" s="388">
        <v>0</v>
      </c>
      <c r="LV30" s="388">
        <v>0</v>
      </c>
      <c r="LW30" s="388">
        <f t="shared" si="467"/>
        <v>0</v>
      </c>
      <c r="LX30" s="388">
        <v>0</v>
      </c>
      <c r="LY30" s="388">
        <v>0</v>
      </c>
      <c r="LZ30" s="388">
        <f t="shared" si="468"/>
        <v>0</v>
      </c>
      <c r="MA30" s="388">
        <v>0</v>
      </c>
      <c r="MB30" s="388">
        <v>0</v>
      </c>
      <c r="MC30" s="388">
        <f t="shared" si="469"/>
        <v>0</v>
      </c>
      <c r="MD30" s="388">
        <v>0</v>
      </c>
      <c r="ME30" s="388">
        <v>0</v>
      </c>
      <c r="MF30" s="388">
        <f t="shared" si="470"/>
        <v>0</v>
      </c>
      <c r="MG30" s="388">
        <v>0</v>
      </c>
      <c r="MH30" s="388">
        <v>0</v>
      </c>
      <c r="MI30" s="388">
        <f t="shared" si="471"/>
        <v>0</v>
      </c>
      <c r="MJ30" s="388">
        <v>0</v>
      </c>
      <c r="MK30" s="388">
        <v>0</v>
      </c>
      <c r="ML30" s="388">
        <f t="shared" si="472"/>
        <v>0</v>
      </c>
      <c r="MM30" s="388">
        <v>0</v>
      </c>
      <c r="MN30" s="388">
        <v>0</v>
      </c>
      <c r="MO30" s="388">
        <f t="shared" si="473"/>
        <v>0</v>
      </c>
      <c r="MP30" s="388">
        <v>0</v>
      </c>
      <c r="MQ30" s="388">
        <v>0</v>
      </c>
      <c r="MR30" s="388">
        <f t="shared" si="474"/>
        <v>0</v>
      </c>
      <c r="MS30" s="388">
        <v>0</v>
      </c>
      <c r="MT30" s="388">
        <v>0</v>
      </c>
      <c r="MU30" s="388">
        <f t="shared" si="475"/>
        <v>0</v>
      </c>
      <c r="MV30" s="388">
        <v>0</v>
      </c>
      <c r="MW30" s="388">
        <v>0</v>
      </c>
      <c r="MX30" s="388">
        <f t="shared" si="476"/>
        <v>0</v>
      </c>
      <c r="MY30" s="388">
        <v>0</v>
      </c>
      <c r="MZ30" s="388">
        <v>0</v>
      </c>
      <c r="NA30" s="562">
        <f t="shared" si="477"/>
        <v>0</v>
      </c>
      <c r="NB30" s="388">
        <v>0</v>
      </c>
      <c r="NC30" s="388">
        <v>0</v>
      </c>
      <c r="ND30" s="560">
        <f t="shared" si="478"/>
        <v>0</v>
      </c>
      <c r="NE30" s="559">
        <f t="shared" ref="NE30:NF33" si="484">SUM(C30,F30,I30,L30,O30,R30,U30,X30,AA30,AD30,AG30,AJ30,AM30,AP30,AS30,AV30,AY30,BB30,BE30,BH30,BK30,BN30,BQ30,BT30,BW30,BZ30,CC30,CF30,CI30,CL30,CO30,CR30,CU30,CX30,DA30,DD30,DG30,DJ30,DM30,DP30,DS30,DV30,DY30,EB30,EE30,EH30,EK30,EN30,EQ30,ET30,EW30,EZ30,FC30,FF30,FI30,FL30,FO30,FR30,FU30,FX30,GA30,GD30,GG30,GJ30,GM30,GP30,GS30,GV30,GY30,HB30,HE30,HH30,HK30,HN30,HQ30,HT30,HW30,HZ30,IC30,IF30,II30,IL30,IO30,IR30,IU30,IX30,JA30,JD30,JG30,JJ30,JM30,JP30,JS30,JV30,JY30,KB30,KE30,KH30,KK30,KN30,KQ30,KT30,KW30,KZ30,LC30,LF30,LI30,LL30,LO30,LR30,LU30,LX30,MA30,MD30,MG30,MJ30,MM30,MP30,MS30,MV30,MY30)</f>
        <v>8789</v>
      </c>
      <c r="NF30" s="388">
        <f t="shared" si="484"/>
        <v>8865</v>
      </c>
      <c r="NG30" s="560">
        <f t="shared" si="480"/>
        <v>17654</v>
      </c>
      <c r="NH30" s="559">
        <f t="shared" si="481"/>
        <v>722</v>
      </c>
      <c r="NI30" s="388">
        <f t="shared" si="481"/>
        <v>654</v>
      </c>
      <c r="NJ30" s="560">
        <f t="shared" si="482"/>
        <v>1376</v>
      </c>
    </row>
    <row r="31" spans="1:374" x14ac:dyDescent="0.3">
      <c r="A31" s="558" t="s">
        <v>274</v>
      </c>
      <c r="B31" s="592" t="s">
        <v>62</v>
      </c>
      <c r="C31" s="561">
        <v>153</v>
      </c>
      <c r="D31" s="388">
        <v>142</v>
      </c>
      <c r="E31" s="388">
        <f t="shared" si="357"/>
        <v>295</v>
      </c>
      <c r="F31" s="388">
        <v>201</v>
      </c>
      <c r="G31" s="388">
        <v>173</v>
      </c>
      <c r="H31" s="388">
        <f t="shared" si="358"/>
        <v>374</v>
      </c>
      <c r="I31" s="388">
        <v>248</v>
      </c>
      <c r="J31" s="388">
        <v>233</v>
      </c>
      <c r="K31" s="388">
        <f t="shared" si="359"/>
        <v>481</v>
      </c>
      <c r="L31" s="388">
        <v>284</v>
      </c>
      <c r="M31" s="388">
        <v>245</v>
      </c>
      <c r="N31" s="388">
        <f t="shared" si="360"/>
        <v>529</v>
      </c>
      <c r="O31" s="388">
        <v>289</v>
      </c>
      <c r="P31" s="388">
        <v>273</v>
      </c>
      <c r="Q31" s="388">
        <f t="shared" si="361"/>
        <v>562</v>
      </c>
      <c r="R31" s="388">
        <v>291</v>
      </c>
      <c r="S31" s="388">
        <v>278</v>
      </c>
      <c r="T31" s="388">
        <f t="shared" si="362"/>
        <v>569</v>
      </c>
      <c r="U31" s="388">
        <v>319</v>
      </c>
      <c r="V31" s="388">
        <v>302</v>
      </c>
      <c r="W31" s="388">
        <f t="shared" si="363"/>
        <v>621</v>
      </c>
      <c r="X31" s="388">
        <v>379</v>
      </c>
      <c r="Y31" s="388">
        <v>280</v>
      </c>
      <c r="Z31" s="388">
        <f t="shared" si="364"/>
        <v>659</v>
      </c>
      <c r="AA31" s="388">
        <v>313</v>
      </c>
      <c r="AB31" s="388">
        <v>291</v>
      </c>
      <c r="AC31" s="388">
        <f t="shared" si="365"/>
        <v>604</v>
      </c>
      <c r="AD31" s="388">
        <v>313</v>
      </c>
      <c r="AE31" s="388">
        <v>259</v>
      </c>
      <c r="AF31" s="388">
        <f t="shared" si="366"/>
        <v>572</v>
      </c>
      <c r="AG31" s="388">
        <v>341</v>
      </c>
      <c r="AH31" s="388">
        <v>304</v>
      </c>
      <c r="AI31" s="388">
        <f t="shared" si="367"/>
        <v>645</v>
      </c>
      <c r="AJ31" s="388">
        <v>359</v>
      </c>
      <c r="AK31" s="388">
        <v>295</v>
      </c>
      <c r="AL31" s="388">
        <f t="shared" si="368"/>
        <v>654</v>
      </c>
      <c r="AM31" s="388">
        <v>307</v>
      </c>
      <c r="AN31" s="388">
        <v>264</v>
      </c>
      <c r="AO31" s="388">
        <f t="shared" si="369"/>
        <v>571</v>
      </c>
      <c r="AP31" s="388">
        <v>304</v>
      </c>
      <c r="AQ31" s="388">
        <v>312</v>
      </c>
      <c r="AR31" s="388">
        <f t="shared" si="370"/>
        <v>616</v>
      </c>
      <c r="AS31" s="388">
        <v>333</v>
      </c>
      <c r="AT31" s="388">
        <v>304</v>
      </c>
      <c r="AU31" s="388">
        <f t="shared" si="371"/>
        <v>637</v>
      </c>
      <c r="AV31" s="388">
        <v>294</v>
      </c>
      <c r="AW31" s="388">
        <v>296</v>
      </c>
      <c r="AX31" s="388">
        <f t="shared" si="372"/>
        <v>590</v>
      </c>
      <c r="AY31" s="388">
        <v>310</v>
      </c>
      <c r="AZ31" s="388">
        <v>280</v>
      </c>
      <c r="BA31" s="388">
        <f t="shared" si="373"/>
        <v>590</v>
      </c>
      <c r="BB31" s="388">
        <v>254</v>
      </c>
      <c r="BC31" s="388">
        <v>258</v>
      </c>
      <c r="BD31" s="388">
        <f t="shared" si="374"/>
        <v>512</v>
      </c>
      <c r="BE31" s="388">
        <v>298</v>
      </c>
      <c r="BF31" s="388">
        <v>268</v>
      </c>
      <c r="BG31" s="388">
        <f t="shared" si="375"/>
        <v>566</v>
      </c>
      <c r="BH31" s="388">
        <v>266</v>
      </c>
      <c r="BI31" s="388">
        <v>290</v>
      </c>
      <c r="BJ31" s="388">
        <f t="shared" si="376"/>
        <v>556</v>
      </c>
      <c r="BK31" s="388">
        <v>316</v>
      </c>
      <c r="BL31" s="388">
        <v>251</v>
      </c>
      <c r="BM31" s="388">
        <f t="shared" si="377"/>
        <v>567</v>
      </c>
      <c r="BN31" s="388">
        <v>227</v>
      </c>
      <c r="BO31" s="388">
        <v>284</v>
      </c>
      <c r="BP31" s="388">
        <f t="shared" si="378"/>
        <v>511</v>
      </c>
      <c r="BQ31" s="388">
        <v>294</v>
      </c>
      <c r="BR31" s="388">
        <v>287</v>
      </c>
      <c r="BS31" s="388">
        <f t="shared" si="379"/>
        <v>581</v>
      </c>
      <c r="BT31" s="388">
        <v>324</v>
      </c>
      <c r="BU31" s="388">
        <v>323</v>
      </c>
      <c r="BV31" s="388">
        <f t="shared" si="380"/>
        <v>647</v>
      </c>
      <c r="BW31" s="388">
        <v>321</v>
      </c>
      <c r="BX31" s="388">
        <v>314</v>
      </c>
      <c r="BY31" s="388">
        <f t="shared" si="381"/>
        <v>635</v>
      </c>
      <c r="BZ31" s="388">
        <v>312</v>
      </c>
      <c r="CA31" s="388">
        <v>324</v>
      </c>
      <c r="CB31" s="388">
        <f t="shared" si="382"/>
        <v>636</v>
      </c>
      <c r="CC31" s="388">
        <v>316</v>
      </c>
      <c r="CD31" s="388">
        <v>327</v>
      </c>
      <c r="CE31" s="388">
        <f t="shared" si="383"/>
        <v>643</v>
      </c>
      <c r="CF31" s="388">
        <v>279</v>
      </c>
      <c r="CG31" s="388">
        <v>282</v>
      </c>
      <c r="CH31" s="388">
        <f t="shared" si="384"/>
        <v>561</v>
      </c>
      <c r="CI31" s="388">
        <v>307</v>
      </c>
      <c r="CJ31" s="388">
        <v>320</v>
      </c>
      <c r="CK31" s="388">
        <f t="shared" si="385"/>
        <v>627</v>
      </c>
      <c r="CL31" s="388">
        <v>292</v>
      </c>
      <c r="CM31" s="388">
        <v>310</v>
      </c>
      <c r="CN31" s="388">
        <f t="shared" si="386"/>
        <v>602</v>
      </c>
      <c r="CO31" s="388">
        <v>334</v>
      </c>
      <c r="CP31" s="388">
        <v>308</v>
      </c>
      <c r="CQ31" s="388">
        <f t="shared" si="387"/>
        <v>642</v>
      </c>
      <c r="CR31" s="388">
        <v>292</v>
      </c>
      <c r="CS31" s="388">
        <v>357</v>
      </c>
      <c r="CT31" s="388">
        <f t="shared" si="388"/>
        <v>649</v>
      </c>
      <c r="CU31" s="388">
        <v>304</v>
      </c>
      <c r="CV31" s="388">
        <v>336</v>
      </c>
      <c r="CW31" s="388">
        <f t="shared" si="389"/>
        <v>640</v>
      </c>
      <c r="CX31" s="388">
        <v>293</v>
      </c>
      <c r="CY31" s="388">
        <v>310</v>
      </c>
      <c r="CZ31" s="388">
        <f t="shared" si="390"/>
        <v>603</v>
      </c>
      <c r="DA31" s="388">
        <v>310</v>
      </c>
      <c r="DB31" s="388">
        <v>316</v>
      </c>
      <c r="DC31" s="388">
        <f t="shared" si="391"/>
        <v>626</v>
      </c>
      <c r="DD31" s="388">
        <v>293</v>
      </c>
      <c r="DE31" s="388">
        <v>287</v>
      </c>
      <c r="DF31" s="388">
        <f t="shared" si="392"/>
        <v>580</v>
      </c>
      <c r="DG31" s="388">
        <v>306</v>
      </c>
      <c r="DH31" s="388">
        <v>330</v>
      </c>
      <c r="DI31" s="388">
        <f t="shared" si="393"/>
        <v>636</v>
      </c>
      <c r="DJ31" s="388">
        <v>267</v>
      </c>
      <c r="DK31" s="388">
        <v>276</v>
      </c>
      <c r="DL31" s="388">
        <f t="shared" si="394"/>
        <v>543</v>
      </c>
      <c r="DM31" s="388">
        <v>278</v>
      </c>
      <c r="DN31" s="388">
        <v>259</v>
      </c>
      <c r="DO31" s="388">
        <f t="shared" si="395"/>
        <v>537</v>
      </c>
      <c r="DP31" s="388">
        <v>278</v>
      </c>
      <c r="DQ31" s="388">
        <v>273</v>
      </c>
      <c r="DR31" s="388">
        <f t="shared" si="396"/>
        <v>551</v>
      </c>
      <c r="DS31" s="388">
        <v>312</v>
      </c>
      <c r="DT31" s="388">
        <v>303</v>
      </c>
      <c r="DU31" s="388">
        <f t="shared" si="397"/>
        <v>615</v>
      </c>
      <c r="DV31" s="388">
        <v>293</v>
      </c>
      <c r="DW31" s="388">
        <v>279</v>
      </c>
      <c r="DX31" s="388">
        <f t="shared" si="398"/>
        <v>572</v>
      </c>
      <c r="DY31" s="388">
        <v>272</v>
      </c>
      <c r="DZ31" s="388">
        <v>312</v>
      </c>
      <c r="EA31" s="388">
        <f t="shared" si="399"/>
        <v>584</v>
      </c>
      <c r="EB31" s="388">
        <v>291</v>
      </c>
      <c r="EC31" s="388">
        <v>328</v>
      </c>
      <c r="ED31" s="388">
        <f t="shared" si="400"/>
        <v>619</v>
      </c>
      <c r="EE31" s="388">
        <v>307</v>
      </c>
      <c r="EF31" s="388">
        <v>314</v>
      </c>
      <c r="EG31" s="388">
        <f t="shared" si="401"/>
        <v>621</v>
      </c>
      <c r="EH31" s="388">
        <v>246</v>
      </c>
      <c r="EI31" s="388">
        <v>278</v>
      </c>
      <c r="EJ31" s="388">
        <f t="shared" si="402"/>
        <v>524</v>
      </c>
      <c r="EK31" s="388">
        <v>280</v>
      </c>
      <c r="EL31" s="388">
        <v>308</v>
      </c>
      <c r="EM31" s="388">
        <f t="shared" si="403"/>
        <v>588</v>
      </c>
      <c r="EN31" s="388">
        <v>280</v>
      </c>
      <c r="EO31" s="388">
        <v>282</v>
      </c>
      <c r="EP31" s="388">
        <f t="shared" si="404"/>
        <v>562</v>
      </c>
      <c r="EQ31" s="388">
        <v>262</v>
      </c>
      <c r="ER31" s="388">
        <v>251</v>
      </c>
      <c r="ES31" s="388">
        <f t="shared" si="405"/>
        <v>513</v>
      </c>
      <c r="ET31" s="388">
        <v>254</v>
      </c>
      <c r="EU31" s="388">
        <v>278</v>
      </c>
      <c r="EV31" s="388">
        <f t="shared" si="406"/>
        <v>532</v>
      </c>
      <c r="EW31" s="388">
        <v>273</v>
      </c>
      <c r="EX31" s="388">
        <v>250</v>
      </c>
      <c r="EY31" s="388">
        <f t="shared" si="407"/>
        <v>523</v>
      </c>
      <c r="EZ31" s="388">
        <v>242</v>
      </c>
      <c r="FA31" s="388">
        <v>234</v>
      </c>
      <c r="FB31" s="388">
        <f t="shared" si="408"/>
        <v>476</v>
      </c>
      <c r="FC31" s="388">
        <v>182</v>
      </c>
      <c r="FD31" s="388">
        <v>216</v>
      </c>
      <c r="FE31" s="388">
        <f t="shared" si="409"/>
        <v>398</v>
      </c>
      <c r="FF31" s="388">
        <v>220</v>
      </c>
      <c r="FG31" s="388">
        <v>235</v>
      </c>
      <c r="FH31" s="388">
        <f t="shared" si="410"/>
        <v>455</v>
      </c>
      <c r="FI31" s="388">
        <v>205</v>
      </c>
      <c r="FJ31" s="388">
        <v>226</v>
      </c>
      <c r="FK31" s="388">
        <f t="shared" si="411"/>
        <v>431</v>
      </c>
      <c r="FL31" s="388">
        <v>199</v>
      </c>
      <c r="FM31" s="388">
        <v>243</v>
      </c>
      <c r="FN31" s="388">
        <f t="shared" si="412"/>
        <v>442</v>
      </c>
      <c r="FO31" s="388">
        <v>184</v>
      </c>
      <c r="FP31" s="388">
        <v>234</v>
      </c>
      <c r="FQ31" s="388">
        <f t="shared" si="413"/>
        <v>418</v>
      </c>
      <c r="FR31" s="388">
        <v>201</v>
      </c>
      <c r="FS31" s="388">
        <v>225</v>
      </c>
      <c r="FT31" s="388">
        <f t="shared" si="414"/>
        <v>426</v>
      </c>
      <c r="FU31" s="388">
        <v>165</v>
      </c>
      <c r="FV31" s="388">
        <v>213</v>
      </c>
      <c r="FW31" s="388">
        <f t="shared" si="415"/>
        <v>378</v>
      </c>
      <c r="FX31" s="388">
        <v>162</v>
      </c>
      <c r="FY31" s="388">
        <v>174</v>
      </c>
      <c r="FZ31" s="388">
        <f t="shared" si="416"/>
        <v>336</v>
      </c>
      <c r="GA31" s="388">
        <v>194</v>
      </c>
      <c r="GB31" s="388">
        <v>226</v>
      </c>
      <c r="GC31" s="388">
        <f t="shared" si="417"/>
        <v>420</v>
      </c>
      <c r="GD31" s="388">
        <v>183</v>
      </c>
      <c r="GE31" s="388">
        <v>235</v>
      </c>
      <c r="GF31" s="388">
        <f t="shared" si="418"/>
        <v>418</v>
      </c>
      <c r="GG31" s="388">
        <v>170</v>
      </c>
      <c r="GH31" s="388">
        <v>189</v>
      </c>
      <c r="GI31" s="388">
        <f t="shared" si="419"/>
        <v>359</v>
      </c>
      <c r="GJ31" s="388">
        <v>167</v>
      </c>
      <c r="GK31" s="388">
        <v>182</v>
      </c>
      <c r="GL31" s="388">
        <f t="shared" si="420"/>
        <v>349</v>
      </c>
      <c r="GM31" s="388">
        <v>143</v>
      </c>
      <c r="GN31" s="388">
        <v>148</v>
      </c>
      <c r="GO31" s="388">
        <f t="shared" si="421"/>
        <v>291</v>
      </c>
      <c r="GP31" s="388">
        <v>139</v>
      </c>
      <c r="GQ31" s="388">
        <v>169</v>
      </c>
      <c r="GR31" s="388">
        <f t="shared" si="422"/>
        <v>308</v>
      </c>
      <c r="GS31" s="388">
        <v>172</v>
      </c>
      <c r="GT31" s="388">
        <v>165</v>
      </c>
      <c r="GU31" s="388">
        <f t="shared" si="423"/>
        <v>337</v>
      </c>
      <c r="GV31" s="388">
        <v>135</v>
      </c>
      <c r="GW31" s="388">
        <v>141</v>
      </c>
      <c r="GX31" s="388">
        <f t="shared" si="424"/>
        <v>276</v>
      </c>
      <c r="GY31" s="388">
        <v>116</v>
      </c>
      <c r="GZ31" s="388">
        <v>115</v>
      </c>
      <c r="HA31" s="388">
        <f t="shared" si="425"/>
        <v>231</v>
      </c>
      <c r="HB31" s="388">
        <v>105</v>
      </c>
      <c r="HC31" s="388">
        <v>123</v>
      </c>
      <c r="HD31" s="388">
        <f t="shared" si="426"/>
        <v>228</v>
      </c>
      <c r="HE31" s="388">
        <v>112</v>
      </c>
      <c r="HF31" s="388">
        <v>110</v>
      </c>
      <c r="HG31" s="388">
        <f t="shared" si="427"/>
        <v>222</v>
      </c>
      <c r="HH31" s="388">
        <v>86</v>
      </c>
      <c r="HI31" s="388">
        <v>102</v>
      </c>
      <c r="HJ31" s="388">
        <f t="shared" si="428"/>
        <v>188</v>
      </c>
      <c r="HK31" s="388">
        <v>95</v>
      </c>
      <c r="HL31" s="388">
        <v>85</v>
      </c>
      <c r="HM31" s="388">
        <f t="shared" si="429"/>
        <v>180</v>
      </c>
      <c r="HN31" s="388">
        <v>76</v>
      </c>
      <c r="HO31" s="388">
        <v>56</v>
      </c>
      <c r="HP31" s="388">
        <f t="shared" si="430"/>
        <v>132</v>
      </c>
      <c r="HQ31" s="388">
        <v>48</v>
      </c>
      <c r="HR31" s="388">
        <v>58</v>
      </c>
      <c r="HS31" s="388">
        <f t="shared" si="431"/>
        <v>106</v>
      </c>
      <c r="HT31" s="388">
        <v>38</v>
      </c>
      <c r="HU31" s="388">
        <v>58</v>
      </c>
      <c r="HV31" s="388">
        <f t="shared" si="432"/>
        <v>96</v>
      </c>
      <c r="HW31" s="388">
        <v>58</v>
      </c>
      <c r="HX31" s="388">
        <v>40</v>
      </c>
      <c r="HY31" s="388">
        <f t="shared" si="433"/>
        <v>98</v>
      </c>
      <c r="HZ31" s="388">
        <v>24</v>
      </c>
      <c r="IA31" s="388">
        <v>35</v>
      </c>
      <c r="IB31" s="388">
        <f t="shared" si="434"/>
        <v>59</v>
      </c>
      <c r="IC31" s="388">
        <v>26</v>
      </c>
      <c r="ID31" s="388">
        <v>40</v>
      </c>
      <c r="IE31" s="388">
        <f t="shared" si="435"/>
        <v>66</v>
      </c>
      <c r="IF31" s="388">
        <v>27</v>
      </c>
      <c r="IG31" s="388">
        <v>26</v>
      </c>
      <c r="IH31" s="388">
        <f t="shared" si="436"/>
        <v>53</v>
      </c>
      <c r="II31" s="388">
        <v>12</v>
      </c>
      <c r="IJ31" s="388">
        <v>26</v>
      </c>
      <c r="IK31" s="388">
        <f t="shared" si="437"/>
        <v>38</v>
      </c>
      <c r="IL31" s="388">
        <v>13</v>
      </c>
      <c r="IM31" s="388">
        <v>28</v>
      </c>
      <c r="IN31" s="388">
        <f t="shared" si="438"/>
        <v>41</v>
      </c>
      <c r="IO31" s="388">
        <v>16</v>
      </c>
      <c r="IP31" s="388">
        <v>17</v>
      </c>
      <c r="IQ31" s="388">
        <f t="shared" si="439"/>
        <v>33</v>
      </c>
      <c r="IR31" s="388">
        <v>19</v>
      </c>
      <c r="IS31" s="388">
        <v>19</v>
      </c>
      <c r="IT31" s="388">
        <f t="shared" si="440"/>
        <v>38</v>
      </c>
      <c r="IU31" s="388">
        <v>7</v>
      </c>
      <c r="IV31" s="388">
        <v>8</v>
      </c>
      <c r="IW31" s="388">
        <f t="shared" si="441"/>
        <v>15</v>
      </c>
      <c r="IX31" s="388">
        <v>7</v>
      </c>
      <c r="IY31" s="388">
        <v>10</v>
      </c>
      <c r="IZ31" s="388">
        <f t="shared" si="442"/>
        <v>17</v>
      </c>
      <c r="JA31" s="388">
        <v>6</v>
      </c>
      <c r="JB31" s="388">
        <v>15</v>
      </c>
      <c r="JC31" s="388">
        <f t="shared" si="443"/>
        <v>21</v>
      </c>
      <c r="JD31" s="388">
        <v>7</v>
      </c>
      <c r="JE31" s="388">
        <v>4</v>
      </c>
      <c r="JF31" s="388">
        <f t="shared" si="444"/>
        <v>11</v>
      </c>
      <c r="JG31" s="388">
        <v>4</v>
      </c>
      <c r="JH31" s="388">
        <v>5</v>
      </c>
      <c r="JI31" s="388">
        <f t="shared" si="445"/>
        <v>9</v>
      </c>
      <c r="JJ31" s="388">
        <v>6</v>
      </c>
      <c r="JK31" s="388">
        <v>5</v>
      </c>
      <c r="JL31" s="388">
        <f t="shared" si="446"/>
        <v>11</v>
      </c>
      <c r="JM31" s="388">
        <v>2</v>
      </c>
      <c r="JN31" s="388">
        <v>9</v>
      </c>
      <c r="JO31" s="388">
        <f t="shared" si="447"/>
        <v>11</v>
      </c>
      <c r="JP31" s="388">
        <v>4</v>
      </c>
      <c r="JQ31" s="388">
        <v>4</v>
      </c>
      <c r="JR31" s="388">
        <f t="shared" si="448"/>
        <v>8</v>
      </c>
      <c r="JS31" s="388">
        <v>2</v>
      </c>
      <c r="JT31" s="388">
        <v>4</v>
      </c>
      <c r="JU31" s="388">
        <f t="shared" si="449"/>
        <v>6</v>
      </c>
      <c r="JV31" s="388">
        <v>2</v>
      </c>
      <c r="JW31" s="388">
        <v>2</v>
      </c>
      <c r="JX31" s="388">
        <f t="shared" si="450"/>
        <v>4</v>
      </c>
      <c r="JY31" s="388">
        <v>0</v>
      </c>
      <c r="JZ31" s="388">
        <v>1</v>
      </c>
      <c r="KA31" s="388">
        <f t="shared" si="451"/>
        <v>1</v>
      </c>
      <c r="KB31" s="388">
        <v>1</v>
      </c>
      <c r="KC31" s="388">
        <v>1</v>
      </c>
      <c r="KD31" s="388">
        <f t="shared" si="452"/>
        <v>2</v>
      </c>
      <c r="KE31" s="388">
        <v>0</v>
      </c>
      <c r="KF31" s="388">
        <v>1</v>
      </c>
      <c r="KG31" s="388">
        <f t="shared" si="453"/>
        <v>1</v>
      </c>
      <c r="KH31" s="388">
        <v>0</v>
      </c>
      <c r="KI31" s="388">
        <v>1</v>
      </c>
      <c r="KJ31" s="388">
        <f t="shared" si="454"/>
        <v>1</v>
      </c>
      <c r="KK31" s="388">
        <v>0</v>
      </c>
      <c r="KL31" s="388">
        <v>0</v>
      </c>
      <c r="KM31" s="388">
        <f t="shared" si="455"/>
        <v>0</v>
      </c>
      <c r="KN31" s="388">
        <v>0</v>
      </c>
      <c r="KO31" s="388">
        <v>1</v>
      </c>
      <c r="KP31" s="388">
        <f t="shared" si="456"/>
        <v>1</v>
      </c>
      <c r="KQ31" s="388">
        <v>0</v>
      </c>
      <c r="KR31" s="388">
        <v>1</v>
      </c>
      <c r="KS31" s="388">
        <f t="shared" si="457"/>
        <v>1</v>
      </c>
      <c r="KT31" s="388">
        <v>0</v>
      </c>
      <c r="KU31" s="388">
        <v>0</v>
      </c>
      <c r="KV31" s="388">
        <f t="shared" si="458"/>
        <v>0</v>
      </c>
      <c r="KW31" s="388">
        <v>0</v>
      </c>
      <c r="KX31" s="388">
        <v>0</v>
      </c>
      <c r="KY31" s="388">
        <f t="shared" si="459"/>
        <v>0</v>
      </c>
      <c r="KZ31" s="388">
        <v>0</v>
      </c>
      <c r="LA31" s="388">
        <v>0</v>
      </c>
      <c r="LB31" s="388">
        <f t="shared" si="460"/>
        <v>0</v>
      </c>
      <c r="LC31" s="388">
        <v>0</v>
      </c>
      <c r="LD31" s="388">
        <v>0</v>
      </c>
      <c r="LE31" s="388">
        <f t="shared" si="461"/>
        <v>0</v>
      </c>
      <c r="LF31" s="388">
        <v>0</v>
      </c>
      <c r="LG31" s="388">
        <v>0</v>
      </c>
      <c r="LH31" s="388">
        <f t="shared" si="462"/>
        <v>0</v>
      </c>
      <c r="LI31" s="388">
        <v>0</v>
      </c>
      <c r="LJ31" s="388">
        <v>0</v>
      </c>
      <c r="LK31" s="388">
        <f t="shared" si="463"/>
        <v>0</v>
      </c>
      <c r="LL31" s="388">
        <v>0</v>
      </c>
      <c r="LM31" s="388">
        <v>0</v>
      </c>
      <c r="LN31" s="388">
        <f t="shared" si="464"/>
        <v>0</v>
      </c>
      <c r="LO31" s="388">
        <v>0</v>
      </c>
      <c r="LP31" s="388">
        <v>0</v>
      </c>
      <c r="LQ31" s="388">
        <f t="shared" si="465"/>
        <v>0</v>
      </c>
      <c r="LR31" s="388">
        <v>0</v>
      </c>
      <c r="LS31" s="388">
        <v>0</v>
      </c>
      <c r="LT31" s="388">
        <f t="shared" si="466"/>
        <v>0</v>
      </c>
      <c r="LU31" s="388">
        <v>0</v>
      </c>
      <c r="LV31" s="388">
        <v>0</v>
      </c>
      <c r="LW31" s="388">
        <f t="shared" si="467"/>
        <v>0</v>
      </c>
      <c r="LX31" s="388">
        <v>0</v>
      </c>
      <c r="LY31" s="388">
        <v>0</v>
      </c>
      <c r="LZ31" s="388">
        <f t="shared" si="468"/>
        <v>0</v>
      </c>
      <c r="MA31" s="388">
        <v>0</v>
      </c>
      <c r="MB31" s="388">
        <v>0</v>
      </c>
      <c r="MC31" s="388">
        <f t="shared" si="469"/>
        <v>0</v>
      </c>
      <c r="MD31" s="388">
        <v>0</v>
      </c>
      <c r="ME31" s="388">
        <v>0</v>
      </c>
      <c r="MF31" s="388">
        <f t="shared" si="470"/>
        <v>0</v>
      </c>
      <c r="MG31" s="388">
        <v>0</v>
      </c>
      <c r="MH31" s="388">
        <v>0</v>
      </c>
      <c r="MI31" s="388">
        <f t="shared" si="471"/>
        <v>0</v>
      </c>
      <c r="MJ31" s="388">
        <v>0</v>
      </c>
      <c r="MK31" s="388">
        <v>0</v>
      </c>
      <c r="ML31" s="388">
        <f t="shared" si="472"/>
        <v>0</v>
      </c>
      <c r="MM31" s="388">
        <v>0</v>
      </c>
      <c r="MN31" s="388">
        <v>0</v>
      </c>
      <c r="MO31" s="388">
        <f t="shared" si="473"/>
        <v>0</v>
      </c>
      <c r="MP31" s="388">
        <v>0</v>
      </c>
      <c r="MQ31" s="388">
        <v>0</v>
      </c>
      <c r="MR31" s="388">
        <f t="shared" si="474"/>
        <v>0</v>
      </c>
      <c r="MS31" s="388">
        <v>0</v>
      </c>
      <c r="MT31" s="388">
        <v>0</v>
      </c>
      <c r="MU31" s="388">
        <f t="shared" si="475"/>
        <v>0</v>
      </c>
      <c r="MV31" s="388">
        <v>0</v>
      </c>
      <c r="MW31" s="388">
        <v>0</v>
      </c>
      <c r="MX31" s="388">
        <f t="shared" si="476"/>
        <v>0</v>
      </c>
      <c r="MY31" s="388">
        <v>0</v>
      </c>
      <c r="MZ31" s="388">
        <v>0</v>
      </c>
      <c r="NA31" s="562">
        <f t="shared" si="477"/>
        <v>0</v>
      </c>
      <c r="NB31" s="388">
        <v>0</v>
      </c>
      <c r="NC31" s="388">
        <v>0</v>
      </c>
      <c r="ND31" s="560">
        <f t="shared" si="478"/>
        <v>0</v>
      </c>
      <c r="NE31" s="559">
        <f t="shared" si="484"/>
        <v>18851</v>
      </c>
      <c r="NF31" s="388">
        <f t="shared" si="484"/>
        <v>19069</v>
      </c>
      <c r="NG31" s="560">
        <f t="shared" si="480"/>
        <v>37920</v>
      </c>
      <c r="NH31" s="559">
        <f t="shared" si="481"/>
        <v>1466</v>
      </c>
      <c r="NI31" s="388">
        <f t="shared" si="481"/>
        <v>1344</v>
      </c>
      <c r="NJ31" s="560">
        <f t="shared" si="482"/>
        <v>2810</v>
      </c>
    </row>
    <row r="32" spans="1:374" x14ac:dyDescent="0.3">
      <c r="A32" s="558" t="s">
        <v>275</v>
      </c>
      <c r="B32" s="592" t="s">
        <v>64</v>
      </c>
      <c r="C32" s="561">
        <v>176</v>
      </c>
      <c r="D32" s="388">
        <v>166</v>
      </c>
      <c r="E32" s="388">
        <f t="shared" si="357"/>
        <v>342</v>
      </c>
      <c r="F32" s="388">
        <v>215</v>
      </c>
      <c r="G32" s="388">
        <v>250</v>
      </c>
      <c r="H32" s="388">
        <f t="shared" si="358"/>
        <v>465</v>
      </c>
      <c r="I32" s="388">
        <v>242</v>
      </c>
      <c r="J32" s="388">
        <v>230</v>
      </c>
      <c r="K32" s="388">
        <f t="shared" si="359"/>
        <v>472</v>
      </c>
      <c r="L32" s="388">
        <v>304</v>
      </c>
      <c r="M32" s="388">
        <v>275</v>
      </c>
      <c r="N32" s="388">
        <f t="shared" si="360"/>
        <v>579</v>
      </c>
      <c r="O32" s="388">
        <v>320</v>
      </c>
      <c r="P32" s="388">
        <v>270</v>
      </c>
      <c r="Q32" s="388">
        <f t="shared" si="361"/>
        <v>590</v>
      </c>
      <c r="R32" s="388">
        <v>334</v>
      </c>
      <c r="S32" s="388">
        <v>344</v>
      </c>
      <c r="T32" s="388">
        <f t="shared" si="362"/>
        <v>678</v>
      </c>
      <c r="U32" s="388">
        <v>369</v>
      </c>
      <c r="V32" s="388">
        <v>326</v>
      </c>
      <c r="W32" s="388">
        <f t="shared" si="363"/>
        <v>695</v>
      </c>
      <c r="X32" s="388">
        <v>385</v>
      </c>
      <c r="Y32" s="388">
        <v>357</v>
      </c>
      <c r="Z32" s="388">
        <f t="shared" si="364"/>
        <v>742</v>
      </c>
      <c r="AA32" s="388">
        <v>369</v>
      </c>
      <c r="AB32" s="388">
        <v>363</v>
      </c>
      <c r="AC32" s="388">
        <f t="shared" si="365"/>
        <v>732</v>
      </c>
      <c r="AD32" s="388">
        <v>360</v>
      </c>
      <c r="AE32" s="388">
        <v>328</v>
      </c>
      <c r="AF32" s="388">
        <f t="shared" si="366"/>
        <v>688</v>
      </c>
      <c r="AG32" s="388">
        <v>355</v>
      </c>
      <c r="AH32" s="388">
        <v>391</v>
      </c>
      <c r="AI32" s="388">
        <f t="shared" si="367"/>
        <v>746</v>
      </c>
      <c r="AJ32" s="388">
        <v>377</v>
      </c>
      <c r="AK32" s="388">
        <v>347</v>
      </c>
      <c r="AL32" s="388">
        <f t="shared" si="368"/>
        <v>724</v>
      </c>
      <c r="AM32" s="388">
        <v>367</v>
      </c>
      <c r="AN32" s="388">
        <v>345</v>
      </c>
      <c r="AO32" s="388">
        <f t="shared" si="369"/>
        <v>712</v>
      </c>
      <c r="AP32" s="388">
        <v>369</v>
      </c>
      <c r="AQ32" s="388">
        <v>359</v>
      </c>
      <c r="AR32" s="388">
        <f t="shared" si="370"/>
        <v>728</v>
      </c>
      <c r="AS32" s="388">
        <v>365</v>
      </c>
      <c r="AT32" s="388">
        <v>383</v>
      </c>
      <c r="AU32" s="388">
        <f t="shared" si="371"/>
        <v>748</v>
      </c>
      <c r="AV32" s="388">
        <v>401</v>
      </c>
      <c r="AW32" s="388">
        <v>391</v>
      </c>
      <c r="AX32" s="388">
        <f t="shared" si="372"/>
        <v>792</v>
      </c>
      <c r="AY32" s="388">
        <v>358</v>
      </c>
      <c r="AZ32" s="388">
        <v>356</v>
      </c>
      <c r="BA32" s="388">
        <f t="shared" si="373"/>
        <v>714</v>
      </c>
      <c r="BB32" s="388">
        <v>316</v>
      </c>
      <c r="BC32" s="388">
        <v>336</v>
      </c>
      <c r="BD32" s="388">
        <f t="shared" si="374"/>
        <v>652</v>
      </c>
      <c r="BE32" s="388">
        <v>331</v>
      </c>
      <c r="BF32" s="388">
        <v>328</v>
      </c>
      <c r="BG32" s="388">
        <f t="shared" si="375"/>
        <v>659</v>
      </c>
      <c r="BH32" s="388">
        <v>365</v>
      </c>
      <c r="BI32" s="388">
        <v>334</v>
      </c>
      <c r="BJ32" s="388">
        <f t="shared" si="376"/>
        <v>699</v>
      </c>
      <c r="BK32" s="388">
        <v>356</v>
      </c>
      <c r="BL32" s="388">
        <v>348</v>
      </c>
      <c r="BM32" s="388">
        <f t="shared" si="377"/>
        <v>704</v>
      </c>
      <c r="BN32" s="388">
        <v>349</v>
      </c>
      <c r="BO32" s="388">
        <v>303</v>
      </c>
      <c r="BP32" s="388">
        <f t="shared" si="378"/>
        <v>652</v>
      </c>
      <c r="BQ32" s="388">
        <v>332</v>
      </c>
      <c r="BR32" s="388">
        <v>334</v>
      </c>
      <c r="BS32" s="388">
        <f t="shared" si="379"/>
        <v>666</v>
      </c>
      <c r="BT32" s="388">
        <v>373</v>
      </c>
      <c r="BU32" s="388">
        <v>337</v>
      </c>
      <c r="BV32" s="388">
        <f t="shared" si="380"/>
        <v>710</v>
      </c>
      <c r="BW32" s="388">
        <v>339</v>
      </c>
      <c r="BX32" s="388">
        <v>329</v>
      </c>
      <c r="BY32" s="388">
        <f t="shared" si="381"/>
        <v>668</v>
      </c>
      <c r="BZ32" s="388">
        <v>355</v>
      </c>
      <c r="CA32" s="388">
        <v>378</v>
      </c>
      <c r="CB32" s="388">
        <f t="shared" si="382"/>
        <v>733</v>
      </c>
      <c r="CC32" s="388">
        <v>388</v>
      </c>
      <c r="CD32" s="388">
        <v>385</v>
      </c>
      <c r="CE32" s="388">
        <f t="shared" si="383"/>
        <v>773</v>
      </c>
      <c r="CF32" s="388">
        <v>353</v>
      </c>
      <c r="CG32" s="388">
        <v>337</v>
      </c>
      <c r="CH32" s="388">
        <f t="shared" si="384"/>
        <v>690</v>
      </c>
      <c r="CI32" s="388">
        <v>350</v>
      </c>
      <c r="CJ32" s="388">
        <v>359</v>
      </c>
      <c r="CK32" s="388">
        <f t="shared" si="385"/>
        <v>709</v>
      </c>
      <c r="CL32" s="388">
        <v>345</v>
      </c>
      <c r="CM32" s="388">
        <v>367</v>
      </c>
      <c r="CN32" s="388">
        <f t="shared" si="386"/>
        <v>712</v>
      </c>
      <c r="CO32" s="388">
        <v>353</v>
      </c>
      <c r="CP32" s="388">
        <v>342</v>
      </c>
      <c r="CQ32" s="388">
        <f t="shared" si="387"/>
        <v>695</v>
      </c>
      <c r="CR32" s="388">
        <v>404</v>
      </c>
      <c r="CS32" s="388">
        <v>409</v>
      </c>
      <c r="CT32" s="388">
        <f t="shared" si="388"/>
        <v>813</v>
      </c>
      <c r="CU32" s="388">
        <v>343</v>
      </c>
      <c r="CV32" s="388">
        <v>382</v>
      </c>
      <c r="CW32" s="388">
        <f t="shared" si="389"/>
        <v>725</v>
      </c>
      <c r="CX32" s="388">
        <v>364</v>
      </c>
      <c r="CY32" s="388">
        <v>380</v>
      </c>
      <c r="CZ32" s="388">
        <f t="shared" si="390"/>
        <v>744</v>
      </c>
      <c r="DA32" s="388">
        <v>374</v>
      </c>
      <c r="DB32" s="388">
        <v>376</v>
      </c>
      <c r="DC32" s="388">
        <f t="shared" si="391"/>
        <v>750</v>
      </c>
      <c r="DD32" s="388">
        <v>361</v>
      </c>
      <c r="DE32" s="388">
        <v>352</v>
      </c>
      <c r="DF32" s="388">
        <f t="shared" si="392"/>
        <v>713</v>
      </c>
      <c r="DG32" s="388">
        <v>376</v>
      </c>
      <c r="DH32" s="388">
        <v>368</v>
      </c>
      <c r="DI32" s="388">
        <f t="shared" si="393"/>
        <v>744</v>
      </c>
      <c r="DJ32" s="388">
        <v>272</v>
      </c>
      <c r="DK32" s="388">
        <v>324</v>
      </c>
      <c r="DL32" s="388">
        <f t="shared" si="394"/>
        <v>596</v>
      </c>
      <c r="DM32" s="388">
        <v>308</v>
      </c>
      <c r="DN32" s="388">
        <v>313</v>
      </c>
      <c r="DO32" s="388">
        <f t="shared" si="395"/>
        <v>621</v>
      </c>
      <c r="DP32" s="388">
        <v>319</v>
      </c>
      <c r="DQ32" s="388">
        <v>362</v>
      </c>
      <c r="DR32" s="388">
        <f t="shared" si="396"/>
        <v>681</v>
      </c>
      <c r="DS32" s="388">
        <v>360</v>
      </c>
      <c r="DT32" s="388">
        <v>358</v>
      </c>
      <c r="DU32" s="388">
        <f t="shared" si="397"/>
        <v>718</v>
      </c>
      <c r="DV32" s="388">
        <v>364</v>
      </c>
      <c r="DW32" s="388">
        <v>397</v>
      </c>
      <c r="DX32" s="388">
        <f t="shared" si="398"/>
        <v>761</v>
      </c>
      <c r="DY32" s="388">
        <v>351</v>
      </c>
      <c r="DZ32" s="388">
        <v>381</v>
      </c>
      <c r="EA32" s="388">
        <f t="shared" si="399"/>
        <v>732</v>
      </c>
      <c r="EB32" s="388">
        <v>357</v>
      </c>
      <c r="EC32" s="388">
        <v>388</v>
      </c>
      <c r="ED32" s="388">
        <f t="shared" si="400"/>
        <v>745</v>
      </c>
      <c r="EE32" s="388">
        <v>366</v>
      </c>
      <c r="EF32" s="388">
        <v>374</v>
      </c>
      <c r="EG32" s="388">
        <f t="shared" si="401"/>
        <v>740</v>
      </c>
      <c r="EH32" s="388">
        <v>327</v>
      </c>
      <c r="EI32" s="388">
        <v>353</v>
      </c>
      <c r="EJ32" s="388">
        <f t="shared" si="402"/>
        <v>680</v>
      </c>
      <c r="EK32" s="388">
        <v>364</v>
      </c>
      <c r="EL32" s="388">
        <v>347</v>
      </c>
      <c r="EM32" s="388">
        <f t="shared" si="403"/>
        <v>711</v>
      </c>
      <c r="EN32" s="388">
        <v>333</v>
      </c>
      <c r="EO32" s="388">
        <v>370</v>
      </c>
      <c r="EP32" s="388">
        <f t="shared" si="404"/>
        <v>703</v>
      </c>
      <c r="EQ32" s="388">
        <v>288</v>
      </c>
      <c r="ER32" s="388">
        <v>341</v>
      </c>
      <c r="ES32" s="388">
        <f t="shared" si="405"/>
        <v>629</v>
      </c>
      <c r="ET32" s="388">
        <v>262</v>
      </c>
      <c r="EU32" s="388">
        <v>350</v>
      </c>
      <c r="EV32" s="388">
        <f t="shared" si="406"/>
        <v>612</v>
      </c>
      <c r="EW32" s="388">
        <v>288</v>
      </c>
      <c r="EX32" s="388">
        <v>310</v>
      </c>
      <c r="EY32" s="388">
        <f t="shared" si="407"/>
        <v>598</v>
      </c>
      <c r="EZ32" s="388">
        <v>298</v>
      </c>
      <c r="FA32" s="388">
        <v>300</v>
      </c>
      <c r="FB32" s="388">
        <f t="shared" si="408"/>
        <v>598</v>
      </c>
      <c r="FC32" s="388">
        <v>256</v>
      </c>
      <c r="FD32" s="388">
        <v>275</v>
      </c>
      <c r="FE32" s="388">
        <f t="shared" si="409"/>
        <v>531</v>
      </c>
      <c r="FF32" s="388">
        <v>275</v>
      </c>
      <c r="FG32" s="388">
        <v>314</v>
      </c>
      <c r="FH32" s="388">
        <f t="shared" si="410"/>
        <v>589</v>
      </c>
      <c r="FI32" s="388">
        <v>273</v>
      </c>
      <c r="FJ32" s="388">
        <v>267</v>
      </c>
      <c r="FK32" s="388">
        <f t="shared" si="411"/>
        <v>540</v>
      </c>
      <c r="FL32" s="388">
        <v>246</v>
      </c>
      <c r="FM32" s="388">
        <v>260</v>
      </c>
      <c r="FN32" s="388">
        <f t="shared" si="412"/>
        <v>506</v>
      </c>
      <c r="FO32" s="388">
        <v>291</v>
      </c>
      <c r="FP32" s="388">
        <v>283</v>
      </c>
      <c r="FQ32" s="388">
        <f t="shared" si="413"/>
        <v>574</v>
      </c>
      <c r="FR32" s="388">
        <v>248</v>
      </c>
      <c r="FS32" s="388">
        <v>275</v>
      </c>
      <c r="FT32" s="388">
        <f t="shared" si="414"/>
        <v>523</v>
      </c>
      <c r="FU32" s="388">
        <v>260</v>
      </c>
      <c r="FV32" s="388">
        <v>242</v>
      </c>
      <c r="FW32" s="388">
        <f t="shared" si="415"/>
        <v>502</v>
      </c>
      <c r="FX32" s="388">
        <v>177</v>
      </c>
      <c r="FY32" s="388">
        <v>221</v>
      </c>
      <c r="FZ32" s="388">
        <f t="shared" si="416"/>
        <v>398</v>
      </c>
      <c r="GA32" s="388">
        <v>205</v>
      </c>
      <c r="GB32" s="388">
        <v>250</v>
      </c>
      <c r="GC32" s="388">
        <f t="shared" si="417"/>
        <v>455</v>
      </c>
      <c r="GD32" s="388">
        <v>195</v>
      </c>
      <c r="GE32" s="388">
        <v>239</v>
      </c>
      <c r="GF32" s="388">
        <f t="shared" si="418"/>
        <v>434</v>
      </c>
      <c r="GG32" s="388">
        <v>187</v>
      </c>
      <c r="GH32" s="388">
        <v>199</v>
      </c>
      <c r="GI32" s="388">
        <f t="shared" si="419"/>
        <v>386</v>
      </c>
      <c r="GJ32" s="388">
        <v>185</v>
      </c>
      <c r="GK32" s="388">
        <v>211</v>
      </c>
      <c r="GL32" s="388">
        <f t="shared" si="420"/>
        <v>396</v>
      </c>
      <c r="GM32" s="388">
        <v>130</v>
      </c>
      <c r="GN32" s="388">
        <v>164</v>
      </c>
      <c r="GO32" s="388">
        <f t="shared" si="421"/>
        <v>294</v>
      </c>
      <c r="GP32" s="388">
        <v>155</v>
      </c>
      <c r="GQ32" s="388">
        <v>177</v>
      </c>
      <c r="GR32" s="388">
        <f t="shared" si="422"/>
        <v>332</v>
      </c>
      <c r="GS32" s="388">
        <v>172</v>
      </c>
      <c r="GT32" s="388">
        <v>197</v>
      </c>
      <c r="GU32" s="388">
        <f t="shared" si="423"/>
        <v>369</v>
      </c>
      <c r="GV32" s="388">
        <v>142</v>
      </c>
      <c r="GW32" s="388">
        <v>170</v>
      </c>
      <c r="GX32" s="388">
        <f t="shared" si="424"/>
        <v>312</v>
      </c>
      <c r="GY32" s="388">
        <v>126</v>
      </c>
      <c r="GZ32" s="388">
        <v>177</v>
      </c>
      <c r="HA32" s="388">
        <f t="shared" si="425"/>
        <v>303</v>
      </c>
      <c r="HB32" s="388">
        <v>128</v>
      </c>
      <c r="HC32" s="388">
        <v>152</v>
      </c>
      <c r="HD32" s="388">
        <f t="shared" si="426"/>
        <v>280</v>
      </c>
      <c r="HE32" s="388">
        <v>112</v>
      </c>
      <c r="HF32" s="388">
        <v>141</v>
      </c>
      <c r="HG32" s="388">
        <f t="shared" si="427"/>
        <v>253</v>
      </c>
      <c r="HH32" s="388">
        <v>116</v>
      </c>
      <c r="HI32" s="388">
        <v>133</v>
      </c>
      <c r="HJ32" s="388">
        <f t="shared" si="428"/>
        <v>249</v>
      </c>
      <c r="HK32" s="388">
        <v>122</v>
      </c>
      <c r="HL32" s="388">
        <v>122</v>
      </c>
      <c r="HM32" s="388">
        <f t="shared" si="429"/>
        <v>244</v>
      </c>
      <c r="HN32" s="388">
        <v>116</v>
      </c>
      <c r="HO32" s="388">
        <v>109</v>
      </c>
      <c r="HP32" s="388">
        <f t="shared" si="430"/>
        <v>225</v>
      </c>
      <c r="HQ32" s="388">
        <v>84</v>
      </c>
      <c r="HR32" s="388">
        <v>73</v>
      </c>
      <c r="HS32" s="388">
        <f t="shared" si="431"/>
        <v>157</v>
      </c>
      <c r="HT32" s="388">
        <v>81</v>
      </c>
      <c r="HU32" s="388">
        <v>93</v>
      </c>
      <c r="HV32" s="388">
        <f t="shared" si="432"/>
        <v>174</v>
      </c>
      <c r="HW32" s="388">
        <v>72</v>
      </c>
      <c r="HX32" s="388">
        <v>52</v>
      </c>
      <c r="HY32" s="388">
        <f t="shared" si="433"/>
        <v>124</v>
      </c>
      <c r="HZ32" s="388">
        <v>58</v>
      </c>
      <c r="IA32" s="388">
        <v>57</v>
      </c>
      <c r="IB32" s="388">
        <f t="shared" si="434"/>
        <v>115</v>
      </c>
      <c r="IC32" s="388">
        <v>33</v>
      </c>
      <c r="ID32" s="388">
        <v>49</v>
      </c>
      <c r="IE32" s="388">
        <f t="shared" si="435"/>
        <v>82</v>
      </c>
      <c r="IF32" s="388">
        <v>27</v>
      </c>
      <c r="IG32" s="388">
        <v>32</v>
      </c>
      <c r="IH32" s="388">
        <f t="shared" si="436"/>
        <v>59</v>
      </c>
      <c r="II32" s="388">
        <v>32</v>
      </c>
      <c r="IJ32" s="388">
        <v>32</v>
      </c>
      <c r="IK32" s="388">
        <f t="shared" si="437"/>
        <v>64</v>
      </c>
      <c r="IL32" s="388">
        <v>30</v>
      </c>
      <c r="IM32" s="388">
        <v>24</v>
      </c>
      <c r="IN32" s="388">
        <f t="shared" si="438"/>
        <v>54</v>
      </c>
      <c r="IO32" s="388">
        <v>18</v>
      </c>
      <c r="IP32" s="388">
        <v>25</v>
      </c>
      <c r="IQ32" s="388">
        <f t="shared" si="439"/>
        <v>43</v>
      </c>
      <c r="IR32" s="388">
        <v>18</v>
      </c>
      <c r="IS32" s="388">
        <v>15</v>
      </c>
      <c r="IT32" s="388">
        <f t="shared" si="440"/>
        <v>33</v>
      </c>
      <c r="IU32" s="388">
        <v>11</v>
      </c>
      <c r="IV32" s="388">
        <v>10</v>
      </c>
      <c r="IW32" s="388">
        <f t="shared" si="441"/>
        <v>21</v>
      </c>
      <c r="IX32" s="388">
        <v>13</v>
      </c>
      <c r="IY32" s="388">
        <v>16</v>
      </c>
      <c r="IZ32" s="388">
        <f t="shared" si="442"/>
        <v>29</v>
      </c>
      <c r="JA32" s="388">
        <v>5</v>
      </c>
      <c r="JB32" s="388">
        <v>18</v>
      </c>
      <c r="JC32" s="388">
        <f t="shared" si="443"/>
        <v>23</v>
      </c>
      <c r="JD32" s="388">
        <v>2</v>
      </c>
      <c r="JE32" s="388">
        <v>12</v>
      </c>
      <c r="JF32" s="388">
        <f t="shared" si="444"/>
        <v>14</v>
      </c>
      <c r="JG32" s="388">
        <v>6</v>
      </c>
      <c r="JH32" s="388">
        <v>9</v>
      </c>
      <c r="JI32" s="388">
        <f t="shared" si="445"/>
        <v>15</v>
      </c>
      <c r="JJ32" s="388">
        <v>1</v>
      </c>
      <c r="JK32" s="388">
        <v>7</v>
      </c>
      <c r="JL32" s="388">
        <f t="shared" si="446"/>
        <v>8</v>
      </c>
      <c r="JM32" s="388">
        <v>1</v>
      </c>
      <c r="JN32" s="388">
        <v>10</v>
      </c>
      <c r="JO32" s="388">
        <f t="shared" si="447"/>
        <v>11</v>
      </c>
      <c r="JP32" s="388">
        <v>3</v>
      </c>
      <c r="JQ32" s="388">
        <v>5</v>
      </c>
      <c r="JR32" s="388">
        <f t="shared" si="448"/>
        <v>8</v>
      </c>
      <c r="JS32" s="388">
        <v>2</v>
      </c>
      <c r="JT32" s="388">
        <v>8</v>
      </c>
      <c r="JU32" s="388">
        <f t="shared" si="449"/>
        <v>10</v>
      </c>
      <c r="JV32" s="388">
        <v>1</v>
      </c>
      <c r="JW32" s="388">
        <v>6</v>
      </c>
      <c r="JX32" s="388">
        <f t="shared" si="450"/>
        <v>7</v>
      </c>
      <c r="JY32" s="388">
        <v>0</v>
      </c>
      <c r="JZ32" s="388">
        <v>1</v>
      </c>
      <c r="KA32" s="388">
        <f t="shared" si="451"/>
        <v>1</v>
      </c>
      <c r="KB32" s="388">
        <v>0</v>
      </c>
      <c r="KC32" s="388">
        <v>4</v>
      </c>
      <c r="KD32" s="388">
        <f t="shared" si="452"/>
        <v>4</v>
      </c>
      <c r="KE32" s="388">
        <v>0</v>
      </c>
      <c r="KF32" s="388">
        <v>0</v>
      </c>
      <c r="KG32" s="388">
        <f t="shared" si="453"/>
        <v>0</v>
      </c>
      <c r="KH32" s="388">
        <v>0</v>
      </c>
      <c r="KI32" s="388">
        <v>0</v>
      </c>
      <c r="KJ32" s="388">
        <f t="shared" si="454"/>
        <v>0</v>
      </c>
      <c r="KK32" s="388">
        <v>0</v>
      </c>
      <c r="KL32" s="388">
        <v>0</v>
      </c>
      <c r="KM32" s="388">
        <f t="shared" si="455"/>
        <v>0</v>
      </c>
      <c r="KN32" s="388">
        <v>0</v>
      </c>
      <c r="KO32" s="388">
        <v>1</v>
      </c>
      <c r="KP32" s="388">
        <f t="shared" si="456"/>
        <v>1</v>
      </c>
      <c r="KQ32" s="388">
        <v>0</v>
      </c>
      <c r="KR32" s="388">
        <v>0</v>
      </c>
      <c r="KS32" s="388">
        <f t="shared" si="457"/>
        <v>0</v>
      </c>
      <c r="KT32" s="388">
        <v>0</v>
      </c>
      <c r="KU32" s="388">
        <v>0</v>
      </c>
      <c r="KV32" s="388">
        <f t="shared" si="458"/>
        <v>0</v>
      </c>
      <c r="KW32" s="388">
        <v>0</v>
      </c>
      <c r="KX32" s="388">
        <v>0</v>
      </c>
      <c r="KY32" s="388">
        <f t="shared" si="459"/>
        <v>0</v>
      </c>
      <c r="KZ32" s="388">
        <v>0</v>
      </c>
      <c r="LA32" s="388">
        <v>0</v>
      </c>
      <c r="LB32" s="388">
        <f t="shared" si="460"/>
        <v>0</v>
      </c>
      <c r="LC32" s="388">
        <v>0</v>
      </c>
      <c r="LD32" s="388">
        <v>0</v>
      </c>
      <c r="LE32" s="388">
        <f t="shared" si="461"/>
        <v>0</v>
      </c>
      <c r="LF32" s="388">
        <v>0</v>
      </c>
      <c r="LG32" s="388">
        <v>0</v>
      </c>
      <c r="LH32" s="388">
        <f t="shared" si="462"/>
        <v>0</v>
      </c>
      <c r="LI32" s="388">
        <v>0</v>
      </c>
      <c r="LJ32" s="388">
        <v>0</v>
      </c>
      <c r="LK32" s="388">
        <f t="shared" si="463"/>
        <v>0</v>
      </c>
      <c r="LL32" s="388">
        <v>0</v>
      </c>
      <c r="LM32" s="388">
        <v>0</v>
      </c>
      <c r="LN32" s="388">
        <f t="shared" si="464"/>
        <v>0</v>
      </c>
      <c r="LO32" s="388">
        <v>0</v>
      </c>
      <c r="LP32" s="388">
        <v>0</v>
      </c>
      <c r="LQ32" s="388">
        <f t="shared" si="465"/>
        <v>0</v>
      </c>
      <c r="LR32" s="388">
        <v>0</v>
      </c>
      <c r="LS32" s="388">
        <v>0</v>
      </c>
      <c r="LT32" s="388">
        <f t="shared" si="466"/>
        <v>0</v>
      </c>
      <c r="LU32" s="388">
        <v>0</v>
      </c>
      <c r="LV32" s="388">
        <v>0</v>
      </c>
      <c r="LW32" s="388">
        <f t="shared" si="467"/>
        <v>0</v>
      </c>
      <c r="LX32" s="388">
        <v>0</v>
      </c>
      <c r="LY32" s="388">
        <v>0</v>
      </c>
      <c r="LZ32" s="388">
        <f t="shared" si="468"/>
        <v>0</v>
      </c>
      <c r="MA32" s="388">
        <v>0</v>
      </c>
      <c r="MB32" s="388">
        <v>0</v>
      </c>
      <c r="MC32" s="388">
        <f t="shared" si="469"/>
        <v>0</v>
      </c>
      <c r="MD32" s="388">
        <v>0</v>
      </c>
      <c r="ME32" s="388">
        <v>0</v>
      </c>
      <c r="MF32" s="388">
        <f t="shared" si="470"/>
        <v>0</v>
      </c>
      <c r="MG32" s="388">
        <v>0</v>
      </c>
      <c r="MH32" s="388">
        <v>0</v>
      </c>
      <c r="MI32" s="388">
        <f t="shared" si="471"/>
        <v>0</v>
      </c>
      <c r="MJ32" s="388">
        <v>0</v>
      </c>
      <c r="MK32" s="388">
        <v>0</v>
      </c>
      <c r="ML32" s="388">
        <f t="shared" si="472"/>
        <v>0</v>
      </c>
      <c r="MM32" s="388">
        <v>0</v>
      </c>
      <c r="MN32" s="388">
        <v>0</v>
      </c>
      <c r="MO32" s="388">
        <f t="shared" si="473"/>
        <v>0</v>
      </c>
      <c r="MP32" s="388">
        <v>0</v>
      </c>
      <c r="MQ32" s="388">
        <v>0</v>
      </c>
      <c r="MR32" s="388">
        <f t="shared" si="474"/>
        <v>0</v>
      </c>
      <c r="MS32" s="388">
        <v>0</v>
      </c>
      <c r="MT32" s="388">
        <v>0</v>
      </c>
      <c r="MU32" s="388">
        <f t="shared" si="475"/>
        <v>0</v>
      </c>
      <c r="MV32" s="388">
        <v>0</v>
      </c>
      <c r="MW32" s="388">
        <v>0</v>
      </c>
      <c r="MX32" s="388">
        <f t="shared" si="476"/>
        <v>0</v>
      </c>
      <c r="MY32" s="388">
        <v>0</v>
      </c>
      <c r="MZ32" s="388">
        <v>0</v>
      </c>
      <c r="NA32" s="562">
        <f t="shared" si="477"/>
        <v>0</v>
      </c>
      <c r="NB32" s="388">
        <v>0</v>
      </c>
      <c r="NC32" s="388">
        <v>0</v>
      </c>
      <c r="ND32" s="560">
        <f t="shared" si="478"/>
        <v>0</v>
      </c>
      <c r="NE32" s="559">
        <f t="shared" si="484"/>
        <v>22265</v>
      </c>
      <c r="NF32" s="388">
        <f t="shared" si="484"/>
        <v>22970</v>
      </c>
      <c r="NG32" s="560">
        <f t="shared" si="480"/>
        <v>45235</v>
      </c>
      <c r="NH32" s="559">
        <f t="shared" si="481"/>
        <v>1591</v>
      </c>
      <c r="NI32" s="388">
        <f t="shared" si="481"/>
        <v>1535</v>
      </c>
      <c r="NJ32" s="560">
        <f t="shared" si="482"/>
        <v>3126</v>
      </c>
    </row>
    <row r="33" spans="1:374" ht="14.5" thickBot="1" x14ac:dyDescent="0.35">
      <c r="A33" s="563" t="s">
        <v>276</v>
      </c>
      <c r="B33" s="593" t="s">
        <v>66</v>
      </c>
      <c r="C33" s="566">
        <v>203</v>
      </c>
      <c r="D33" s="392">
        <v>205</v>
      </c>
      <c r="E33" s="392">
        <f t="shared" si="357"/>
        <v>408</v>
      </c>
      <c r="F33" s="392">
        <v>296</v>
      </c>
      <c r="G33" s="392">
        <v>283</v>
      </c>
      <c r="H33" s="392">
        <f t="shared" si="358"/>
        <v>579</v>
      </c>
      <c r="I33" s="392">
        <v>347</v>
      </c>
      <c r="J33" s="392">
        <v>309</v>
      </c>
      <c r="K33" s="392">
        <f t="shared" si="359"/>
        <v>656</v>
      </c>
      <c r="L33" s="392">
        <v>397</v>
      </c>
      <c r="M33" s="392">
        <v>354</v>
      </c>
      <c r="N33" s="392">
        <f t="shared" si="360"/>
        <v>751</v>
      </c>
      <c r="O33" s="392">
        <v>420</v>
      </c>
      <c r="P33" s="392">
        <v>405</v>
      </c>
      <c r="Q33" s="392">
        <f t="shared" si="361"/>
        <v>825</v>
      </c>
      <c r="R33" s="392">
        <v>380</v>
      </c>
      <c r="S33" s="392">
        <v>441</v>
      </c>
      <c r="T33" s="392">
        <f t="shared" si="362"/>
        <v>821</v>
      </c>
      <c r="U33" s="392">
        <v>521</v>
      </c>
      <c r="V33" s="392">
        <v>467</v>
      </c>
      <c r="W33" s="392">
        <f t="shared" si="363"/>
        <v>988</v>
      </c>
      <c r="X33" s="392">
        <v>521</v>
      </c>
      <c r="Y33" s="392">
        <v>484</v>
      </c>
      <c r="Z33" s="392">
        <f t="shared" si="364"/>
        <v>1005</v>
      </c>
      <c r="AA33" s="392">
        <v>511</v>
      </c>
      <c r="AB33" s="392">
        <v>477</v>
      </c>
      <c r="AC33" s="392">
        <f t="shared" si="365"/>
        <v>988</v>
      </c>
      <c r="AD33" s="392">
        <v>461</v>
      </c>
      <c r="AE33" s="392">
        <v>431</v>
      </c>
      <c r="AF33" s="392">
        <f t="shared" si="366"/>
        <v>892</v>
      </c>
      <c r="AG33" s="392">
        <v>530</v>
      </c>
      <c r="AH33" s="392">
        <v>474</v>
      </c>
      <c r="AI33" s="392">
        <f t="shared" si="367"/>
        <v>1004</v>
      </c>
      <c r="AJ33" s="392">
        <v>494</v>
      </c>
      <c r="AK33" s="392">
        <v>474</v>
      </c>
      <c r="AL33" s="392">
        <f t="shared" si="368"/>
        <v>968</v>
      </c>
      <c r="AM33" s="392">
        <v>485</v>
      </c>
      <c r="AN33" s="392">
        <v>512</v>
      </c>
      <c r="AO33" s="392">
        <f t="shared" si="369"/>
        <v>997</v>
      </c>
      <c r="AP33" s="392">
        <v>545</v>
      </c>
      <c r="AQ33" s="392">
        <v>478</v>
      </c>
      <c r="AR33" s="392">
        <f t="shared" si="370"/>
        <v>1023</v>
      </c>
      <c r="AS33" s="392">
        <v>522</v>
      </c>
      <c r="AT33" s="392">
        <v>468</v>
      </c>
      <c r="AU33" s="392">
        <f t="shared" si="371"/>
        <v>990</v>
      </c>
      <c r="AV33" s="392">
        <v>524</v>
      </c>
      <c r="AW33" s="392">
        <v>482</v>
      </c>
      <c r="AX33" s="392">
        <f t="shared" si="372"/>
        <v>1006</v>
      </c>
      <c r="AY33" s="392">
        <v>499</v>
      </c>
      <c r="AZ33" s="392">
        <v>445</v>
      </c>
      <c r="BA33" s="392">
        <f t="shared" si="373"/>
        <v>944</v>
      </c>
      <c r="BB33" s="392">
        <v>440</v>
      </c>
      <c r="BC33" s="392">
        <v>393</v>
      </c>
      <c r="BD33" s="392">
        <f t="shared" si="374"/>
        <v>833</v>
      </c>
      <c r="BE33" s="392">
        <v>466</v>
      </c>
      <c r="BF33" s="392">
        <v>424</v>
      </c>
      <c r="BG33" s="392">
        <f t="shared" si="375"/>
        <v>890</v>
      </c>
      <c r="BH33" s="392">
        <v>471</v>
      </c>
      <c r="BI33" s="392">
        <v>434</v>
      </c>
      <c r="BJ33" s="392">
        <f t="shared" si="376"/>
        <v>905</v>
      </c>
      <c r="BK33" s="392">
        <v>437</v>
      </c>
      <c r="BL33" s="392">
        <v>441</v>
      </c>
      <c r="BM33" s="392">
        <f t="shared" si="377"/>
        <v>878</v>
      </c>
      <c r="BN33" s="392">
        <v>446</v>
      </c>
      <c r="BO33" s="392">
        <v>444</v>
      </c>
      <c r="BP33" s="392">
        <f t="shared" si="378"/>
        <v>890</v>
      </c>
      <c r="BQ33" s="392">
        <v>452</v>
      </c>
      <c r="BR33" s="392">
        <v>427</v>
      </c>
      <c r="BS33" s="392">
        <f t="shared" si="379"/>
        <v>879</v>
      </c>
      <c r="BT33" s="392">
        <v>438</v>
      </c>
      <c r="BU33" s="392">
        <v>446</v>
      </c>
      <c r="BV33" s="392">
        <f t="shared" si="380"/>
        <v>884</v>
      </c>
      <c r="BW33" s="392">
        <v>433</v>
      </c>
      <c r="BX33" s="392">
        <v>404</v>
      </c>
      <c r="BY33" s="392">
        <f t="shared" si="381"/>
        <v>837</v>
      </c>
      <c r="BZ33" s="392">
        <v>490</v>
      </c>
      <c r="CA33" s="392">
        <v>479</v>
      </c>
      <c r="CB33" s="392">
        <f t="shared" si="382"/>
        <v>969</v>
      </c>
      <c r="CC33" s="392">
        <v>432</v>
      </c>
      <c r="CD33" s="392">
        <v>422</v>
      </c>
      <c r="CE33" s="392">
        <f t="shared" si="383"/>
        <v>854</v>
      </c>
      <c r="CF33" s="392">
        <v>398</v>
      </c>
      <c r="CG33" s="392">
        <v>423</v>
      </c>
      <c r="CH33" s="392">
        <f t="shared" si="384"/>
        <v>821</v>
      </c>
      <c r="CI33" s="392">
        <v>457</v>
      </c>
      <c r="CJ33" s="392">
        <v>425</v>
      </c>
      <c r="CK33" s="392">
        <f t="shared" si="385"/>
        <v>882</v>
      </c>
      <c r="CL33" s="392">
        <v>426</v>
      </c>
      <c r="CM33" s="392">
        <v>400</v>
      </c>
      <c r="CN33" s="392">
        <f t="shared" si="386"/>
        <v>826</v>
      </c>
      <c r="CO33" s="392">
        <v>441</v>
      </c>
      <c r="CP33" s="392">
        <v>444</v>
      </c>
      <c r="CQ33" s="392">
        <f t="shared" si="387"/>
        <v>885</v>
      </c>
      <c r="CR33" s="392">
        <v>432</v>
      </c>
      <c r="CS33" s="392">
        <v>476</v>
      </c>
      <c r="CT33" s="392">
        <f t="shared" si="388"/>
        <v>908</v>
      </c>
      <c r="CU33" s="392">
        <v>433</v>
      </c>
      <c r="CV33" s="392">
        <v>419</v>
      </c>
      <c r="CW33" s="392">
        <f t="shared" si="389"/>
        <v>852</v>
      </c>
      <c r="CX33" s="392">
        <v>451</v>
      </c>
      <c r="CY33" s="392">
        <v>458</v>
      </c>
      <c r="CZ33" s="392">
        <f t="shared" si="390"/>
        <v>909</v>
      </c>
      <c r="DA33" s="392">
        <v>440</v>
      </c>
      <c r="DB33" s="392">
        <v>410</v>
      </c>
      <c r="DC33" s="392">
        <f t="shared" si="391"/>
        <v>850</v>
      </c>
      <c r="DD33" s="392">
        <v>465</v>
      </c>
      <c r="DE33" s="392">
        <v>474</v>
      </c>
      <c r="DF33" s="392">
        <f t="shared" si="392"/>
        <v>939</v>
      </c>
      <c r="DG33" s="392">
        <v>421</v>
      </c>
      <c r="DH33" s="392">
        <v>483</v>
      </c>
      <c r="DI33" s="392">
        <f t="shared" si="393"/>
        <v>904</v>
      </c>
      <c r="DJ33" s="392">
        <v>426</v>
      </c>
      <c r="DK33" s="392">
        <v>451</v>
      </c>
      <c r="DL33" s="392">
        <f t="shared" si="394"/>
        <v>877</v>
      </c>
      <c r="DM33" s="392">
        <v>442</v>
      </c>
      <c r="DN33" s="392">
        <v>458</v>
      </c>
      <c r="DO33" s="392">
        <f t="shared" si="395"/>
        <v>900</v>
      </c>
      <c r="DP33" s="392">
        <v>461</v>
      </c>
      <c r="DQ33" s="392">
        <v>490</v>
      </c>
      <c r="DR33" s="392">
        <f t="shared" si="396"/>
        <v>951</v>
      </c>
      <c r="DS33" s="392">
        <v>460</v>
      </c>
      <c r="DT33" s="392">
        <v>506</v>
      </c>
      <c r="DU33" s="392">
        <f t="shared" si="397"/>
        <v>966</v>
      </c>
      <c r="DV33" s="392">
        <v>507</v>
      </c>
      <c r="DW33" s="392">
        <v>534</v>
      </c>
      <c r="DX33" s="392">
        <f t="shared" si="398"/>
        <v>1041</v>
      </c>
      <c r="DY33" s="392">
        <v>485</v>
      </c>
      <c r="DZ33" s="392">
        <v>486</v>
      </c>
      <c r="EA33" s="392">
        <f t="shared" si="399"/>
        <v>971</v>
      </c>
      <c r="EB33" s="392">
        <v>531</v>
      </c>
      <c r="EC33" s="392">
        <v>531</v>
      </c>
      <c r="ED33" s="392">
        <f t="shared" si="400"/>
        <v>1062</v>
      </c>
      <c r="EE33" s="392">
        <v>543</v>
      </c>
      <c r="EF33" s="392">
        <v>526</v>
      </c>
      <c r="EG33" s="392">
        <f t="shared" si="401"/>
        <v>1069</v>
      </c>
      <c r="EH33" s="392">
        <v>528</v>
      </c>
      <c r="EI33" s="392">
        <v>500</v>
      </c>
      <c r="EJ33" s="392">
        <f t="shared" si="402"/>
        <v>1028</v>
      </c>
      <c r="EK33" s="392">
        <v>494</v>
      </c>
      <c r="EL33" s="392">
        <v>523</v>
      </c>
      <c r="EM33" s="392">
        <f t="shared" si="403"/>
        <v>1017</v>
      </c>
      <c r="EN33" s="392">
        <v>464</v>
      </c>
      <c r="EO33" s="392">
        <v>474</v>
      </c>
      <c r="EP33" s="392">
        <f t="shared" si="404"/>
        <v>938</v>
      </c>
      <c r="EQ33" s="392">
        <v>431</v>
      </c>
      <c r="ER33" s="392">
        <v>435</v>
      </c>
      <c r="ES33" s="392">
        <f t="shared" si="405"/>
        <v>866</v>
      </c>
      <c r="ET33" s="392">
        <v>376</v>
      </c>
      <c r="EU33" s="392">
        <v>401</v>
      </c>
      <c r="EV33" s="392">
        <f t="shared" si="406"/>
        <v>777</v>
      </c>
      <c r="EW33" s="392">
        <v>410</v>
      </c>
      <c r="EX33" s="392">
        <v>419</v>
      </c>
      <c r="EY33" s="392">
        <f t="shared" si="407"/>
        <v>829</v>
      </c>
      <c r="EZ33" s="392">
        <v>371</v>
      </c>
      <c r="FA33" s="392">
        <v>385</v>
      </c>
      <c r="FB33" s="392">
        <f t="shared" si="408"/>
        <v>756</v>
      </c>
      <c r="FC33" s="392">
        <v>309</v>
      </c>
      <c r="FD33" s="392">
        <v>358</v>
      </c>
      <c r="FE33" s="392">
        <f t="shared" si="409"/>
        <v>667</v>
      </c>
      <c r="FF33" s="392">
        <v>378</v>
      </c>
      <c r="FG33" s="392">
        <v>355</v>
      </c>
      <c r="FH33" s="392">
        <f t="shared" si="410"/>
        <v>733</v>
      </c>
      <c r="FI33" s="392">
        <v>342</v>
      </c>
      <c r="FJ33" s="392">
        <v>327</v>
      </c>
      <c r="FK33" s="392">
        <f t="shared" si="411"/>
        <v>669</v>
      </c>
      <c r="FL33" s="392">
        <v>314</v>
      </c>
      <c r="FM33" s="392">
        <v>332</v>
      </c>
      <c r="FN33" s="392">
        <f t="shared" si="412"/>
        <v>646</v>
      </c>
      <c r="FO33" s="392">
        <v>284</v>
      </c>
      <c r="FP33" s="392">
        <v>342</v>
      </c>
      <c r="FQ33" s="392">
        <f t="shared" si="413"/>
        <v>626</v>
      </c>
      <c r="FR33" s="392">
        <v>308</v>
      </c>
      <c r="FS33" s="392">
        <v>304</v>
      </c>
      <c r="FT33" s="392">
        <f t="shared" si="414"/>
        <v>612</v>
      </c>
      <c r="FU33" s="392">
        <v>265</v>
      </c>
      <c r="FV33" s="392">
        <v>286</v>
      </c>
      <c r="FW33" s="392">
        <f t="shared" si="415"/>
        <v>551</v>
      </c>
      <c r="FX33" s="392">
        <v>212</v>
      </c>
      <c r="FY33" s="392">
        <v>257</v>
      </c>
      <c r="FZ33" s="392">
        <f t="shared" si="416"/>
        <v>469</v>
      </c>
      <c r="GA33" s="392">
        <v>210</v>
      </c>
      <c r="GB33" s="392">
        <v>302</v>
      </c>
      <c r="GC33" s="392">
        <f t="shared" si="417"/>
        <v>512</v>
      </c>
      <c r="GD33" s="392">
        <v>218</v>
      </c>
      <c r="GE33" s="392">
        <v>281</v>
      </c>
      <c r="GF33" s="392">
        <f t="shared" si="418"/>
        <v>499</v>
      </c>
      <c r="GG33" s="392">
        <v>191</v>
      </c>
      <c r="GH33" s="392">
        <v>262</v>
      </c>
      <c r="GI33" s="392">
        <f t="shared" si="419"/>
        <v>453</v>
      </c>
      <c r="GJ33" s="392">
        <v>173</v>
      </c>
      <c r="GK33" s="392">
        <v>282</v>
      </c>
      <c r="GL33" s="392">
        <f t="shared" si="420"/>
        <v>455</v>
      </c>
      <c r="GM33" s="392">
        <v>195</v>
      </c>
      <c r="GN33" s="392">
        <v>281</v>
      </c>
      <c r="GO33" s="392">
        <f t="shared" si="421"/>
        <v>476</v>
      </c>
      <c r="GP33" s="392">
        <v>203</v>
      </c>
      <c r="GQ33" s="392">
        <v>271</v>
      </c>
      <c r="GR33" s="392">
        <f t="shared" si="422"/>
        <v>474</v>
      </c>
      <c r="GS33" s="392">
        <v>180</v>
      </c>
      <c r="GT33" s="392">
        <v>314</v>
      </c>
      <c r="GU33" s="392">
        <f t="shared" si="423"/>
        <v>494</v>
      </c>
      <c r="GV33" s="392">
        <v>187</v>
      </c>
      <c r="GW33" s="392">
        <v>250</v>
      </c>
      <c r="GX33" s="392">
        <f t="shared" si="424"/>
        <v>437</v>
      </c>
      <c r="GY33" s="392">
        <v>180</v>
      </c>
      <c r="GZ33" s="392">
        <v>252</v>
      </c>
      <c r="HA33" s="392">
        <f t="shared" si="425"/>
        <v>432</v>
      </c>
      <c r="HB33" s="392">
        <v>175</v>
      </c>
      <c r="HC33" s="392">
        <v>215</v>
      </c>
      <c r="HD33" s="392">
        <f t="shared" si="426"/>
        <v>390</v>
      </c>
      <c r="HE33" s="392">
        <v>170</v>
      </c>
      <c r="HF33" s="392">
        <v>215</v>
      </c>
      <c r="HG33" s="392">
        <f t="shared" si="427"/>
        <v>385</v>
      </c>
      <c r="HH33" s="392">
        <v>180</v>
      </c>
      <c r="HI33" s="392">
        <v>199</v>
      </c>
      <c r="HJ33" s="392">
        <f t="shared" si="428"/>
        <v>379</v>
      </c>
      <c r="HK33" s="392">
        <v>150</v>
      </c>
      <c r="HL33" s="392">
        <v>169</v>
      </c>
      <c r="HM33" s="392">
        <f t="shared" si="429"/>
        <v>319</v>
      </c>
      <c r="HN33" s="392">
        <v>131</v>
      </c>
      <c r="HO33" s="392">
        <v>159</v>
      </c>
      <c r="HP33" s="392">
        <f t="shared" si="430"/>
        <v>290</v>
      </c>
      <c r="HQ33" s="392">
        <v>97</v>
      </c>
      <c r="HR33" s="392">
        <v>118</v>
      </c>
      <c r="HS33" s="392">
        <f t="shared" si="431"/>
        <v>215</v>
      </c>
      <c r="HT33" s="392">
        <v>102</v>
      </c>
      <c r="HU33" s="392">
        <v>108</v>
      </c>
      <c r="HV33" s="392">
        <f t="shared" si="432"/>
        <v>210</v>
      </c>
      <c r="HW33" s="392">
        <v>87</v>
      </c>
      <c r="HX33" s="392">
        <v>92</v>
      </c>
      <c r="HY33" s="392">
        <f t="shared" si="433"/>
        <v>179</v>
      </c>
      <c r="HZ33" s="392">
        <v>87</v>
      </c>
      <c r="IA33" s="392">
        <v>69</v>
      </c>
      <c r="IB33" s="392">
        <f t="shared" si="434"/>
        <v>156</v>
      </c>
      <c r="IC33" s="392">
        <v>50</v>
      </c>
      <c r="ID33" s="392">
        <v>59</v>
      </c>
      <c r="IE33" s="392">
        <f t="shared" si="435"/>
        <v>109</v>
      </c>
      <c r="IF33" s="392">
        <v>41</v>
      </c>
      <c r="IG33" s="392">
        <v>40</v>
      </c>
      <c r="IH33" s="392">
        <f t="shared" si="436"/>
        <v>81</v>
      </c>
      <c r="II33" s="392">
        <v>28</v>
      </c>
      <c r="IJ33" s="392">
        <v>35</v>
      </c>
      <c r="IK33" s="392">
        <f t="shared" si="437"/>
        <v>63</v>
      </c>
      <c r="IL33" s="392">
        <v>40</v>
      </c>
      <c r="IM33" s="392">
        <v>29</v>
      </c>
      <c r="IN33" s="392">
        <f t="shared" si="438"/>
        <v>69</v>
      </c>
      <c r="IO33" s="392">
        <v>21</v>
      </c>
      <c r="IP33" s="392">
        <v>24</v>
      </c>
      <c r="IQ33" s="392">
        <f t="shared" si="439"/>
        <v>45</v>
      </c>
      <c r="IR33" s="392">
        <v>29</v>
      </c>
      <c r="IS33" s="392">
        <v>27</v>
      </c>
      <c r="IT33" s="392">
        <f t="shared" si="440"/>
        <v>56</v>
      </c>
      <c r="IU33" s="392">
        <v>18</v>
      </c>
      <c r="IV33" s="392">
        <v>26</v>
      </c>
      <c r="IW33" s="392">
        <f t="shared" si="441"/>
        <v>44</v>
      </c>
      <c r="IX33" s="392">
        <v>10</v>
      </c>
      <c r="IY33" s="392">
        <v>12</v>
      </c>
      <c r="IZ33" s="392">
        <f t="shared" si="442"/>
        <v>22</v>
      </c>
      <c r="JA33" s="392">
        <v>15</v>
      </c>
      <c r="JB33" s="392">
        <v>22</v>
      </c>
      <c r="JC33" s="392">
        <f t="shared" si="443"/>
        <v>37</v>
      </c>
      <c r="JD33" s="392">
        <v>4</v>
      </c>
      <c r="JE33" s="392">
        <v>9</v>
      </c>
      <c r="JF33" s="392">
        <f t="shared" si="444"/>
        <v>13</v>
      </c>
      <c r="JG33" s="392">
        <v>3</v>
      </c>
      <c r="JH33" s="392">
        <v>6</v>
      </c>
      <c r="JI33" s="392">
        <f t="shared" si="445"/>
        <v>9</v>
      </c>
      <c r="JJ33" s="392">
        <v>4</v>
      </c>
      <c r="JK33" s="392">
        <v>3</v>
      </c>
      <c r="JL33" s="392">
        <f t="shared" si="446"/>
        <v>7</v>
      </c>
      <c r="JM33" s="392">
        <v>4</v>
      </c>
      <c r="JN33" s="392">
        <v>6</v>
      </c>
      <c r="JO33" s="392">
        <f t="shared" si="447"/>
        <v>10</v>
      </c>
      <c r="JP33" s="392">
        <v>0</v>
      </c>
      <c r="JQ33" s="392">
        <v>7</v>
      </c>
      <c r="JR33" s="392">
        <f t="shared" si="448"/>
        <v>7</v>
      </c>
      <c r="JS33" s="392">
        <v>3</v>
      </c>
      <c r="JT33" s="392">
        <v>2</v>
      </c>
      <c r="JU33" s="392">
        <f t="shared" si="449"/>
        <v>5</v>
      </c>
      <c r="JV33" s="392">
        <v>1</v>
      </c>
      <c r="JW33" s="392">
        <v>3</v>
      </c>
      <c r="JX33" s="392">
        <f t="shared" si="450"/>
        <v>4</v>
      </c>
      <c r="JY33" s="392">
        <v>0</v>
      </c>
      <c r="JZ33" s="392">
        <v>2</v>
      </c>
      <c r="KA33" s="392">
        <f t="shared" si="451"/>
        <v>2</v>
      </c>
      <c r="KB33" s="392">
        <v>0</v>
      </c>
      <c r="KC33" s="392">
        <v>1</v>
      </c>
      <c r="KD33" s="392">
        <f t="shared" si="452"/>
        <v>1</v>
      </c>
      <c r="KE33" s="392">
        <v>1</v>
      </c>
      <c r="KF33" s="392">
        <v>1</v>
      </c>
      <c r="KG33" s="392">
        <f t="shared" si="453"/>
        <v>2</v>
      </c>
      <c r="KH33" s="392">
        <v>0</v>
      </c>
      <c r="KI33" s="392">
        <v>0</v>
      </c>
      <c r="KJ33" s="392">
        <f t="shared" si="454"/>
        <v>0</v>
      </c>
      <c r="KK33" s="392">
        <v>0</v>
      </c>
      <c r="KL33" s="392">
        <v>0</v>
      </c>
      <c r="KM33" s="392">
        <f t="shared" si="455"/>
        <v>0</v>
      </c>
      <c r="KN33" s="392">
        <v>0</v>
      </c>
      <c r="KO33" s="392">
        <v>1</v>
      </c>
      <c r="KP33" s="392">
        <f t="shared" si="456"/>
        <v>1</v>
      </c>
      <c r="KQ33" s="392">
        <v>0</v>
      </c>
      <c r="KR33" s="392">
        <v>0</v>
      </c>
      <c r="KS33" s="392">
        <f t="shared" si="457"/>
        <v>0</v>
      </c>
      <c r="KT33" s="392">
        <v>0</v>
      </c>
      <c r="KU33" s="392">
        <v>0</v>
      </c>
      <c r="KV33" s="392">
        <f t="shared" si="458"/>
        <v>0</v>
      </c>
      <c r="KW33" s="392">
        <v>0</v>
      </c>
      <c r="KX33" s="392">
        <v>0</v>
      </c>
      <c r="KY33" s="392">
        <f t="shared" si="459"/>
        <v>0</v>
      </c>
      <c r="KZ33" s="392">
        <v>0</v>
      </c>
      <c r="LA33" s="392">
        <v>0</v>
      </c>
      <c r="LB33" s="392">
        <f t="shared" si="460"/>
        <v>0</v>
      </c>
      <c r="LC33" s="392">
        <v>0</v>
      </c>
      <c r="LD33" s="392">
        <v>0</v>
      </c>
      <c r="LE33" s="392">
        <f t="shared" si="461"/>
        <v>0</v>
      </c>
      <c r="LF33" s="392">
        <v>0</v>
      </c>
      <c r="LG33" s="392">
        <v>0</v>
      </c>
      <c r="LH33" s="392">
        <f t="shared" si="462"/>
        <v>0</v>
      </c>
      <c r="LI33" s="392">
        <v>0</v>
      </c>
      <c r="LJ33" s="392">
        <v>0</v>
      </c>
      <c r="LK33" s="392">
        <f t="shared" si="463"/>
        <v>0</v>
      </c>
      <c r="LL33" s="392">
        <v>0</v>
      </c>
      <c r="LM33" s="392">
        <v>0</v>
      </c>
      <c r="LN33" s="392">
        <f t="shared" si="464"/>
        <v>0</v>
      </c>
      <c r="LO33" s="392">
        <v>0</v>
      </c>
      <c r="LP33" s="392">
        <v>0</v>
      </c>
      <c r="LQ33" s="392">
        <f t="shared" si="465"/>
        <v>0</v>
      </c>
      <c r="LR33" s="392">
        <v>0</v>
      </c>
      <c r="LS33" s="392">
        <v>0</v>
      </c>
      <c r="LT33" s="392">
        <f t="shared" si="466"/>
        <v>0</v>
      </c>
      <c r="LU33" s="392">
        <v>0</v>
      </c>
      <c r="LV33" s="392">
        <v>0</v>
      </c>
      <c r="LW33" s="392">
        <f t="shared" si="467"/>
        <v>0</v>
      </c>
      <c r="LX33" s="392">
        <v>0</v>
      </c>
      <c r="LY33" s="392">
        <v>0</v>
      </c>
      <c r="LZ33" s="392">
        <f t="shared" si="468"/>
        <v>0</v>
      </c>
      <c r="MA33" s="392">
        <v>0</v>
      </c>
      <c r="MB33" s="392">
        <v>0</v>
      </c>
      <c r="MC33" s="392">
        <f t="shared" si="469"/>
        <v>0</v>
      </c>
      <c r="MD33" s="392">
        <v>0</v>
      </c>
      <c r="ME33" s="392">
        <v>0</v>
      </c>
      <c r="MF33" s="392">
        <f t="shared" si="470"/>
        <v>0</v>
      </c>
      <c r="MG33" s="392">
        <v>0</v>
      </c>
      <c r="MH33" s="392">
        <v>0</v>
      </c>
      <c r="MI33" s="392">
        <f t="shared" si="471"/>
        <v>0</v>
      </c>
      <c r="MJ33" s="392">
        <v>0</v>
      </c>
      <c r="MK33" s="392">
        <v>0</v>
      </c>
      <c r="ML33" s="392">
        <f t="shared" si="472"/>
        <v>0</v>
      </c>
      <c r="MM33" s="392">
        <v>0</v>
      </c>
      <c r="MN33" s="392">
        <v>0</v>
      </c>
      <c r="MO33" s="392">
        <f t="shared" si="473"/>
        <v>0</v>
      </c>
      <c r="MP33" s="392">
        <v>0</v>
      </c>
      <c r="MQ33" s="392">
        <v>0</v>
      </c>
      <c r="MR33" s="392">
        <f t="shared" si="474"/>
        <v>0</v>
      </c>
      <c r="MS33" s="392">
        <v>0</v>
      </c>
      <c r="MT33" s="392">
        <v>0</v>
      </c>
      <c r="MU33" s="392">
        <f t="shared" si="475"/>
        <v>0</v>
      </c>
      <c r="MV33" s="392">
        <v>0</v>
      </c>
      <c r="MW33" s="392">
        <v>0</v>
      </c>
      <c r="MX33" s="392">
        <f t="shared" si="476"/>
        <v>0</v>
      </c>
      <c r="MY33" s="392">
        <v>0</v>
      </c>
      <c r="MZ33" s="392">
        <v>0</v>
      </c>
      <c r="NA33" s="567">
        <f t="shared" si="477"/>
        <v>0</v>
      </c>
      <c r="NB33" s="392">
        <v>0</v>
      </c>
      <c r="NC33" s="392">
        <v>0</v>
      </c>
      <c r="ND33" s="565">
        <f t="shared" si="478"/>
        <v>0</v>
      </c>
      <c r="NE33" s="559">
        <f t="shared" si="484"/>
        <v>29054</v>
      </c>
      <c r="NF33" s="388">
        <f t="shared" si="484"/>
        <v>29749</v>
      </c>
      <c r="NG33" s="576">
        <f t="shared" si="480"/>
        <v>58803</v>
      </c>
      <c r="NH33" s="575">
        <f t="shared" si="481"/>
        <v>2043</v>
      </c>
      <c r="NI33" s="396">
        <f t="shared" si="481"/>
        <v>1997</v>
      </c>
      <c r="NJ33" s="576">
        <f t="shared" si="482"/>
        <v>4040</v>
      </c>
    </row>
    <row r="34" spans="1:374" x14ac:dyDescent="0.3">
      <c r="A34" s="587" t="s">
        <v>277</v>
      </c>
      <c r="B34" s="588" t="s">
        <v>73</v>
      </c>
      <c r="C34" s="538">
        <v>961</v>
      </c>
      <c r="D34" s="372">
        <v>911</v>
      </c>
      <c r="E34" s="372">
        <f t="shared" si="357"/>
        <v>1872</v>
      </c>
      <c r="F34" s="372">
        <v>1258</v>
      </c>
      <c r="G34" s="372">
        <v>1240</v>
      </c>
      <c r="H34" s="372">
        <f t="shared" si="358"/>
        <v>2498</v>
      </c>
      <c r="I34" s="372">
        <v>1448</v>
      </c>
      <c r="J34" s="372">
        <v>1401</v>
      </c>
      <c r="K34" s="372">
        <f t="shared" si="359"/>
        <v>2849</v>
      </c>
      <c r="L34" s="372">
        <v>1627</v>
      </c>
      <c r="M34" s="372">
        <v>1493</v>
      </c>
      <c r="N34" s="372">
        <f t="shared" si="360"/>
        <v>3120</v>
      </c>
      <c r="O34" s="372">
        <v>1784</v>
      </c>
      <c r="P34" s="372">
        <v>1681</v>
      </c>
      <c r="Q34" s="372">
        <f t="shared" si="361"/>
        <v>3465</v>
      </c>
      <c r="R34" s="372">
        <v>1824</v>
      </c>
      <c r="S34" s="372">
        <v>1684</v>
      </c>
      <c r="T34" s="372">
        <f t="shared" si="362"/>
        <v>3508</v>
      </c>
      <c r="U34" s="372">
        <v>2042</v>
      </c>
      <c r="V34" s="372">
        <v>1934</v>
      </c>
      <c r="W34" s="372">
        <f t="shared" si="363"/>
        <v>3976</v>
      </c>
      <c r="X34" s="372">
        <v>2071</v>
      </c>
      <c r="Y34" s="372">
        <v>1884</v>
      </c>
      <c r="Z34" s="372">
        <f t="shared" si="364"/>
        <v>3955</v>
      </c>
      <c r="AA34" s="372">
        <v>1881</v>
      </c>
      <c r="AB34" s="372">
        <v>1729</v>
      </c>
      <c r="AC34" s="372">
        <f t="shared" si="365"/>
        <v>3610</v>
      </c>
      <c r="AD34" s="372">
        <v>1766</v>
      </c>
      <c r="AE34" s="372">
        <v>1760</v>
      </c>
      <c r="AF34" s="372">
        <f t="shared" si="366"/>
        <v>3526</v>
      </c>
      <c r="AG34" s="372">
        <v>1897</v>
      </c>
      <c r="AH34" s="372">
        <v>1792</v>
      </c>
      <c r="AI34" s="372">
        <f t="shared" si="367"/>
        <v>3689</v>
      </c>
      <c r="AJ34" s="372">
        <v>1772</v>
      </c>
      <c r="AK34" s="372">
        <v>1775</v>
      </c>
      <c r="AL34" s="372">
        <f t="shared" si="368"/>
        <v>3547</v>
      </c>
      <c r="AM34" s="372">
        <v>1842</v>
      </c>
      <c r="AN34" s="372">
        <v>1684</v>
      </c>
      <c r="AO34" s="372">
        <f t="shared" si="369"/>
        <v>3526</v>
      </c>
      <c r="AP34" s="372">
        <v>1836</v>
      </c>
      <c r="AQ34" s="372">
        <v>1753</v>
      </c>
      <c r="AR34" s="372">
        <f t="shared" si="370"/>
        <v>3589</v>
      </c>
      <c r="AS34" s="372">
        <v>1881</v>
      </c>
      <c r="AT34" s="372">
        <v>1755</v>
      </c>
      <c r="AU34" s="372">
        <f t="shared" si="371"/>
        <v>3636</v>
      </c>
      <c r="AV34" s="372">
        <v>1815</v>
      </c>
      <c r="AW34" s="372">
        <v>1725</v>
      </c>
      <c r="AX34" s="372">
        <f t="shared" si="372"/>
        <v>3540</v>
      </c>
      <c r="AY34" s="372">
        <v>1785</v>
      </c>
      <c r="AZ34" s="372">
        <v>1639</v>
      </c>
      <c r="BA34" s="372">
        <f t="shared" si="373"/>
        <v>3424</v>
      </c>
      <c r="BB34" s="372">
        <v>1599</v>
      </c>
      <c r="BC34" s="372">
        <v>1510</v>
      </c>
      <c r="BD34" s="372">
        <f t="shared" si="374"/>
        <v>3109</v>
      </c>
      <c r="BE34" s="372">
        <v>1620</v>
      </c>
      <c r="BF34" s="372">
        <v>1603</v>
      </c>
      <c r="BG34" s="372">
        <f t="shared" si="375"/>
        <v>3223</v>
      </c>
      <c r="BH34" s="372">
        <v>1773</v>
      </c>
      <c r="BI34" s="372">
        <v>1749</v>
      </c>
      <c r="BJ34" s="372">
        <f t="shared" si="376"/>
        <v>3522</v>
      </c>
      <c r="BK34" s="372">
        <v>1694</v>
      </c>
      <c r="BL34" s="372">
        <v>1693</v>
      </c>
      <c r="BM34" s="372">
        <f t="shared" si="377"/>
        <v>3387</v>
      </c>
      <c r="BN34" s="372">
        <v>1778</v>
      </c>
      <c r="BO34" s="372">
        <v>1647</v>
      </c>
      <c r="BP34" s="372">
        <f t="shared" si="378"/>
        <v>3425</v>
      </c>
      <c r="BQ34" s="372">
        <v>1821</v>
      </c>
      <c r="BR34" s="372">
        <v>1819</v>
      </c>
      <c r="BS34" s="372">
        <f t="shared" si="379"/>
        <v>3640</v>
      </c>
      <c r="BT34" s="372">
        <v>2038</v>
      </c>
      <c r="BU34" s="372">
        <v>1782</v>
      </c>
      <c r="BV34" s="372">
        <f t="shared" si="380"/>
        <v>3820</v>
      </c>
      <c r="BW34" s="372">
        <v>1972</v>
      </c>
      <c r="BX34" s="372">
        <v>1789</v>
      </c>
      <c r="BY34" s="372">
        <f t="shared" si="381"/>
        <v>3761</v>
      </c>
      <c r="BZ34" s="372">
        <v>2056</v>
      </c>
      <c r="CA34" s="372">
        <v>1939</v>
      </c>
      <c r="CB34" s="372">
        <f t="shared" si="382"/>
        <v>3995</v>
      </c>
      <c r="CC34" s="372">
        <v>2068</v>
      </c>
      <c r="CD34" s="372">
        <v>2075</v>
      </c>
      <c r="CE34" s="372">
        <f t="shared" si="383"/>
        <v>4143</v>
      </c>
      <c r="CF34" s="372">
        <v>1910</v>
      </c>
      <c r="CG34" s="372">
        <v>1871</v>
      </c>
      <c r="CH34" s="372">
        <f t="shared" si="384"/>
        <v>3781</v>
      </c>
      <c r="CI34" s="372">
        <v>2120</v>
      </c>
      <c r="CJ34" s="372">
        <v>2001</v>
      </c>
      <c r="CK34" s="372">
        <f t="shared" si="385"/>
        <v>4121</v>
      </c>
      <c r="CL34" s="372">
        <v>2034</v>
      </c>
      <c r="CM34" s="372">
        <v>2075</v>
      </c>
      <c r="CN34" s="372">
        <f t="shared" si="386"/>
        <v>4109</v>
      </c>
      <c r="CO34" s="372">
        <v>2109</v>
      </c>
      <c r="CP34" s="372">
        <v>2136</v>
      </c>
      <c r="CQ34" s="372">
        <f t="shared" si="387"/>
        <v>4245</v>
      </c>
      <c r="CR34" s="372">
        <v>2019</v>
      </c>
      <c r="CS34" s="372">
        <v>2205</v>
      </c>
      <c r="CT34" s="372">
        <f t="shared" si="388"/>
        <v>4224</v>
      </c>
      <c r="CU34" s="372">
        <v>2024</v>
      </c>
      <c r="CV34" s="372">
        <v>2130</v>
      </c>
      <c r="CW34" s="372">
        <f t="shared" si="389"/>
        <v>4154</v>
      </c>
      <c r="CX34" s="372">
        <v>2070</v>
      </c>
      <c r="CY34" s="372">
        <v>2048</v>
      </c>
      <c r="CZ34" s="372">
        <f t="shared" si="390"/>
        <v>4118</v>
      </c>
      <c r="DA34" s="372">
        <v>1971</v>
      </c>
      <c r="DB34" s="372">
        <v>1924</v>
      </c>
      <c r="DC34" s="372">
        <f t="shared" si="391"/>
        <v>3895</v>
      </c>
      <c r="DD34" s="372">
        <v>1889</v>
      </c>
      <c r="DE34" s="372">
        <v>1938</v>
      </c>
      <c r="DF34" s="372">
        <f t="shared" si="392"/>
        <v>3827</v>
      </c>
      <c r="DG34" s="372">
        <v>1923</v>
      </c>
      <c r="DH34" s="372">
        <v>1946</v>
      </c>
      <c r="DI34" s="372">
        <f t="shared" si="393"/>
        <v>3869</v>
      </c>
      <c r="DJ34" s="372">
        <v>1810</v>
      </c>
      <c r="DK34" s="372">
        <v>1826</v>
      </c>
      <c r="DL34" s="372">
        <f t="shared" si="394"/>
        <v>3636</v>
      </c>
      <c r="DM34" s="372">
        <v>1715</v>
      </c>
      <c r="DN34" s="372">
        <v>1658</v>
      </c>
      <c r="DO34" s="372">
        <f t="shared" si="395"/>
        <v>3373</v>
      </c>
      <c r="DP34" s="372">
        <v>1655</v>
      </c>
      <c r="DQ34" s="372">
        <v>1643</v>
      </c>
      <c r="DR34" s="372">
        <f t="shared" si="396"/>
        <v>3298</v>
      </c>
      <c r="DS34" s="372">
        <v>1707</v>
      </c>
      <c r="DT34" s="372">
        <v>1694</v>
      </c>
      <c r="DU34" s="372">
        <f t="shared" si="397"/>
        <v>3401</v>
      </c>
      <c r="DV34" s="372">
        <v>1741</v>
      </c>
      <c r="DW34" s="372">
        <v>1727</v>
      </c>
      <c r="DX34" s="372">
        <f t="shared" si="398"/>
        <v>3468</v>
      </c>
      <c r="DY34" s="372">
        <v>1653</v>
      </c>
      <c r="DZ34" s="372">
        <v>1743</v>
      </c>
      <c r="EA34" s="372">
        <f t="shared" si="399"/>
        <v>3396</v>
      </c>
      <c r="EB34" s="372">
        <v>1767</v>
      </c>
      <c r="EC34" s="372">
        <v>1794</v>
      </c>
      <c r="ED34" s="372">
        <f t="shared" si="400"/>
        <v>3561</v>
      </c>
      <c r="EE34" s="372">
        <v>1689</v>
      </c>
      <c r="EF34" s="372">
        <v>1713</v>
      </c>
      <c r="EG34" s="372">
        <f t="shared" si="401"/>
        <v>3402</v>
      </c>
      <c r="EH34" s="372">
        <v>1620</v>
      </c>
      <c r="EI34" s="372">
        <v>1699</v>
      </c>
      <c r="EJ34" s="372">
        <f t="shared" si="402"/>
        <v>3319</v>
      </c>
      <c r="EK34" s="372">
        <v>1625</v>
      </c>
      <c r="EL34" s="372">
        <v>1680</v>
      </c>
      <c r="EM34" s="372">
        <f t="shared" si="403"/>
        <v>3305</v>
      </c>
      <c r="EN34" s="372">
        <v>1496</v>
      </c>
      <c r="EO34" s="372">
        <v>1698</v>
      </c>
      <c r="EP34" s="372">
        <f t="shared" si="404"/>
        <v>3194</v>
      </c>
      <c r="EQ34" s="372">
        <v>1478</v>
      </c>
      <c r="ER34" s="372">
        <v>1605</v>
      </c>
      <c r="ES34" s="372">
        <f t="shared" si="405"/>
        <v>3083</v>
      </c>
      <c r="ET34" s="372">
        <v>1399</v>
      </c>
      <c r="EU34" s="372">
        <v>1639</v>
      </c>
      <c r="EV34" s="372">
        <f t="shared" si="406"/>
        <v>3038</v>
      </c>
      <c r="EW34" s="372">
        <v>1428</v>
      </c>
      <c r="EX34" s="372">
        <v>1615</v>
      </c>
      <c r="EY34" s="372">
        <f t="shared" si="407"/>
        <v>3043</v>
      </c>
      <c r="EZ34" s="372">
        <v>1367</v>
      </c>
      <c r="FA34" s="372">
        <v>1582</v>
      </c>
      <c r="FB34" s="372">
        <f t="shared" si="408"/>
        <v>2949</v>
      </c>
      <c r="FC34" s="372">
        <v>1248</v>
      </c>
      <c r="FD34" s="372">
        <v>1409</v>
      </c>
      <c r="FE34" s="372">
        <f t="shared" si="409"/>
        <v>2657</v>
      </c>
      <c r="FF34" s="372">
        <v>1347</v>
      </c>
      <c r="FG34" s="372">
        <v>1487</v>
      </c>
      <c r="FH34" s="372">
        <f t="shared" si="410"/>
        <v>2834</v>
      </c>
      <c r="FI34" s="372">
        <v>1315</v>
      </c>
      <c r="FJ34" s="372">
        <v>1333</v>
      </c>
      <c r="FK34" s="372">
        <f t="shared" si="411"/>
        <v>2648</v>
      </c>
      <c r="FL34" s="372">
        <v>1283</v>
      </c>
      <c r="FM34" s="372">
        <v>1393</v>
      </c>
      <c r="FN34" s="372">
        <f t="shared" si="412"/>
        <v>2676</v>
      </c>
      <c r="FO34" s="372">
        <v>1310</v>
      </c>
      <c r="FP34" s="372">
        <v>1465</v>
      </c>
      <c r="FQ34" s="372">
        <f t="shared" si="413"/>
        <v>2775</v>
      </c>
      <c r="FR34" s="372">
        <v>1170</v>
      </c>
      <c r="FS34" s="372">
        <v>1398</v>
      </c>
      <c r="FT34" s="372">
        <f t="shared" si="414"/>
        <v>2568</v>
      </c>
      <c r="FU34" s="372">
        <v>1123</v>
      </c>
      <c r="FV34" s="372">
        <v>1366</v>
      </c>
      <c r="FW34" s="372">
        <f t="shared" si="415"/>
        <v>2489</v>
      </c>
      <c r="FX34" s="372">
        <v>981</v>
      </c>
      <c r="FY34" s="372">
        <v>1241</v>
      </c>
      <c r="FZ34" s="372">
        <f t="shared" si="416"/>
        <v>2222</v>
      </c>
      <c r="GA34" s="372">
        <v>1073</v>
      </c>
      <c r="GB34" s="372">
        <v>1238</v>
      </c>
      <c r="GC34" s="372">
        <f t="shared" si="417"/>
        <v>2311</v>
      </c>
      <c r="GD34" s="372">
        <v>1035</v>
      </c>
      <c r="GE34" s="372">
        <v>1315</v>
      </c>
      <c r="GF34" s="372">
        <f t="shared" si="418"/>
        <v>2350</v>
      </c>
      <c r="GG34" s="372">
        <v>1033</v>
      </c>
      <c r="GH34" s="372">
        <v>1134</v>
      </c>
      <c r="GI34" s="372">
        <f t="shared" si="419"/>
        <v>2167</v>
      </c>
      <c r="GJ34" s="372">
        <v>996</v>
      </c>
      <c r="GK34" s="372">
        <v>1123</v>
      </c>
      <c r="GL34" s="372">
        <f t="shared" si="420"/>
        <v>2119</v>
      </c>
      <c r="GM34" s="372">
        <v>949</v>
      </c>
      <c r="GN34" s="372">
        <v>939</v>
      </c>
      <c r="GO34" s="372">
        <f t="shared" si="421"/>
        <v>1888</v>
      </c>
      <c r="GP34" s="372">
        <v>861</v>
      </c>
      <c r="GQ34" s="372">
        <v>867</v>
      </c>
      <c r="GR34" s="372">
        <f t="shared" si="422"/>
        <v>1728</v>
      </c>
      <c r="GS34" s="372">
        <v>960</v>
      </c>
      <c r="GT34" s="372">
        <v>834</v>
      </c>
      <c r="GU34" s="372">
        <f t="shared" si="423"/>
        <v>1794</v>
      </c>
      <c r="GV34" s="372">
        <v>715</v>
      </c>
      <c r="GW34" s="372">
        <v>637</v>
      </c>
      <c r="GX34" s="372">
        <f t="shared" si="424"/>
        <v>1352</v>
      </c>
      <c r="GY34" s="372">
        <v>690</v>
      </c>
      <c r="GZ34" s="372">
        <v>595</v>
      </c>
      <c r="HA34" s="372">
        <f t="shared" si="425"/>
        <v>1285</v>
      </c>
      <c r="HB34" s="372">
        <v>558</v>
      </c>
      <c r="HC34" s="372">
        <v>469</v>
      </c>
      <c r="HD34" s="372">
        <f t="shared" si="426"/>
        <v>1027</v>
      </c>
      <c r="HE34" s="372">
        <v>480</v>
      </c>
      <c r="HF34" s="372">
        <v>398</v>
      </c>
      <c r="HG34" s="372">
        <f t="shared" si="427"/>
        <v>878</v>
      </c>
      <c r="HH34" s="372">
        <v>445</v>
      </c>
      <c r="HI34" s="372">
        <v>377</v>
      </c>
      <c r="HJ34" s="372">
        <f t="shared" si="428"/>
        <v>822</v>
      </c>
      <c r="HK34" s="372">
        <v>384</v>
      </c>
      <c r="HL34" s="372">
        <v>260</v>
      </c>
      <c r="HM34" s="372">
        <f t="shared" si="429"/>
        <v>644</v>
      </c>
      <c r="HN34" s="372">
        <v>309</v>
      </c>
      <c r="HO34" s="372">
        <v>270</v>
      </c>
      <c r="HP34" s="372">
        <f t="shared" si="430"/>
        <v>579</v>
      </c>
      <c r="HQ34" s="372">
        <v>246</v>
      </c>
      <c r="HR34" s="372">
        <v>224</v>
      </c>
      <c r="HS34" s="372">
        <f t="shared" si="431"/>
        <v>470</v>
      </c>
      <c r="HT34" s="372">
        <v>198</v>
      </c>
      <c r="HU34" s="372">
        <v>202</v>
      </c>
      <c r="HV34" s="372">
        <f t="shared" si="432"/>
        <v>400</v>
      </c>
      <c r="HW34" s="372">
        <v>205</v>
      </c>
      <c r="HX34" s="372">
        <v>188</v>
      </c>
      <c r="HY34" s="372">
        <f t="shared" si="433"/>
        <v>393</v>
      </c>
      <c r="HZ34" s="372">
        <v>106</v>
      </c>
      <c r="IA34" s="372">
        <v>125</v>
      </c>
      <c r="IB34" s="372">
        <f t="shared" si="434"/>
        <v>231</v>
      </c>
      <c r="IC34" s="372">
        <v>98</v>
      </c>
      <c r="ID34" s="372">
        <v>121</v>
      </c>
      <c r="IE34" s="372">
        <f t="shared" si="435"/>
        <v>219</v>
      </c>
      <c r="IF34" s="372">
        <v>80</v>
      </c>
      <c r="IG34" s="372">
        <v>99</v>
      </c>
      <c r="IH34" s="372">
        <f t="shared" si="436"/>
        <v>179</v>
      </c>
      <c r="II34" s="372">
        <v>54</v>
      </c>
      <c r="IJ34" s="372">
        <v>92</v>
      </c>
      <c r="IK34" s="372">
        <f t="shared" si="437"/>
        <v>146</v>
      </c>
      <c r="IL34" s="372">
        <v>67</v>
      </c>
      <c r="IM34" s="372">
        <v>93</v>
      </c>
      <c r="IN34" s="372">
        <f t="shared" si="438"/>
        <v>160</v>
      </c>
      <c r="IO34" s="372">
        <v>69</v>
      </c>
      <c r="IP34" s="372">
        <v>60</v>
      </c>
      <c r="IQ34" s="372">
        <f t="shared" si="439"/>
        <v>129</v>
      </c>
      <c r="IR34" s="372">
        <v>44</v>
      </c>
      <c r="IS34" s="372">
        <v>71</v>
      </c>
      <c r="IT34" s="372">
        <f t="shared" si="440"/>
        <v>115</v>
      </c>
      <c r="IU34" s="372">
        <v>45</v>
      </c>
      <c r="IV34" s="372">
        <v>56</v>
      </c>
      <c r="IW34" s="372">
        <f t="shared" si="441"/>
        <v>101</v>
      </c>
      <c r="IX34" s="372">
        <v>28</v>
      </c>
      <c r="IY34" s="372">
        <v>57</v>
      </c>
      <c r="IZ34" s="372">
        <f t="shared" si="442"/>
        <v>85</v>
      </c>
      <c r="JA34" s="372">
        <v>34</v>
      </c>
      <c r="JB34" s="372">
        <v>55</v>
      </c>
      <c r="JC34" s="372">
        <f t="shared" si="443"/>
        <v>89</v>
      </c>
      <c r="JD34" s="372">
        <v>22</v>
      </c>
      <c r="JE34" s="372">
        <v>42</v>
      </c>
      <c r="JF34" s="372">
        <f t="shared" si="444"/>
        <v>64</v>
      </c>
      <c r="JG34" s="372">
        <v>17</v>
      </c>
      <c r="JH34" s="372">
        <v>33</v>
      </c>
      <c r="JI34" s="372">
        <f t="shared" si="445"/>
        <v>50</v>
      </c>
      <c r="JJ34" s="372">
        <v>12</v>
      </c>
      <c r="JK34" s="372">
        <v>18</v>
      </c>
      <c r="JL34" s="372">
        <f t="shared" si="446"/>
        <v>30</v>
      </c>
      <c r="JM34" s="372">
        <v>8</v>
      </c>
      <c r="JN34" s="372">
        <v>15</v>
      </c>
      <c r="JO34" s="372">
        <f t="shared" si="447"/>
        <v>23</v>
      </c>
      <c r="JP34" s="372">
        <v>10</v>
      </c>
      <c r="JQ34" s="372">
        <v>14</v>
      </c>
      <c r="JR34" s="372">
        <f t="shared" si="448"/>
        <v>24</v>
      </c>
      <c r="JS34" s="372">
        <v>1</v>
      </c>
      <c r="JT34" s="372">
        <v>6</v>
      </c>
      <c r="JU34" s="372">
        <f t="shared" si="449"/>
        <v>7</v>
      </c>
      <c r="JV34" s="372">
        <v>10</v>
      </c>
      <c r="JW34" s="372">
        <v>11</v>
      </c>
      <c r="JX34" s="372">
        <f t="shared" si="450"/>
        <v>21</v>
      </c>
      <c r="JY34" s="372">
        <v>6</v>
      </c>
      <c r="JZ34" s="372">
        <v>10</v>
      </c>
      <c r="KA34" s="372">
        <f t="shared" si="451"/>
        <v>16</v>
      </c>
      <c r="KB34" s="372">
        <v>4</v>
      </c>
      <c r="KC34" s="372">
        <v>2</v>
      </c>
      <c r="KD34" s="372">
        <f t="shared" si="452"/>
        <v>6</v>
      </c>
      <c r="KE34" s="372">
        <v>1</v>
      </c>
      <c r="KF34" s="372">
        <v>4</v>
      </c>
      <c r="KG34" s="372">
        <f t="shared" si="453"/>
        <v>5</v>
      </c>
      <c r="KH34" s="372">
        <v>1</v>
      </c>
      <c r="KI34" s="372">
        <v>1</v>
      </c>
      <c r="KJ34" s="372">
        <f t="shared" si="454"/>
        <v>2</v>
      </c>
      <c r="KK34" s="372">
        <v>0</v>
      </c>
      <c r="KL34" s="372">
        <v>2</v>
      </c>
      <c r="KM34" s="372">
        <f t="shared" si="455"/>
        <v>2</v>
      </c>
      <c r="KN34" s="372">
        <v>1</v>
      </c>
      <c r="KO34" s="372">
        <v>1</v>
      </c>
      <c r="KP34" s="372">
        <f t="shared" si="456"/>
        <v>2</v>
      </c>
      <c r="KQ34" s="372">
        <v>1</v>
      </c>
      <c r="KR34" s="372">
        <v>0</v>
      </c>
      <c r="KS34" s="372">
        <f t="shared" si="457"/>
        <v>1</v>
      </c>
      <c r="KT34" s="372">
        <v>0</v>
      </c>
      <c r="KU34" s="372">
        <v>0</v>
      </c>
      <c r="KV34" s="372">
        <f t="shared" si="458"/>
        <v>0</v>
      </c>
      <c r="KW34" s="372">
        <v>0</v>
      </c>
      <c r="KX34" s="372">
        <v>0</v>
      </c>
      <c r="KY34" s="372">
        <f t="shared" si="459"/>
        <v>0</v>
      </c>
      <c r="KZ34" s="372">
        <v>0</v>
      </c>
      <c r="LA34" s="372">
        <v>0</v>
      </c>
      <c r="LB34" s="372">
        <f t="shared" si="460"/>
        <v>0</v>
      </c>
      <c r="LC34" s="372">
        <v>0</v>
      </c>
      <c r="LD34" s="372">
        <v>0</v>
      </c>
      <c r="LE34" s="372">
        <f t="shared" si="461"/>
        <v>0</v>
      </c>
      <c r="LF34" s="372">
        <v>0</v>
      </c>
      <c r="LG34" s="372">
        <v>0</v>
      </c>
      <c r="LH34" s="372">
        <f t="shared" si="462"/>
        <v>0</v>
      </c>
      <c r="LI34" s="372">
        <v>0</v>
      </c>
      <c r="LJ34" s="372">
        <v>0</v>
      </c>
      <c r="LK34" s="372">
        <f t="shared" si="463"/>
        <v>0</v>
      </c>
      <c r="LL34" s="372">
        <v>0</v>
      </c>
      <c r="LM34" s="372">
        <v>0</v>
      </c>
      <c r="LN34" s="372">
        <f t="shared" si="464"/>
        <v>0</v>
      </c>
      <c r="LO34" s="372">
        <v>0</v>
      </c>
      <c r="LP34" s="372">
        <v>0</v>
      </c>
      <c r="LQ34" s="372">
        <f t="shared" si="465"/>
        <v>0</v>
      </c>
      <c r="LR34" s="372">
        <v>0</v>
      </c>
      <c r="LS34" s="372">
        <v>0</v>
      </c>
      <c r="LT34" s="372">
        <f t="shared" si="466"/>
        <v>0</v>
      </c>
      <c r="LU34" s="372">
        <v>0</v>
      </c>
      <c r="LV34" s="372">
        <v>0</v>
      </c>
      <c r="LW34" s="372">
        <f t="shared" si="467"/>
        <v>0</v>
      </c>
      <c r="LX34" s="372">
        <v>0</v>
      </c>
      <c r="LY34" s="372">
        <v>0</v>
      </c>
      <c r="LZ34" s="372">
        <f t="shared" si="468"/>
        <v>0</v>
      </c>
      <c r="MA34" s="372">
        <v>0</v>
      </c>
      <c r="MB34" s="372">
        <v>0</v>
      </c>
      <c r="MC34" s="372">
        <f t="shared" si="469"/>
        <v>0</v>
      </c>
      <c r="MD34" s="372">
        <v>0</v>
      </c>
      <c r="ME34" s="372">
        <v>0</v>
      </c>
      <c r="MF34" s="372">
        <f t="shared" si="470"/>
        <v>0</v>
      </c>
      <c r="MG34" s="372">
        <v>0</v>
      </c>
      <c r="MH34" s="372">
        <v>0</v>
      </c>
      <c r="MI34" s="372">
        <f t="shared" si="471"/>
        <v>0</v>
      </c>
      <c r="MJ34" s="372">
        <v>0</v>
      </c>
      <c r="MK34" s="372">
        <v>0</v>
      </c>
      <c r="ML34" s="372">
        <f t="shared" si="472"/>
        <v>0</v>
      </c>
      <c r="MM34" s="372">
        <v>0</v>
      </c>
      <c r="MN34" s="372">
        <v>0</v>
      </c>
      <c r="MO34" s="372">
        <f t="shared" si="473"/>
        <v>0</v>
      </c>
      <c r="MP34" s="372">
        <v>0</v>
      </c>
      <c r="MQ34" s="372">
        <v>0</v>
      </c>
      <c r="MR34" s="372">
        <f t="shared" si="474"/>
        <v>0</v>
      </c>
      <c r="MS34" s="372">
        <v>0</v>
      </c>
      <c r="MT34" s="372">
        <v>0</v>
      </c>
      <c r="MU34" s="372">
        <f t="shared" si="475"/>
        <v>0</v>
      </c>
      <c r="MV34" s="372">
        <v>0</v>
      </c>
      <c r="MW34" s="372">
        <v>0</v>
      </c>
      <c r="MX34" s="372">
        <f t="shared" si="476"/>
        <v>0</v>
      </c>
      <c r="MY34" s="372">
        <v>0</v>
      </c>
      <c r="MZ34" s="372">
        <v>0</v>
      </c>
      <c r="NA34" s="539">
        <f t="shared" si="477"/>
        <v>0</v>
      </c>
      <c r="NB34" s="372">
        <v>0</v>
      </c>
      <c r="NC34" s="372">
        <v>0</v>
      </c>
      <c r="ND34" s="537">
        <f t="shared" si="478"/>
        <v>0</v>
      </c>
      <c r="NE34" s="536">
        <f>SUM(C34,F34,I34,L34,O34,R34,U34,X34,AA34,AD34,AG34,AJ34,AM34,AP34,AS34,AV34,AY34,BB34,BE34,BH34,BK34,BN34,BQ34,BT34,BW34,BZ34,CC34,CF34,CI34,CL34,CO34,CR34,CU34,CX34,DA34,DD34,DG34,DJ34,DM34,DP34,DS34,DV34,DY34,EB34,EE34,EH34,EK34,EN34,EQ34,ET34,EW34,EZ34,FC34,FF34,FI34,FL34,FO34,FR34,FU34,FX34,GA34,GD34,GG34,GJ34,GM34,GP34,GS34,GV34,GY34,HB34,HE34,HH34,HK34,HN34,HQ34,HT34,HW34,HZ34,IC34,IF34,II34,IL34,IO34,IR34,IU34,IX34,JA34,JD34,JG34,JJ34,JM34,JP34,JS34,JV34,JY34,KB34,KE34,KH34,KK34,KN34,KQ34,KT34,KW34,KZ34,LC34,LF34,LI34,LL34,LO34,LR34,LU34,LX34,MA34,MD34,MG34,MJ34,MM34,MP34,MS34,MV34,MY34)</f>
        <v>113761</v>
      </c>
      <c r="NF34" s="372">
        <f>SUM(D34,G34,J34,M34,P34,S34,V34,Y34,AB34,AE34,AH34,AK34,AN34,AQ34,AT34,AW34,AZ34,BC34,BF34,BI34,BL34,BO34,BR34,BU34,BX34,CA34,CD34,CG34,CJ34,CM34,CP34,CS34,CV34,CY34,DB34,DE34,DH34,DK34,DN34,DQ34,DT34,DW34,DZ34,EC34,EF34,EI34,EL34,EO34,ER34,EU34,EX34,FA34,FD34,FG34,FJ34,FM34,FP34,FS34,FV34,FY34,GB34,GE34,GH34,GK34,GN34,GQ34,GT34,GW34,GZ34,HC34,HF34,HI34,HL34,HO34,HR34,HU34,HX34,IA34,ID34,IG34,IJ34,IM34,IP34,IS34,IV34,IY34,JB34,JE34,JH34,JK34,JN34,JQ34,JT34,JW34,JZ34,KC34,KF34,KI34,KL34,KO34,KR34,KU34,KX34,LA34,LD34,LG34,LJ34,LM34,LP34,LS34,LV34,LY34,MB34,ME34,MH34,MK34,MN34,MQ34,MT34,MW34,MZ34)</f>
        <v>114186</v>
      </c>
      <c r="NG34" s="595">
        <f t="shared" si="480"/>
        <v>227947</v>
      </c>
      <c r="NH34" s="596">
        <f t="shared" si="481"/>
        <v>8902</v>
      </c>
      <c r="NI34" s="597">
        <f t="shared" si="481"/>
        <v>8410</v>
      </c>
      <c r="NJ34" s="595">
        <f t="shared" si="482"/>
        <v>17312</v>
      </c>
    </row>
    <row r="35" spans="1:374" x14ac:dyDescent="0.3">
      <c r="A35" s="541" t="s">
        <v>278</v>
      </c>
      <c r="B35" s="589" t="s">
        <v>69</v>
      </c>
      <c r="C35" s="544">
        <v>352</v>
      </c>
      <c r="D35" s="376">
        <v>326</v>
      </c>
      <c r="E35" s="376">
        <f t="shared" si="357"/>
        <v>678</v>
      </c>
      <c r="F35" s="376">
        <v>467</v>
      </c>
      <c r="G35" s="376">
        <v>437</v>
      </c>
      <c r="H35" s="376">
        <f t="shared" si="358"/>
        <v>904</v>
      </c>
      <c r="I35" s="376">
        <v>507</v>
      </c>
      <c r="J35" s="376">
        <v>502</v>
      </c>
      <c r="K35" s="376">
        <f t="shared" si="359"/>
        <v>1009</v>
      </c>
      <c r="L35" s="376">
        <v>551</v>
      </c>
      <c r="M35" s="376">
        <v>518</v>
      </c>
      <c r="N35" s="376">
        <f t="shared" si="360"/>
        <v>1069</v>
      </c>
      <c r="O35" s="376">
        <v>617</v>
      </c>
      <c r="P35" s="376">
        <v>585</v>
      </c>
      <c r="Q35" s="376">
        <f t="shared" si="361"/>
        <v>1202</v>
      </c>
      <c r="R35" s="376">
        <v>620</v>
      </c>
      <c r="S35" s="376">
        <v>583</v>
      </c>
      <c r="T35" s="376">
        <f t="shared" si="362"/>
        <v>1203</v>
      </c>
      <c r="U35" s="376">
        <v>697</v>
      </c>
      <c r="V35" s="376">
        <v>640</v>
      </c>
      <c r="W35" s="376">
        <f t="shared" si="363"/>
        <v>1337</v>
      </c>
      <c r="X35" s="376">
        <v>662</v>
      </c>
      <c r="Y35" s="376">
        <v>642</v>
      </c>
      <c r="Z35" s="376">
        <f t="shared" si="364"/>
        <v>1304</v>
      </c>
      <c r="AA35" s="376">
        <v>635</v>
      </c>
      <c r="AB35" s="376">
        <v>560</v>
      </c>
      <c r="AC35" s="376">
        <f t="shared" si="365"/>
        <v>1195</v>
      </c>
      <c r="AD35" s="376">
        <v>626</v>
      </c>
      <c r="AE35" s="376">
        <v>588</v>
      </c>
      <c r="AF35" s="376">
        <f t="shared" si="366"/>
        <v>1214</v>
      </c>
      <c r="AG35" s="376">
        <v>633</v>
      </c>
      <c r="AH35" s="376">
        <v>590</v>
      </c>
      <c r="AI35" s="376">
        <f t="shared" si="367"/>
        <v>1223</v>
      </c>
      <c r="AJ35" s="376">
        <v>622</v>
      </c>
      <c r="AK35" s="376">
        <v>576</v>
      </c>
      <c r="AL35" s="376">
        <f t="shared" si="368"/>
        <v>1198</v>
      </c>
      <c r="AM35" s="376">
        <v>626</v>
      </c>
      <c r="AN35" s="376">
        <v>581</v>
      </c>
      <c r="AO35" s="376">
        <f t="shared" si="369"/>
        <v>1207</v>
      </c>
      <c r="AP35" s="376">
        <v>658</v>
      </c>
      <c r="AQ35" s="376">
        <v>544</v>
      </c>
      <c r="AR35" s="376">
        <f t="shared" si="370"/>
        <v>1202</v>
      </c>
      <c r="AS35" s="376">
        <v>664</v>
      </c>
      <c r="AT35" s="376">
        <v>593</v>
      </c>
      <c r="AU35" s="376">
        <f t="shared" si="371"/>
        <v>1257</v>
      </c>
      <c r="AV35" s="376">
        <v>599</v>
      </c>
      <c r="AW35" s="376">
        <v>551</v>
      </c>
      <c r="AX35" s="376">
        <f t="shared" si="372"/>
        <v>1150</v>
      </c>
      <c r="AY35" s="376">
        <v>608</v>
      </c>
      <c r="AZ35" s="376">
        <v>546</v>
      </c>
      <c r="BA35" s="376">
        <f t="shared" si="373"/>
        <v>1154</v>
      </c>
      <c r="BB35" s="376">
        <v>544</v>
      </c>
      <c r="BC35" s="376">
        <v>506</v>
      </c>
      <c r="BD35" s="376">
        <f t="shared" si="374"/>
        <v>1050</v>
      </c>
      <c r="BE35" s="376">
        <v>565</v>
      </c>
      <c r="BF35" s="376">
        <v>564</v>
      </c>
      <c r="BG35" s="376">
        <f t="shared" si="375"/>
        <v>1129</v>
      </c>
      <c r="BH35" s="376">
        <v>630</v>
      </c>
      <c r="BI35" s="376">
        <v>609</v>
      </c>
      <c r="BJ35" s="376">
        <f t="shared" si="376"/>
        <v>1239</v>
      </c>
      <c r="BK35" s="376">
        <v>610</v>
      </c>
      <c r="BL35" s="376">
        <v>593</v>
      </c>
      <c r="BM35" s="376">
        <f t="shared" si="377"/>
        <v>1203</v>
      </c>
      <c r="BN35" s="376">
        <v>589</v>
      </c>
      <c r="BO35" s="376">
        <v>575</v>
      </c>
      <c r="BP35" s="376">
        <f t="shared" si="378"/>
        <v>1164</v>
      </c>
      <c r="BQ35" s="376">
        <v>676</v>
      </c>
      <c r="BR35" s="376">
        <v>642</v>
      </c>
      <c r="BS35" s="376">
        <f t="shared" si="379"/>
        <v>1318</v>
      </c>
      <c r="BT35" s="376">
        <v>728</v>
      </c>
      <c r="BU35" s="376">
        <v>603</v>
      </c>
      <c r="BV35" s="376">
        <f t="shared" si="380"/>
        <v>1331</v>
      </c>
      <c r="BW35" s="376">
        <v>733</v>
      </c>
      <c r="BX35" s="376">
        <v>634</v>
      </c>
      <c r="BY35" s="376">
        <f t="shared" si="381"/>
        <v>1367</v>
      </c>
      <c r="BZ35" s="376">
        <v>745</v>
      </c>
      <c r="CA35" s="376">
        <v>683</v>
      </c>
      <c r="CB35" s="376">
        <f t="shared" si="382"/>
        <v>1428</v>
      </c>
      <c r="CC35" s="376">
        <v>796</v>
      </c>
      <c r="CD35" s="376">
        <v>788</v>
      </c>
      <c r="CE35" s="376">
        <f t="shared" si="383"/>
        <v>1584</v>
      </c>
      <c r="CF35" s="376">
        <v>730</v>
      </c>
      <c r="CG35" s="376">
        <v>737</v>
      </c>
      <c r="CH35" s="376">
        <f t="shared" si="384"/>
        <v>1467</v>
      </c>
      <c r="CI35" s="376">
        <v>851</v>
      </c>
      <c r="CJ35" s="376">
        <v>757</v>
      </c>
      <c r="CK35" s="376">
        <f t="shared" si="385"/>
        <v>1608</v>
      </c>
      <c r="CL35" s="376">
        <v>741</v>
      </c>
      <c r="CM35" s="376">
        <v>848</v>
      </c>
      <c r="CN35" s="376">
        <f t="shared" si="386"/>
        <v>1589</v>
      </c>
      <c r="CO35" s="376">
        <v>775</v>
      </c>
      <c r="CP35" s="376">
        <v>739</v>
      </c>
      <c r="CQ35" s="376">
        <f t="shared" si="387"/>
        <v>1514</v>
      </c>
      <c r="CR35" s="376">
        <v>756</v>
      </c>
      <c r="CS35" s="376">
        <v>833</v>
      </c>
      <c r="CT35" s="376">
        <f t="shared" si="388"/>
        <v>1589</v>
      </c>
      <c r="CU35" s="376">
        <v>765</v>
      </c>
      <c r="CV35" s="376">
        <v>751</v>
      </c>
      <c r="CW35" s="376">
        <f t="shared" si="389"/>
        <v>1516</v>
      </c>
      <c r="CX35" s="376">
        <v>766</v>
      </c>
      <c r="CY35" s="376">
        <v>726</v>
      </c>
      <c r="CZ35" s="376">
        <f t="shared" si="390"/>
        <v>1492</v>
      </c>
      <c r="DA35" s="376">
        <v>697</v>
      </c>
      <c r="DB35" s="376">
        <v>662</v>
      </c>
      <c r="DC35" s="376">
        <f t="shared" si="391"/>
        <v>1359</v>
      </c>
      <c r="DD35" s="376">
        <v>668</v>
      </c>
      <c r="DE35" s="376">
        <v>690</v>
      </c>
      <c r="DF35" s="376">
        <f t="shared" si="392"/>
        <v>1358</v>
      </c>
      <c r="DG35" s="376">
        <v>647</v>
      </c>
      <c r="DH35" s="376">
        <v>662</v>
      </c>
      <c r="DI35" s="376">
        <f t="shared" si="393"/>
        <v>1309</v>
      </c>
      <c r="DJ35" s="376">
        <v>619</v>
      </c>
      <c r="DK35" s="376">
        <v>638</v>
      </c>
      <c r="DL35" s="376">
        <f t="shared" si="394"/>
        <v>1257</v>
      </c>
      <c r="DM35" s="376">
        <v>572</v>
      </c>
      <c r="DN35" s="376">
        <v>529</v>
      </c>
      <c r="DO35" s="376">
        <f t="shared" si="395"/>
        <v>1101</v>
      </c>
      <c r="DP35" s="376">
        <v>558</v>
      </c>
      <c r="DQ35" s="376">
        <v>577</v>
      </c>
      <c r="DR35" s="376">
        <f t="shared" si="396"/>
        <v>1135</v>
      </c>
      <c r="DS35" s="376">
        <v>565</v>
      </c>
      <c r="DT35" s="376">
        <v>567</v>
      </c>
      <c r="DU35" s="376">
        <f t="shared" si="397"/>
        <v>1132</v>
      </c>
      <c r="DV35" s="376">
        <v>607</v>
      </c>
      <c r="DW35" s="376">
        <v>597</v>
      </c>
      <c r="DX35" s="376">
        <f t="shared" si="398"/>
        <v>1204</v>
      </c>
      <c r="DY35" s="376">
        <v>556</v>
      </c>
      <c r="DZ35" s="376">
        <v>586</v>
      </c>
      <c r="EA35" s="376">
        <f t="shared" si="399"/>
        <v>1142</v>
      </c>
      <c r="EB35" s="376">
        <v>618</v>
      </c>
      <c r="EC35" s="376">
        <v>580</v>
      </c>
      <c r="ED35" s="376">
        <f t="shared" si="400"/>
        <v>1198</v>
      </c>
      <c r="EE35" s="376">
        <v>563</v>
      </c>
      <c r="EF35" s="376">
        <v>626</v>
      </c>
      <c r="EG35" s="376">
        <f t="shared" si="401"/>
        <v>1189</v>
      </c>
      <c r="EH35" s="376">
        <v>559</v>
      </c>
      <c r="EI35" s="376">
        <v>580</v>
      </c>
      <c r="EJ35" s="376">
        <f t="shared" si="402"/>
        <v>1139</v>
      </c>
      <c r="EK35" s="376">
        <v>541</v>
      </c>
      <c r="EL35" s="376">
        <v>604</v>
      </c>
      <c r="EM35" s="376">
        <f t="shared" si="403"/>
        <v>1145</v>
      </c>
      <c r="EN35" s="376">
        <v>501</v>
      </c>
      <c r="EO35" s="376">
        <v>606</v>
      </c>
      <c r="EP35" s="376">
        <f t="shared" si="404"/>
        <v>1107</v>
      </c>
      <c r="EQ35" s="376">
        <v>489</v>
      </c>
      <c r="ER35" s="376">
        <v>551</v>
      </c>
      <c r="ES35" s="376">
        <f t="shared" si="405"/>
        <v>1040</v>
      </c>
      <c r="ET35" s="376">
        <v>489</v>
      </c>
      <c r="EU35" s="376">
        <v>615</v>
      </c>
      <c r="EV35" s="376">
        <f t="shared" si="406"/>
        <v>1104</v>
      </c>
      <c r="EW35" s="376">
        <v>523</v>
      </c>
      <c r="EX35" s="376">
        <v>527</v>
      </c>
      <c r="EY35" s="376">
        <f t="shared" si="407"/>
        <v>1050</v>
      </c>
      <c r="EZ35" s="376">
        <v>456</v>
      </c>
      <c r="FA35" s="376">
        <v>540</v>
      </c>
      <c r="FB35" s="376">
        <f t="shared" si="408"/>
        <v>996</v>
      </c>
      <c r="FC35" s="376">
        <v>425</v>
      </c>
      <c r="FD35" s="376">
        <v>475</v>
      </c>
      <c r="FE35" s="376">
        <f t="shared" si="409"/>
        <v>900</v>
      </c>
      <c r="FF35" s="376">
        <v>489</v>
      </c>
      <c r="FG35" s="376">
        <v>537</v>
      </c>
      <c r="FH35" s="376">
        <f t="shared" si="410"/>
        <v>1026</v>
      </c>
      <c r="FI35" s="376">
        <v>458</v>
      </c>
      <c r="FJ35" s="376">
        <v>465</v>
      </c>
      <c r="FK35" s="376">
        <f t="shared" si="411"/>
        <v>923</v>
      </c>
      <c r="FL35" s="376">
        <v>441</v>
      </c>
      <c r="FM35" s="376">
        <v>501</v>
      </c>
      <c r="FN35" s="376">
        <f t="shared" si="412"/>
        <v>942</v>
      </c>
      <c r="FO35" s="376">
        <v>495</v>
      </c>
      <c r="FP35" s="376">
        <v>565</v>
      </c>
      <c r="FQ35" s="376">
        <f t="shared" si="413"/>
        <v>1060</v>
      </c>
      <c r="FR35" s="376">
        <v>428</v>
      </c>
      <c r="FS35" s="376">
        <v>545</v>
      </c>
      <c r="FT35" s="376">
        <f t="shared" si="414"/>
        <v>973</v>
      </c>
      <c r="FU35" s="376">
        <v>421</v>
      </c>
      <c r="FV35" s="376">
        <v>553</v>
      </c>
      <c r="FW35" s="376">
        <f t="shared" si="415"/>
        <v>974</v>
      </c>
      <c r="FX35" s="376">
        <v>372</v>
      </c>
      <c r="FY35" s="376">
        <v>506</v>
      </c>
      <c r="FZ35" s="376">
        <f t="shared" si="416"/>
        <v>878</v>
      </c>
      <c r="GA35" s="376">
        <v>436</v>
      </c>
      <c r="GB35" s="376">
        <v>516</v>
      </c>
      <c r="GC35" s="376">
        <f t="shared" si="417"/>
        <v>952</v>
      </c>
      <c r="GD35" s="376">
        <v>411</v>
      </c>
      <c r="GE35" s="376">
        <v>525</v>
      </c>
      <c r="GF35" s="376">
        <f t="shared" si="418"/>
        <v>936</v>
      </c>
      <c r="GG35" s="376">
        <v>440</v>
      </c>
      <c r="GH35" s="376">
        <v>440</v>
      </c>
      <c r="GI35" s="376">
        <f t="shared" si="419"/>
        <v>880</v>
      </c>
      <c r="GJ35" s="376">
        <v>404</v>
      </c>
      <c r="GK35" s="376">
        <v>412</v>
      </c>
      <c r="GL35" s="376">
        <f t="shared" si="420"/>
        <v>816</v>
      </c>
      <c r="GM35" s="376">
        <v>383</v>
      </c>
      <c r="GN35" s="376">
        <v>382</v>
      </c>
      <c r="GO35" s="376">
        <f t="shared" si="421"/>
        <v>765</v>
      </c>
      <c r="GP35" s="376">
        <v>357</v>
      </c>
      <c r="GQ35" s="376">
        <v>306</v>
      </c>
      <c r="GR35" s="376">
        <f t="shared" si="422"/>
        <v>663</v>
      </c>
      <c r="GS35" s="376">
        <v>392</v>
      </c>
      <c r="GT35" s="376">
        <v>289</v>
      </c>
      <c r="GU35" s="376">
        <f t="shared" si="423"/>
        <v>681</v>
      </c>
      <c r="GV35" s="376">
        <v>246</v>
      </c>
      <c r="GW35" s="376">
        <v>241</v>
      </c>
      <c r="GX35" s="376">
        <f t="shared" si="424"/>
        <v>487</v>
      </c>
      <c r="GY35" s="376">
        <v>260</v>
      </c>
      <c r="GZ35" s="376">
        <v>229</v>
      </c>
      <c r="HA35" s="376">
        <f t="shared" si="425"/>
        <v>489</v>
      </c>
      <c r="HB35" s="376">
        <v>227</v>
      </c>
      <c r="HC35" s="376">
        <v>155</v>
      </c>
      <c r="HD35" s="376">
        <f t="shared" si="426"/>
        <v>382</v>
      </c>
      <c r="HE35" s="376">
        <v>174</v>
      </c>
      <c r="HF35" s="376">
        <v>156</v>
      </c>
      <c r="HG35" s="376">
        <f t="shared" si="427"/>
        <v>330</v>
      </c>
      <c r="HH35" s="376">
        <v>169</v>
      </c>
      <c r="HI35" s="376">
        <v>141</v>
      </c>
      <c r="HJ35" s="376">
        <f t="shared" si="428"/>
        <v>310</v>
      </c>
      <c r="HK35" s="376">
        <v>129</v>
      </c>
      <c r="HL35" s="376">
        <v>80</v>
      </c>
      <c r="HM35" s="376">
        <f t="shared" si="429"/>
        <v>209</v>
      </c>
      <c r="HN35" s="376">
        <v>119</v>
      </c>
      <c r="HO35" s="376">
        <v>99</v>
      </c>
      <c r="HP35" s="376">
        <f t="shared" si="430"/>
        <v>218</v>
      </c>
      <c r="HQ35" s="376">
        <v>100</v>
      </c>
      <c r="HR35" s="376">
        <v>81</v>
      </c>
      <c r="HS35" s="376">
        <f t="shared" si="431"/>
        <v>181</v>
      </c>
      <c r="HT35" s="376">
        <v>68</v>
      </c>
      <c r="HU35" s="376">
        <v>70</v>
      </c>
      <c r="HV35" s="376">
        <f t="shared" si="432"/>
        <v>138</v>
      </c>
      <c r="HW35" s="376">
        <v>70</v>
      </c>
      <c r="HX35" s="376">
        <v>83</v>
      </c>
      <c r="HY35" s="376">
        <f t="shared" si="433"/>
        <v>153</v>
      </c>
      <c r="HZ35" s="376">
        <v>36</v>
      </c>
      <c r="IA35" s="376">
        <v>38</v>
      </c>
      <c r="IB35" s="376">
        <f t="shared" si="434"/>
        <v>74</v>
      </c>
      <c r="IC35" s="376">
        <v>41</v>
      </c>
      <c r="ID35" s="376">
        <v>42</v>
      </c>
      <c r="IE35" s="376">
        <f t="shared" si="435"/>
        <v>83</v>
      </c>
      <c r="IF35" s="376">
        <v>26</v>
      </c>
      <c r="IG35" s="376">
        <v>26</v>
      </c>
      <c r="IH35" s="376">
        <f t="shared" si="436"/>
        <v>52</v>
      </c>
      <c r="II35" s="376">
        <v>18</v>
      </c>
      <c r="IJ35" s="376">
        <v>32</v>
      </c>
      <c r="IK35" s="376">
        <f t="shared" si="437"/>
        <v>50</v>
      </c>
      <c r="IL35" s="376">
        <v>23</v>
      </c>
      <c r="IM35" s="376">
        <v>33</v>
      </c>
      <c r="IN35" s="376">
        <f t="shared" si="438"/>
        <v>56</v>
      </c>
      <c r="IO35" s="376">
        <v>25</v>
      </c>
      <c r="IP35" s="376">
        <v>21</v>
      </c>
      <c r="IQ35" s="376">
        <f t="shared" si="439"/>
        <v>46</v>
      </c>
      <c r="IR35" s="376">
        <v>18</v>
      </c>
      <c r="IS35" s="376">
        <v>30</v>
      </c>
      <c r="IT35" s="376">
        <f t="shared" si="440"/>
        <v>48</v>
      </c>
      <c r="IU35" s="376">
        <v>16</v>
      </c>
      <c r="IV35" s="376">
        <v>20</v>
      </c>
      <c r="IW35" s="376">
        <f t="shared" si="441"/>
        <v>36</v>
      </c>
      <c r="IX35" s="376">
        <v>6</v>
      </c>
      <c r="IY35" s="376">
        <v>30</v>
      </c>
      <c r="IZ35" s="376">
        <f t="shared" si="442"/>
        <v>36</v>
      </c>
      <c r="JA35" s="376">
        <v>17</v>
      </c>
      <c r="JB35" s="376">
        <v>22</v>
      </c>
      <c r="JC35" s="376">
        <f t="shared" si="443"/>
        <v>39</v>
      </c>
      <c r="JD35" s="376">
        <v>8</v>
      </c>
      <c r="JE35" s="376">
        <v>20</v>
      </c>
      <c r="JF35" s="376">
        <f t="shared" si="444"/>
        <v>28</v>
      </c>
      <c r="JG35" s="376">
        <v>3</v>
      </c>
      <c r="JH35" s="376">
        <v>12</v>
      </c>
      <c r="JI35" s="376">
        <f t="shared" si="445"/>
        <v>15</v>
      </c>
      <c r="JJ35" s="376">
        <v>8</v>
      </c>
      <c r="JK35" s="376">
        <v>9</v>
      </c>
      <c r="JL35" s="376">
        <f t="shared" si="446"/>
        <v>17</v>
      </c>
      <c r="JM35" s="376">
        <v>1</v>
      </c>
      <c r="JN35" s="376">
        <v>8</v>
      </c>
      <c r="JO35" s="376">
        <f t="shared" si="447"/>
        <v>9</v>
      </c>
      <c r="JP35" s="376">
        <v>2</v>
      </c>
      <c r="JQ35" s="376">
        <v>6</v>
      </c>
      <c r="JR35" s="376">
        <f t="shared" si="448"/>
        <v>8</v>
      </c>
      <c r="JS35" s="376">
        <v>0</v>
      </c>
      <c r="JT35" s="376">
        <v>1</v>
      </c>
      <c r="JU35" s="376">
        <f t="shared" si="449"/>
        <v>1</v>
      </c>
      <c r="JV35" s="376">
        <v>4</v>
      </c>
      <c r="JW35" s="376">
        <v>3</v>
      </c>
      <c r="JX35" s="376">
        <f t="shared" si="450"/>
        <v>7</v>
      </c>
      <c r="JY35" s="376">
        <v>3</v>
      </c>
      <c r="JZ35" s="376">
        <v>2</v>
      </c>
      <c r="KA35" s="376">
        <f t="shared" si="451"/>
        <v>5</v>
      </c>
      <c r="KB35" s="376">
        <v>2</v>
      </c>
      <c r="KC35" s="376">
        <v>0</v>
      </c>
      <c r="KD35" s="376">
        <f t="shared" si="452"/>
        <v>2</v>
      </c>
      <c r="KE35" s="376">
        <v>1</v>
      </c>
      <c r="KF35" s="376">
        <v>2</v>
      </c>
      <c r="KG35" s="376">
        <f t="shared" si="453"/>
        <v>3</v>
      </c>
      <c r="KH35" s="376">
        <v>0</v>
      </c>
      <c r="KI35" s="376">
        <v>0</v>
      </c>
      <c r="KJ35" s="376">
        <f t="shared" si="454"/>
        <v>0</v>
      </c>
      <c r="KK35" s="376">
        <v>0</v>
      </c>
      <c r="KL35" s="376">
        <v>1</v>
      </c>
      <c r="KM35" s="376">
        <f t="shared" si="455"/>
        <v>1</v>
      </c>
      <c r="KN35" s="376">
        <v>0</v>
      </c>
      <c r="KO35" s="376">
        <v>1</v>
      </c>
      <c r="KP35" s="376">
        <f t="shared" si="456"/>
        <v>1</v>
      </c>
      <c r="KQ35" s="376">
        <v>0</v>
      </c>
      <c r="KR35" s="376">
        <v>0</v>
      </c>
      <c r="KS35" s="376">
        <f t="shared" si="457"/>
        <v>0</v>
      </c>
      <c r="KT35" s="376">
        <v>0</v>
      </c>
      <c r="KU35" s="376">
        <v>0</v>
      </c>
      <c r="KV35" s="376">
        <f t="shared" si="458"/>
        <v>0</v>
      </c>
      <c r="KW35" s="376">
        <v>0</v>
      </c>
      <c r="KX35" s="376">
        <v>0</v>
      </c>
      <c r="KY35" s="376">
        <f t="shared" si="459"/>
        <v>0</v>
      </c>
      <c r="KZ35" s="376">
        <v>0</v>
      </c>
      <c r="LA35" s="376">
        <v>0</v>
      </c>
      <c r="LB35" s="376">
        <f t="shared" si="460"/>
        <v>0</v>
      </c>
      <c r="LC35" s="376">
        <v>0</v>
      </c>
      <c r="LD35" s="376">
        <v>0</v>
      </c>
      <c r="LE35" s="376">
        <f t="shared" si="461"/>
        <v>0</v>
      </c>
      <c r="LF35" s="376">
        <v>0</v>
      </c>
      <c r="LG35" s="376">
        <v>0</v>
      </c>
      <c r="LH35" s="376">
        <f t="shared" si="462"/>
        <v>0</v>
      </c>
      <c r="LI35" s="376">
        <v>0</v>
      </c>
      <c r="LJ35" s="376">
        <v>0</v>
      </c>
      <c r="LK35" s="376">
        <f t="shared" si="463"/>
        <v>0</v>
      </c>
      <c r="LL35" s="376">
        <v>0</v>
      </c>
      <c r="LM35" s="376">
        <v>0</v>
      </c>
      <c r="LN35" s="376">
        <f t="shared" si="464"/>
        <v>0</v>
      </c>
      <c r="LO35" s="376">
        <v>0</v>
      </c>
      <c r="LP35" s="376">
        <v>0</v>
      </c>
      <c r="LQ35" s="376">
        <f t="shared" si="465"/>
        <v>0</v>
      </c>
      <c r="LR35" s="376">
        <v>0</v>
      </c>
      <c r="LS35" s="376">
        <v>0</v>
      </c>
      <c r="LT35" s="376">
        <f t="shared" si="466"/>
        <v>0</v>
      </c>
      <c r="LU35" s="376">
        <v>0</v>
      </c>
      <c r="LV35" s="376">
        <v>0</v>
      </c>
      <c r="LW35" s="376">
        <f t="shared" si="467"/>
        <v>0</v>
      </c>
      <c r="LX35" s="376">
        <v>0</v>
      </c>
      <c r="LY35" s="376">
        <v>0</v>
      </c>
      <c r="LZ35" s="376">
        <f t="shared" si="468"/>
        <v>0</v>
      </c>
      <c r="MA35" s="376">
        <v>0</v>
      </c>
      <c r="MB35" s="376">
        <v>0</v>
      </c>
      <c r="MC35" s="376">
        <f t="shared" si="469"/>
        <v>0</v>
      </c>
      <c r="MD35" s="376">
        <v>0</v>
      </c>
      <c r="ME35" s="376">
        <v>0</v>
      </c>
      <c r="MF35" s="376">
        <f t="shared" si="470"/>
        <v>0</v>
      </c>
      <c r="MG35" s="376">
        <v>0</v>
      </c>
      <c r="MH35" s="376">
        <v>0</v>
      </c>
      <c r="MI35" s="376">
        <f t="shared" si="471"/>
        <v>0</v>
      </c>
      <c r="MJ35" s="376">
        <v>0</v>
      </c>
      <c r="MK35" s="376">
        <v>0</v>
      </c>
      <c r="ML35" s="376">
        <f t="shared" si="472"/>
        <v>0</v>
      </c>
      <c r="MM35" s="376">
        <v>0</v>
      </c>
      <c r="MN35" s="376">
        <v>0</v>
      </c>
      <c r="MO35" s="376">
        <f t="shared" si="473"/>
        <v>0</v>
      </c>
      <c r="MP35" s="376">
        <v>0</v>
      </c>
      <c r="MQ35" s="376">
        <v>0</v>
      </c>
      <c r="MR35" s="376">
        <f t="shared" si="474"/>
        <v>0</v>
      </c>
      <c r="MS35" s="376">
        <v>0</v>
      </c>
      <c r="MT35" s="376">
        <v>0</v>
      </c>
      <c r="MU35" s="376">
        <f t="shared" si="475"/>
        <v>0</v>
      </c>
      <c r="MV35" s="376">
        <v>0</v>
      </c>
      <c r="MW35" s="376">
        <v>0</v>
      </c>
      <c r="MX35" s="376">
        <f t="shared" si="476"/>
        <v>0</v>
      </c>
      <c r="MY35" s="376">
        <v>0</v>
      </c>
      <c r="MZ35" s="376">
        <v>0</v>
      </c>
      <c r="NA35" s="545">
        <f t="shared" si="477"/>
        <v>0</v>
      </c>
      <c r="NB35" s="376">
        <v>0</v>
      </c>
      <c r="NC35" s="376">
        <v>0</v>
      </c>
      <c r="ND35" s="543">
        <f t="shared" si="478"/>
        <v>0</v>
      </c>
      <c r="NE35" s="542">
        <f>SUM(C35,F35,I35,L35,O35,R35,U35,X35,AA35,AD35,AG35,AJ35,AM35,AP35,AS35,AV35,AY35,BB35,BE35,BH35,BK35,BN35,BQ35,BT35,BW35,BZ35,CC35,CF35,CI35,CL35,CO35,CR35,CU35,CX35,DA35,DD35,DG35,DJ35,DM35,DP35,DS35,DV35,DY35,EB35,EE35,EH35,EK35,EN35,EQ35,ET35,EW35,EZ35,FC35,FF35,FI35,FL35,FO35,FR35,FU35,FX35,GA35,GD35,GG35,GJ35,GM35,GP35,GS35,GV35,GY35,HB35,HE35,HH35,HK35,HN35,HQ35,HT35,HW35,HZ35,IC35,IF35,II35,IL35,IO35,IR35,IU35,IX35,JA35,JD35,JG35,JJ35,JM35,JP35,JS35,JV35,JY35,KB35,KE35,KH35,KK35,KN35,KQ35,KT35,KW35,KZ35,LC35,LF35,LI35,LL35,LO35,LR35,LU35,LX35,MA35,MD35,MG35,MJ35,MM35,MP35,MS35,MV35,MY35)</f>
        <v>40544</v>
      </c>
      <c r="NF35" s="376">
        <f>SUM(D35,G35,J35,M35,P35,S35,V35,Y35,AB35,AE35,AH35,AK35,AN35,AQ35,AT35,AW35,AZ35,BC35,BF35,BI35,BL35,BO35,BR35,BU35,BX35,CA35,CD35,CG35,CJ35,CM35,CP35,CS35,CV35,CY35,DB35,DE35,DH35,DK35,DN35,DQ35,DT35,DW35,DZ35,EC35,EF35,EI35,EL35,EO35,ER35,EU35,EX35,FA35,FD35,FG35,FJ35,FM35,FP35,FS35,FV35,FY35,GB35,GE35,GH35,GK35,GN35,GQ35,GT35,GW35,GZ35,HC35,HF35,HI35,HL35,HO35,HR35,HU35,HX35,IA35,ID35,IG35,IJ35,IM35,IP35,IS35,IV35,IY35,JB35,JE35,JH35,JK35,JN35,JQ35,JT35,JW35,JZ35,KC35,KF35,KI35,KL35,KO35,KR35,KU35,KX35,LA35,LD35,LG35,LJ35,LM35,LP35,LS35,LV35,LY35,MB35,ME35,MH35,MK35,MN35,MQ35,MT35,MW35,MZ35)</f>
        <v>40398</v>
      </c>
      <c r="NG35" s="543">
        <f t="shared" si="480"/>
        <v>80942</v>
      </c>
      <c r="NH35" s="542">
        <f t="shared" si="481"/>
        <v>3114</v>
      </c>
      <c r="NI35" s="376">
        <f t="shared" si="481"/>
        <v>2951</v>
      </c>
      <c r="NJ35" s="543">
        <f t="shared" si="482"/>
        <v>6065</v>
      </c>
    </row>
    <row r="36" spans="1:374" x14ac:dyDescent="0.3">
      <c r="A36" s="541" t="s">
        <v>279</v>
      </c>
      <c r="B36" s="589" t="s">
        <v>71</v>
      </c>
      <c r="C36" s="544">
        <v>261</v>
      </c>
      <c r="D36" s="376">
        <v>262</v>
      </c>
      <c r="E36" s="376">
        <f t="shared" si="357"/>
        <v>523</v>
      </c>
      <c r="F36" s="376">
        <v>350</v>
      </c>
      <c r="G36" s="376">
        <v>360</v>
      </c>
      <c r="H36" s="376">
        <f t="shared" si="358"/>
        <v>710</v>
      </c>
      <c r="I36" s="376">
        <v>401</v>
      </c>
      <c r="J36" s="376">
        <v>380</v>
      </c>
      <c r="K36" s="376">
        <f t="shared" si="359"/>
        <v>781</v>
      </c>
      <c r="L36" s="376">
        <v>448</v>
      </c>
      <c r="M36" s="376">
        <v>430</v>
      </c>
      <c r="N36" s="376">
        <f t="shared" si="360"/>
        <v>878</v>
      </c>
      <c r="O36" s="376">
        <v>521</v>
      </c>
      <c r="P36" s="376">
        <v>496</v>
      </c>
      <c r="Q36" s="376">
        <f t="shared" si="361"/>
        <v>1017</v>
      </c>
      <c r="R36" s="376">
        <v>571</v>
      </c>
      <c r="S36" s="376">
        <v>483</v>
      </c>
      <c r="T36" s="376">
        <f t="shared" si="362"/>
        <v>1054</v>
      </c>
      <c r="U36" s="376">
        <v>598</v>
      </c>
      <c r="V36" s="376">
        <v>535</v>
      </c>
      <c r="W36" s="376">
        <f t="shared" si="363"/>
        <v>1133</v>
      </c>
      <c r="X36" s="376">
        <v>628</v>
      </c>
      <c r="Y36" s="376">
        <v>564</v>
      </c>
      <c r="Z36" s="376">
        <f t="shared" si="364"/>
        <v>1192</v>
      </c>
      <c r="AA36" s="376">
        <v>556</v>
      </c>
      <c r="AB36" s="376">
        <v>505</v>
      </c>
      <c r="AC36" s="376">
        <f t="shared" si="365"/>
        <v>1061</v>
      </c>
      <c r="AD36" s="376">
        <v>498</v>
      </c>
      <c r="AE36" s="376">
        <v>499</v>
      </c>
      <c r="AF36" s="376">
        <f t="shared" si="366"/>
        <v>997</v>
      </c>
      <c r="AG36" s="376">
        <v>543</v>
      </c>
      <c r="AH36" s="376">
        <v>533</v>
      </c>
      <c r="AI36" s="376">
        <f t="shared" si="367"/>
        <v>1076</v>
      </c>
      <c r="AJ36" s="376">
        <v>478</v>
      </c>
      <c r="AK36" s="376">
        <v>502</v>
      </c>
      <c r="AL36" s="376">
        <f t="shared" si="368"/>
        <v>980</v>
      </c>
      <c r="AM36" s="376">
        <v>493</v>
      </c>
      <c r="AN36" s="376">
        <v>480</v>
      </c>
      <c r="AO36" s="376">
        <f t="shared" si="369"/>
        <v>973</v>
      </c>
      <c r="AP36" s="376">
        <v>516</v>
      </c>
      <c r="AQ36" s="376">
        <v>498</v>
      </c>
      <c r="AR36" s="376">
        <f t="shared" si="370"/>
        <v>1014</v>
      </c>
      <c r="AS36" s="376">
        <v>527</v>
      </c>
      <c r="AT36" s="376">
        <v>451</v>
      </c>
      <c r="AU36" s="376">
        <f t="shared" si="371"/>
        <v>978</v>
      </c>
      <c r="AV36" s="376">
        <v>499</v>
      </c>
      <c r="AW36" s="376">
        <v>461</v>
      </c>
      <c r="AX36" s="376">
        <f t="shared" si="372"/>
        <v>960</v>
      </c>
      <c r="AY36" s="376">
        <v>473</v>
      </c>
      <c r="AZ36" s="376">
        <v>453</v>
      </c>
      <c r="BA36" s="376">
        <f t="shared" si="373"/>
        <v>926</v>
      </c>
      <c r="BB36" s="376">
        <v>423</v>
      </c>
      <c r="BC36" s="376">
        <v>400</v>
      </c>
      <c r="BD36" s="376">
        <f t="shared" si="374"/>
        <v>823</v>
      </c>
      <c r="BE36" s="376">
        <v>411</v>
      </c>
      <c r="BF36" s="376">
        <v>391</v>
      </c>
      <c r="BG36" s="376">
        <f t="shared" si="375"/>
        <v>802</v>
      </c>
      <c r="BH36" s="376">
        <v>461</v>
      </c>
      <c r="BI36" s="376">
        <v>456</v>
      </c>
      <c r="BJ36" s="376">
        <f t="shared" si="376"/>
        <v>917</v>
      </c>
      <c r="BK36" s="376">
        <v>418</v>
      </c>
      <c r="BL36" s="376">
        <v>430</v>
      </c>
      <c r="BM36" s="376">
        <f t="shared" si="377"/>
        <v>848</v>
      </c>
      <c r="BN36" s="376">
        <v>477</v>
      </c>
      <c r="BO36" s="376">
        <v>410</v>
      </c>
      <c r="BP36" s="376">
        <f t="shared" si="378"/>
        <v>887</v>
      </c>
      <c r="BQ36" s="376">
        <v>438</v>
      </c>
      <c r="BR36" s="376">
        <v>498</v>
      </c>
      <c r="BS36" s="376">
        <f t="shared" si="379"/>
        <v>936</v>
      </c>
      <c r="BT36" s="376">
        <v>510</v>
      </c>
      <c r="BU36" s="376">
        <v>496</v>
      </c>
      <c r="BV36" s="376">
        <f t="shared" si="380"/>
        <v>1006</v>
      </c>
      <c r="BW36" s="376">
        <v>508</v>
      </c>
      <c r="BX36" s="376">
        <v>474</v>
      </c>
      <c r="BY36" s="376">
        <f t="shared" si="381"/>
        <v>982</v>
      </c>
      <c r="BZ36" s="376">
        <v>552</v>
      </c>
      <c r="CA36" s="376">
        <v>534</v>
      </c>
      <c r="CB36" s="376">
        <f t="shared" si="382"/>
        <v>1086</v>
      </c>
      <c r="CC36" s="376">
        <v>522</v>
      </c>
      <c r="CD36" s="376">
        <v>530</v>
      </c>
      <c r="CE36" s="376">
        <f t="shared" si="383"/>
        <v>1052</v>
      </c>
      <c r="CF36" s="376">
        <v>488</v>
      </c>
      <c r="CG36" s="376">
        <v>487</v>
      </c>
      <c r="CH36" s="376">
        <f t="shared" si="384"/>
        <v>975</v>
      </c>
      <c r="CI36" s="376">
        <v>577</v>
      </c>
      <c r="CJ36" s="376">
        <v>542</v>
      </c>
      <c r="CK36" s="376">
        <f t="shared" si="385"/>
        <v>1119</v>
      </c>
      <c r="CL36" s="376">
        <v>577</v>
      </c>
      <c r="CM36" s="376">
        <v>538</v>
      </c>
      <c r="CN36" s="376">
        <f t="shared" si="386"/>
        <v>1115</v>
      </c>
      <c r="CO36" s="376">
        <v>607</v>
      </c>
      <c r="CP36" s="376">
        <v>608</v>
      </c>
      <c r="CQ36" s="376">
        <f t="shared" si="387"/>
        <v>1215</v>
      </c>
      <c r="CR36" s="376">
        <v>563</v>
      </c>
      <c r="CS36" s="376">
        <v>673</v>
      </c>
      <c r="CT36" s="376">
        <f t="shared" si="388"/>
        <v>1236</v>
      </c>
      <c r="CU36" s="376">
        <v>553</v>
      </c>
      <c r="CV36" s="376">
        <v>633</v>
      </c>
      <c r="CW36" s="376">
        <f t="shared" si="389"/>
        <v>1186</v>
      </c>
      <c r="CX36" s="376">
        <v>599</v>
      </c>
      <c r="CY36" s="376">
        <v>597</v>
      </c>
      <c r="CZ36" s="376">
        <f t="shared" si="390"/>
        <v>1196</v>
      </c>
      <c r="DA36" s="376">
        <v>600</v>
      </c>
      <c r="DB36" s="376">
        <v>561</v>
      </c>
      <c r="DC36" s="376">
        <f t="shared" si="391"/>
        <v>1161</v>
      </c>
      <c r="DD36" s="376">
        <v>547</v>
      </c>
      <c r="DE36" s="376">
        <v>621</v>
      </c>
      <c r="DF36" s="376">
        <f t="shared" si="392"/>
        <v>1168</v>
      </c>
      <c r="DG36" s="376">
        <v>572</v>
      </c>
      <c r="DH36" s="376">
        <v>577</v>
      </c>
      <c r="DI36" s="376">
        <f t="shared" si="393"/>
        <v>1149</v>
      </c>
      <c r="DJ36" s="376">
        <v>541</v>
      </c>
      <c r="DK36" s="376">
        <v>527</v>
      </c>
      <c r="DL36" s="376">
        <f t="shared" si="394"/>
        <v>1068</v>
      </c>
      <c r="DM36" s="376">
        <v>512</v>
      </c>
      <c r="DN36" s="376">
        <v>503</v>
      </c>
      <c r="DO36" s="376">
        <f t="shared" si="395"/>
        <v>1015</v>
      </c>
      <c r="DP36" s="376">
        <v>482</v>
      </c>
      <c r="DQ36" s="376">
        <v>469</v>
      </c>
      <c r="DR36" s="376">
        <f t="shared" si="396"/>
        <v>951</v>
      </c>
      <c r="DS36" s="376">
        <v>484</v>
      </c>
      <c r="DT36" s="376">
        <v>478</v>
      </c>
      <c r="DU36" s="376">
        <f t="shared" si="397"/>
        <v>962</v>
      </c>
      <c r="DV36" s="376">
        <v>500</v>
      </c>
      <c r="DW36" s="376">
        <v>488</v>
      </c>
      <c r="DX36" s="376">
        <f t="shared" si="398"/>
        <v>988</v>
      </c>
      <c r="DY36" s="376">
        <v>440</v>
      </c>
      <c r="DZ36" s="376">
        <v>458</v>
      </c>
      <c r="EA36" s="376">
        <f t="shared" si="399"/>
        <v>898</v>
      </c>
      <c r="EB36" s="376">
        <v>470</v>
      </c>
      <c r="EC36" s="376">
        <v>481</v>
      </c>
      <c r="ED36" s="376">
        <f t="shared" si="400"/>
        <v>951</v>
      </c>
      <c r="EE36" s="376">
        <v>449</v>
      </c>
      <c r="EF36" s="376">
        <v>445</v>
      </c>
      <c r="EG36" s="376">
        <f t="shared" si="401"/>
        <v>894</v>
      </c>
      <c r="EH36" s="376">
        <v>433</v>
      </c>
      <c r="EI36" s="376">
        <v>427</v>
      </c>
      <c r="EJ36" s="376">
        <f t="shared" si="402"/>
        <v>860</v>
      </c>
      <c r="EK36" s="376">
        <v>415</v>
      </c>
      <c r="EL36" s="376">
        <v>414</v>
      </c>
      <c r="EM36" s="376">
        <f t="shared" si="403"/>
        <v>829</v>
      </c>
      <c r="EN36" s="376">
        <v>387</v>
      </c>
      <c r="EO36" s="376">
        <v>421</v>
      </c>
      <c r="EP36" s="376">
        <f t="shared" si="404"/>
        <v>808</v>
      </c>
      <c r="EQ36" s="376">
        <v>377</v>
      </c>
      <c r="ER36" s="376">
        <v>391</v>
      </c>
      <c r="ES36" s="376">
        <f t="shared" si="405"/>
        <v>768</v>
      </c>
      <c r="ET36" s="376">
        <v>345</v>
      </c>
      <c r="EU36" s="376">
        <v>382</v>
      </c>
      <c r="EV36" s="376">
        <f t="shared" si="406"/>
        <v>727</v>
      </c>
      <c r="EW36" s="376">
        <v>325</v>
      </c>
      <c r="EX36" s="376">
        <v>378</v>
      </c>
      <c r="EY36" s="376">
        <f t="shared" si="407"/>
        <v>703</v>
      </c>
      <c r="EZ36" s="376">
        <v>337</v>
      </c>
      <c r="FA36" s="376">
        <v>398</v>
      </c>
      <c r="FB36" s="376">
        <f t="shared" si="408"/>
        <v>735</v>
      </c>
      <c r="FC36" s="376">
        <v>304</v>
      </c>
      <c r="FD36" s="376">
        <v>385</v>
      </c>
      <c r="FE36" s="376">
        <f t="shared" si="409"/>
        <v>689</v>
      </c>
      <c r="FF36" s="376">
        <v>317</v>
      </c>
      <c r="FG36" s="376">
        <v>370</v>
      </c>
      <c r="FH36" s="376">
        <f t="shared" si="410"/>
        <v>687</v>
      </c>
      <c r="FI36" s="376">
        <v>351</v>
      </c>
      <c r="FJ36" s="376">
        <v>339</v>
      </c>
      <c r="FK36" s="376">
        <f t="shared" si="411"/>
        <v>690</v>
      </c>
      <c r="FL36" s="376">
        <v>318</v>
      </c>
      <c r="FM36" s="376">
        <v>372</v>
      </c>
      <c r="FN36" s="376">
        <f t="shared" si="412"/>
        <v>690</v>
      </c>
      <c r="FO36" s="376">
        <v>322</v>
      </c>
      <c r="FP36" s="376">
        <v>406</v>
      </c>
      <c r="FQ36" s="376">
        <f t="shared" si="413"/>
        <v>728</v>
      </c>
      <c r="FR36" s="376">
        <v>296</v>
      </c>
      <c r="FS36" s="376">
        <v>384</v>
      </c>
      <c r="FT36" s="376">
        <f t="shared" si="414"/>
        <v>680</v>
      </c>
      <c r="FU36" s="376">
        <v>290</v>
      </c>
      <c r="FV36" s="376">
        <v>398</v>
      </c>
      <c r="FW36" s="376">
        <f t="shared" si="415"/>
        <v>688</v>
      </c>
      <c r="FX36" s="376">
        <v>259</v>
      </c>
      <c r="FY36" s="376">
        <v>400</v>
      </c>
      <c r="FZ36" s="376">
        <f t="shared" si="416"/>
        <v>659</v>
      </c>
      <c r="GA36" s="376">
        <v>277</v>
      </c>
      <c r="GB36" s="376">
        <v>413</v>
      </c>
      <c r="GC36" s="376">
        <f t="shared" si="417"/>
        <v>690</v>
      </c>
      <c r="GD36" s="376">
        <v>289</v>
      </c>
      <c r="GE36" s="376">
        <v>419</v>
      </c>
      <c r="GF36" s="376">
        <f t="shared" si="418"/>
        <v>708</v>
      </c>
      <c r="GG36" s="376">
        <v>301</v>
      </c>
      <c r="GH36" s="376">
        <v>395</v>
      </c>
      <c r="GI36" s="376">
        <f t="shared" si="419"/>
        <v>696</v>
      </c>
      <c r="GJ36" s="376">
        <v>325</v>
      </c>
      <c r="GK36" s="376">
        <v>417</v>
      </c>
      <c r="GL36" s="376">
        <f t="shared" si="420"/>
        <v>742</v>
      </c>
      <c r="GM36" s="376">
        <v>326</v>
      </c>
      <c r="GN36" s="376">
        <v>329</v>
      </c>
      <c r="GO36" s="376">
        <f t="shared" si="421"/>
        <v>655</v>
      </c>
      <c r="GP36" s="376">
        <v>294</v>
      </c>
      <c r="GQ36" s="376">
        <v>322</v>
      </c>
      <c r="GR36" s="376">
        <f t="shared" si="422"/>
        <v>616</v>
      </c>
      <c r="GS36" s="376">
        <v>314</v>
      </c>
      <c r="GT36" s="376">
        <v>275</v>
      </c>
      <c r="GU36" s="376">
        <f t="shared" si="423"/>
        <v>589</v>
      </c>
      <c r="GV36" s="376">
        <v>278</v>
      </c>
      <c r="GW36" s="376">
        <v>228</v>
      </c>
      <c r="GX36" s="376">
        <f t="shared" si="424"/>
        <v>506</v>
      </c>
      <c r="GY36" s="376">
        <v>238</v>
      </c>
      <c r="GZ36" s="376">
        <v>184</v>
      </c>
      <c r="HA36" s="376">
        <f t="shared" si="425"/>
        <v>422</v>
      </c>
      <c r="HB36" s="376">
        <v>187</v>
      </c>
      <c r="HC36" s="376">
        <v>174</v>
      </c>
      <c r="HD36" s="376">
        <f t="shared" si="426"/>
        <v>361</v>
      </c>
      <c r="HE36" s="376">
        <v>160</v>
      </c>
      <c r="HF36" s="376">
        <v>127</v>
      </c>
      <c r="HG36" s="376">
        <f t="shared" si="427"/>
        <v>287</v>
      </c>
      <c r="HH36" s="376">
        <v>155</v>
      </c>
      <c r="HI36" s="376">
        <v>118</v>
      </c>
      <c r="HJ36" s="376">
        <f t="shared" si="428"/>
        <v>273</v>
      </c>
      <c r="HK36" s="376">
        <v>145</v>
      </c>
      <c r="HL36" s="376">
        <v>96</v>
      </c>
      <c r="HM36" s="376">
        <f t="shared" si="429"/>
        <v>241</v>
      </c>
      <c r="HN36" s="376">
        <v>89</v>
      </c>
      <c r="HO36" s="376">
        <v>80</v>
      </c>
      <c r="HP36" s="376">
        <f t="shared" si="430"/>
        <v>169</v>
      </c>
      <c r="HQ36" s="376">
        <v>85</v>
      </c>
      <c r="HR36" s="376">
        <v>66</v>
      </c>
      <c r="HS36" s="376">
        <f t="shared" si="431"/>
        <v>151</v>
      </c>
      <c r="HT36" s="376">
        <v>54</v>
      </c>
      <c r="HU36" s="376">
        <v>69</v>
      </c>
      <c r="HV36" s="376">
        <f t="shared" si="432"/>
        <v>123</v>
      </c>
      <c r="HW36" s="376">
        <v>55</v>
      </c>
      <c r="HX36" s="376">
        <v>47</v>
      </c>
      <c r="HY36" s="376">
        <f t="shared" si="433"/>
        <v>102</v>
      </c>
      <c r="HZ36" s="376">
        <v>36</v>
      </c>
      <c r="IA36" s="376">
        <v>42</v>
      </c>
      <c r="IB36" s="376">
        <f t="shared" si="434"/>
        <v>78</v>
      </c>
      <c r="IC36" s="376">
        <v>31</v>
      </c>
      <c r="ID36" s="376">
        <v>39</v>
      </c>
      <c r="IE36" s="376">
        <f t="shared" si="435"/>
        <v>70</v>
      </c>
      <c r="IF36" s="376">
        <v>20</v>
      </c>
      <c r="IG36" s="376">
        <v>32</v>
      </c>
      <c r="IH36" s="376">
        <f t="shared" si="436"/>
        <v>52</v>
      </c>
      <c r="II36" s="376">
        <v>14</v>
      </c>
      <c r="IJ36" s="376">
        <v>21</v>
      </c>
      <c r="IK36" s="376">
        <f t="shared" si="437"/>
        <v>35</v>
      </c>
      <c r="IL36" s="376">
        <v>21</v>
      </c>
      <c r="IM36" s="376">
        <v>34</v>
      </c>
      <c r="IN36" s="376">
        <f t="shared" si="438"/>
        <v>55</v>
      </c>
      <c r="IO36" s="376">
        <v>22</v>
      </c>
      <c r="IP36" s="376">
        <v>21</v>
      </c>
      <c r="IQ36" s="376">
        <f t="shared" si="439"/>
        <v>43</v>
      </c>
      <c r="IR36" s="376">
        <v>10</v>
      </c>
      <c r="IS36" s="376">
        <v>15</v>
      </c>
      <c r="IT36" s="376">
        <f t="shared" si="440"/>
        <v>25</v>
      </c>
      <c r="IU36" s="376">
        <v>15</v>
      </c>
      <c r="IV36" s="376">
        <v>16</v>
      </c>
      <c r="IW36" s="376">
        <f t="shared" si="441"/>
        <v>31</v>
      </c>
      <c r="IX36" s="376">
        <v>10</v>
      </c>
      <c r="IY36" s="376">
        <v>13</v>
      </c>
      <c r="IZ36" s="376">
        <f t="shared" si="442"/>
        <v>23</v>
      </c>
      <c r="JA36" s="376">
        <v>6</v>
      </c>
      <c r="JB36" s="376">
        <v>16</v>
      </c>
      <c r="JC36" s="376">
        <f t="shared" si="443"/>
        <v>22</v>
      </c>
      <c r="JD36" s="376">
        <v>4</v>
      </c>
      <c r="JE36" s="376">
        <v>11</v>
      </c>
      <c r="JF36" s="376">
        <f t="shared" si="444"/>
        <v>15</v>
      </c>
      <c r="JG36" s="376">
        <v>8</v>
      </c>
      <c r="JH36" s="376">
        <v>8</v>
      </c>
      <c r="JI36" s="376">
        <f t="shared" si="445"/>
        <v>16</v>
      </c>
      <c r="JJ36" s="376">
        <v>1</v>
      </c>
      <c r="JK36" s="376">
        <v>6</v>
      </c>
      <c r="JL36" s="376">
        <f t="shared" si="446"/>
        <v>7</v>
      </c>
      <c r="JM36" s="376">
        <v>4</v>
      </c>
      <c r="JN36" s="376">
        <v>3</v>
      </c>
      <c r="JO36" s="376">
        <f t="shared" si="447"/>
        <v>7</v>
      </c>
      <c r="JP36" s="376">
        <v>4</v>
      </c>
      <c r="JQ36" s="376">
        <v>3</v>
      </c>
      <c r="JR36" s="376">
        <f t="shared" si="448"/>
        <v>7</v>
      </c>
      <c r="JS36" s="376">
        <v>0</v>
      </c>
      <c r="JT36" s="376">
        <v>2</v>
      </c>
      <c r="JU36" s="376">
        <f t="shared" si="449"/>
        <v>2</v>
      </c>
      <c r="JV36" s="376">
        <v>4</v>
      </c>
      <c r="JW36" s="376">
        <v>2</v>
      </c>
      <c r="JX36" s="376">
        <f t="shared" si="450"/>
        <v>6</v>
      </c>
      <c r="JY36" s="376">
        <v>3</v>
      </c>
      <c r="JZ36" s="376">
        <v>5</v>
      </c>
      <c r="KA36" s="376">
        <f t="shared" si="451"/>
        <v>8</v>
      </c>
      <c r="KB36" s="376">
        <v>2</v>
      </c>
      <c r="KC36" s="376">
        <v>2</v>
      </c>
      <c r="KD36" s="376">
        <f t="shared" si="452"/>
        <v>4</v>
      </c>
      <c r="KE36" s="376">
        <v>0</v>
      </c>
      <c r="KF36" s="376">
        <v>1</v>
      </c>
      <c r="KG36" s="376">
        <f t="shared" si="453"/>
        <v>1</v>
      </c>
      <c r="KH36" s="376">
        <v>1</v>
      </c>
      <c r="KI36" s="376">
        <v>0</v>
      </c>
      <c r="KJ36" s="376">
        <f t="shared" si="454"/>
        <v>1</v>
      </c>
      <c r="KK36" s="376">
        <v>0</v>
      </c>
      <c r="KL36" s="376">
        <v>1</v>
      </c>
      <c r="KM36" s="376">
        <f t="shared" si="455"/>
        <v>1</v>
      </c>
      <c r="KN36" s="376">
        <v>1</v>
      </c>
      <c r="KO36" s="376">
        <v>0</v>
      </c>
      <c r="KP36" s="376">
        <f t="shared" si="456"/>
        <v>1</v>
      </c>
      <c r="KQ36" s="376">
        <v>0</v>
      </c>
      <c r="KR36" s="376">
        <v>0</v>
      </c>
      <c r="KS36" s="376">
        <f t="shared" si="457"/>
        <v>0</v>
      </c>
      <c r="KT36" s="376">
        <v>0</v>
      </c>
      <c r="KU36" s="376">
        <v>0</v>
      </c>
      <c r="KV36" s="376">
        <f t="shared" si="458"/>
        <v>0</v>
      </c>
      <c r="KW36" s="376">
        <v>0</v>
      </c>
      <c r="KX36" s="376">
        <v>0</v>
      </c>
      <c r="KY36" s="376">
        <f t="shared" si="459"/>
        <v>0</v>
      </c>
      <c r="KZ36" s="376">
        <v>0</v>
      </c>
      <c r="LA36" s="376">
        <v>0</v>
      </c>
      <c r="LB36" s="376">
        <f t="shared" si="460"/>
        <v>0</v>
      </c>
      <c r="LC36" s="376">
        <v>0</v>
      </c>
      <c r="LD36" s="376">
        <v>0</v>
      </c>
      <c r="LE36" s="376">
        <f t="shared" si="461"/>
        <v>0</v>
      </c>
      <c r="LF36" s="376">
        <v>0</v>
      </c>
      <c r="LG36" s="376">
        <v>0</v>
      </c>
      <c r="LH36" s="376">
        <f t="shared" si="462"/>
        <v>0</v>
      </c>
      <c r="LI36" s="376">
        <v>0</v>
      </c>
      <c r="LJ36" s="376">
        <v>0</v>
      </c>
      <c r="LK36" s="376">
        <f t="shared" si="463"/>
        <v>0</v>
      </c>
      <c r="LL36" s="376">
        <v>0</v>
      </c>
      <c r="LM36" s="376">
        <v>0</v>
      </c>
      <c r="LN36" s="376">
        <f t="shared" si="464"/>
        <v>0</v>
      </c>
      <c r="LO36" s="376">
        <v>0</v>
      </c>
      <c r="LP36" s="376">
        <v>0</v>
      </c>
      <c r="LQ36" s="376">
        <f t="shared" si="465"/>
        <v>0</v>
      </c>
      <c r="LR36" s="376">
        <v>0</v>
      </c>
      <c r="LS36" s="376">
        <v>0</v>
      </c>
      <c r="LT36" s="376">
        <f t="shared" si="466"/>
        <v>0</v>
      </c>
      <c r="LU36" s="376">
        <v>0</v>
      </c>
      <c r="LV36" s="376">
        <v>0</v>
      </c>
      <c r="LW36" s="376">
        <f t="shared" si="467"/>
        <v>0</v>
      </c>
      <c r="LX36" s="376">
        <v>0</v>
      </c>
      <c r="LY36" s="376">
        <v>0</v>
      </c>
      <c r="LZ36" s="376">
        <f t="shared" si="468"/>
        <v>0</v>
      </c>
      <c r="MA36" s="376">
        <v>0</v>
      </c>
      <c r="MB36" s="376">
        <v>0</v>
      </c>
      <c r="MC36" s="376">
        <f t="shared" si="469"/>
        <v>0</v>
      </c>
      <c r="MD36" s="376">
        <v>0</v>
      </c>
      <c r="ME36" s="376">
        <v>0</v>
      </c>
      <c r="MF36" s="376">
        <f t="shared" si="470"/>
        <v>0</v>
      </c>
      <c r="MG36" s="376">
        <v>0</v>
      </c>
      <c r="MH36" s="376">
        <v>0</v>
      </c>
      <c r="MI36" s="376">
        <f t="shared" si="471"/>
        <v>0</v>
      </c>
      <c r="MJ36" s="376">
        <v>0</v>
      </c>
      <c r="MK36" s="376">
        <v>0</v>
      </c>
      <c r="ML36" s="376">
        <f t="shared" si="472"/>
        <v>0</v>
      </c>
      <c r="MM36" s="376">
        <v>0</v>
      </c>
      <c r="MN36" s="376">
        <v>0</v>
      </c>
      <c r="MO36" s="376">
        <f t="shared" si="473"/>
        <v>0</v>
      </c>
      <c r="MP36" s="376">
        <v>0</v>
      </c>
      <c r="MQ36" s="376">
        <v>0</v>
      </c>
      <c r="MR36" s="376">
        <f t="shared" si="474"/>
        <v>0</v>
      </c>
      <c r="MS36" s="376">
        <v>0</v>
      </c>
      <c r="MT36" s="376">
        <v>0</v>
      </c>
      <c r="MU36" s="376">
        <f t="shared" si="475"/>
        <v>0</v>
      </c>
      <c r="MV36" s="376">
        <v>0</v>
      </c>
      <c r="MW36" s="376">
        <v>0</v>
      </c>
      <c r="MX36" s="376">
        <f t="shared" si="476"/>
        <v>0</v>
      </c>
      <c r="MY36" s="376">
        <v>0</v>
      </c>
      <c r="MZ36" s="376">
        <v>0</v>
      </c>
      <c r="NA36" s="545">
        <f t="shared" si="477"/>
        <v>0</v>
      </c>
      <c r="NB36" s="376">
        <v>0</v>
      </c>
      <c r="NC36" s="376">
        <v>0</v>
      </c>
      <c r="ND36" s="543">
        <f t="shared" si="478"/>
        <v>0</v>
      </c>
      <c r="NE36" s="542">
        <f t="shared" ref="NE36:NF38" si="485">SUM(C36,F36,I36,L36,O36,R36,U36,X36,AA36,AD36,AG36,AJ36,AM36,AP36,AS36,AV36,AY36,BB36,BE36,BH36,BK36,BN36,BQ36,BT36,BW36,BZ36,CC36,CF36,CI36,CL36,CO36,CR36,CU36,CX36,DA36,DD36,DG36,DJ36,DM36,DP36,DS36,DV36,DY36,EB36,EE36,EH36,EK36,EN36,EQ36,ET36,EW36,EZ36,FC36,FF36,FI36,FL36,FO36,FR36,FU36,FX36,GA36,GD36,GG36,GJ36,GM36,GP36,GS36,GV36,GY36,HB36,HE36,HH36,HK36,HN36,HQ36,HT36,HW36,HZ36,IC36,IF36,II36,IL36,IO36,IR36,IU36,IX36,JA36,JD36,JG36,JJ36,JM36,JP36,JS36,JV36,JY36,KB36,KE36,KH36,KK36,KN36,KQ36,KT36,KW36,KZ36,LC36,LF36,LI36,LL36,LO36,LR36,LU36,LX36,MA36,MD36,MG36,MJ36,MM36,MP36,MS36,MV36,MY36)</f>
        <v>31507</v>
      </c>
      <c r="NF36" s="376">
        <f t="shared" si="485"/>
        <v>32114</v>
      </c>
      <c r="NG36" s="543">
        <f t="shared" si="480"/>
        <v>63621</v>
      </c>
      <c r="NH36" s="542">
        <f t="shared" si="481"/>
        <v>2552</v>
      </c>
      <c r="NI36" s="376">
        <f t="shared" si="481"/>
        <v>2411</v>
      </c>
      <c r="NJ36" s="543">
        <f t="shared" si="482"/>
        <v>4963</v>
      </c>
    </row>
    <row r="37" spans="1:374" x14ac:dyDescent="0.3">
      <c r="A37" s="541" t="s">
        <v>280</v>
      </c>
      <c r="B37" s="589" t="s">
        <v>74</v>
      </c>
      <c r="C37" s="544">
        <v>135</v>
      </c>
      <c r="D37" s="376">
        <v>138</v>
      </c>
      <c r="E37" s="376">
        <f t="shared" si="357"/>
        <v>273</v>
      </c>
      <c r="F37" s="376">
        <v>193</v>
      </c>
      <c r="G37" s="376">
        <v>178</v>
      </c>
      <c r="H37" s="376">
        <f t="shared" si="358"/>
        <v>371</v>
      </c>
      <c r="I37" s="376">
        <v>240</v>
      </c>
      <c r="J37" s="376">
        <v>223</v>
      </c>
      <c r="K37" s="376">
        <f t="shared" si="359"/>
        <v>463</v>
      </c>
      <c r="L37" s="376">
        <v>274</v>
      </c>
      <c r="M37" s="376">
        <v>234</v>
      </c>
      <c r="N37" s="376">
        <f t="shared" si="360"/>
        <v>508</v>
      </c>
      <c r="O37" s="376">
        <v>304</v>
      </c>
      <c r="P37" s="376">
        <v>260</v>
      </c>
      <c r="Q37" s="376">
        <f t="shared" si="361"/>
        <v>564</v>
      </c>
      <c r="R37" s="376">
        <v>295</v>
      </c>
      <c r="S37" s="376">
        <v>281</v>
      </c>
      <c r="T37" s="376">
        <f t="shared" si="362"/>
        <v>576</v>
      </c>
      <c r="U37" s="376">
        <v>349</v>
      </c>
      <c r="V37" s="376">
        <v>332</v>
      </c>
      <c r="W37" s="376">
        <f t="shared" si="363"/>
        <v>681</v>
      </c>
      <c r="X37" s="376">
        <v>365</v>
      </c>
      <c r="Y37" s="376">
        <v>292</v>
      </c>
      <c r="Z37" s="376">
        <f t="shared" si="364"/>
        <v>657</v>
      </c>
      <c r="AA37" s="376">
        <v>305</v>
      </c>
      <c r="AB37" s="376">
        <v>297</v>
      </c>
      <c r="AC37" s="376">
        <f t="shared" si="365"/>
        <v>602</v>
      </c>
      <c r="AD37" s="376">
        <v>269</v>
      </c>
      <c r="AE37" s="376">
        <v>286</v>
      </c>
      <c r="AF37" s="376">
        <f t="shared" si="366"/>
        <v>555</v>
      </c>
      <c r="AG37" s="376">
        <v>313</v>
      </c>
      <c r="AH37" s="376">
        <v>293</v>
      </c>
      <c r="AI37" s="376">
        <f t="shared" si="367"/>
        <v>606</v>
      </c>
      <c r="AJ37" s="376">
        <v>296</v>
      </c>
      <c r="AK37" s="376">
        <v>314</v>
      </c>
      <c r="AL37" s="376">
        <f t="shared" si="368"/>
        <v>610</v>
      </c>
      <c r="AM37" s="376">
        <v>324</v>
      </c>
      <c r="AN37" s="376">
        <v>263</v>
      </c>
      <c r="AO37" s="376">
        <f t="shared" si="369"/>
        <v>587</v>
      </c>
      <c r="AP37" s="376">
        <v>308</v>
      </c>
      <c r="AQ37" s="376">
        <v>305</v>
      </c>
      <c r="AR37" s="376">
        <f t="shared" si="370"/>
        <v>613</v>
      </c>
      <c r="AS37" s="376">
        <v>290</v>
      </c>
      <c r="AT37" s="376">
        <v>318</v>
      </c>
      <c r="AU37" s="376">
        <f t="shared" si="371"/>
        <v>608</v>
      </c>
      <c r="AV37" s="376">
        <v>319</v>
      </c>
      <c r="AW37" s="376">
        <v>314</v>
      </c>
      <c r="AX37" s="376">
        <f t="shared" si="372"/>
        <v>633</v>
      </c>
      <c r="AY37" s="376">
        <v>337</v>
      </c>
      <c r="AZ37" s="376">
        <v>293</v>
      </c>
      <c r="BA37" s="376">
        <f t="shared" si="373"/>
        <v>630</v>
      </c>
      <c r="BB37" s="376">
        <v>285</v>
      </c>
      <c r="BC37" s="376">
        <v>269</v>
      </c>
      <c r="BD37" s="376">
        <f t="shared" si="374"/>
        <v>554</v>
      </c>
      <c r="BE37" s="376">
        <v>292</v>
      </c>
      <c r="BF37" s="376">
        <v>277</v>
      </c>
      <c r="BG37" s="376">
        <f t="shared" si="375"/>
        <v>569</v>
      </c>
      <c r="BH37" s="376">
        <v>295</v>
      </c>
      <c r="BI37" s="376">
        <v>301</v>
      </c>
      <c r="BJ37" s="376">
        <f t="shared" si="376"/>
        <v>596</v>
      </c>
      <c r="BK37" s="376">
        <v>302</v>
      </c>
      <c r="BL37" s="376">
        <v>300</v>
      </c>
      <c r="BM37" s="376">
        <f t="shared" si="377"/>
        <v>602</v>
      </c>
      <c r="BN37" s="376">
        <v>315</v>
      </c>
      <c r="BO37" s="376">
        <v>290</v>
      </c>
      <c r="BP37" s="376">
        <f t="shared" si="378"/>
        <v>605</v>
      </c>
      <c r="BQ37" s="376">
        <v>298</v>
      </c>
      <c r="BR37" s="376">
        <v>285</v>
      </c>
      <c r="BS37" s="376">
        <f t="shared" si="379"/>
        <v>583</v>
      </c>
      <c r="BT37" s="376">
        <v>328</v>
      </c>
      <c r="BU37" s="376">
        <v>303</v>
      </c>
      <c r="BV37" s="376">
        <f t="shared" si="380"/>
        <v>631</v>
      </c>
      <c r="BW37" s="376">
        <v>304</v>
      </c>
      <c r="BX37" s="376">
        <v>288</v>
      </c>
      <c r="BY37" s="376">
        <f t="shared" si="381"/>
        <v>592</v>
      </c>
      <c r="BZ37" s="376">
        <v>338</v>
      </c>
      <c r="CA37" s="376">
        <v>323</v>
      </c>
      <c r="CB37" s="376">
        <f t="shared" si="382"/>
        <v>661</v>
      </c>
      <c r="CC37" s="376">
        <v>329</v>
      </c>
      <c r="CD37" s="376">
        <v>314</v>
      </c>
      <c r="CE37" s="376">
        <f t="shared" si="383"/>
        <v>643</v>
      </c>
      <c r="CF37" s="376">
        <v>293</v>
      </c>
      <c r="CG37" s="376">
        <v>288</v>
      </c>
      <c r="CH37" s="376">
        <f t="shared" si="384"/>
        <v>581</v>
      </c>
      <c r="CI37" s="376">
        <v>310</v>
      </c>
      <c r="CJ37" s="376">
        <v>337</v>
      </c>
      <c r="CK37" s="376">
        <f t="shared" si="385"/>
        <v>647</v>
      </c>
      <c r="CL37" s="376">
        <v>323</v>
      </c>
      <c r="CM37" s="376">
        <v>311</v>
      </c>
      <c r="CN37" s="376">
        <f t="shared" si="386"/>
        <v>634</v>
      </c>
      <c r="CO37" s="376">
        <v>307</v>
      </c>
      <c r="CP37" s="376">
        <v>360</v>
      </c>
      <c r="CQ37" s="376">
        <f t="shared" si="387"/>
        <v>667</v>
      </c>
      <c r="CR37" s="376">
        <v>321</v>
      </c>
      <c r="CS37" s="376">
        <v>312</v>
      </c>
      <c r="CT37" s="376">
        <f t="shared" si="388"/>
        <v>633</v>
      </c>
      <c r="CU37" s="376">
        <v>329</v>
      </c>
      <c r="CV37" s="376">
        <v>344</v>
      </c>
      <c r="CW37" s="376">
        <f t="shared" si="389"/>
        <v>673</v>
      </c>
      <c r="CX37" s="376">
        <v>316</v>
      </c>
      <c r="CY37" s="376">
        <v>322</v>
      </c>
      <c r="CZ37" s="376">
        <f t="shared" si="390"/>
        <v>638</v>
      </c>
      <c r="DA37" s="376">
        <v>304</v>
      </c>
      <c r="DB37" s="376">
        <v>331</v>
      </c>
      <c r="DC37" s="376">
        <f t="shared" si="391"/>
        <v>635</v>
      </c>
      <c r="DD37" s="376">
        <v>296</v>
      </c>
      <c r="DE37" s="376">
        <v>299</v>
      </c>
      <c r="DF37" s="376">
        <f t="shared" si="392"/>
        <v>595</v>
      </c>
      <c r="DG37" s="376">
        <v>306</v>
      </c>
      <c r="DH37" s="376">
        <v>330</v>
      </c>
      <c r="DI37" s="376">
        <f t="shared" si="393"/>
        <v>636</v>
      </c>
      <c r="DJ37" s="376">
        <v>309</v>
      </c>
      <c r="DK37" s="376">
        <v>310</v>
      </c>
      <c r="DL37" s="376">
        <f t="shared" si="394"/>
        <v>619</v>
      </c>
      <c r="DM37" s="376">
        <v>302</v>
      </c>
      <c r="DN37" s="376">
        <v>286</v>
      </c>
      <c r="DO37" s="376">
        <f t="shared" si="395"/>
        <v>588</v>
      </c>
      <c r="DP37" s="376">
        <v>278</v>
      </c>
      <c r="DQ37" s="376">
        <v>258</v>
      </c>
      <c r="DR37" s="376">
        <f t="shared" si="396"/>
        <v>536</v>
      </c>
      <c r="DS37" s="376">
        <v>289</v>
      </c>
      <c r="DT37" s="376">
        <v>310</v>
      </c>
      <c r="DU37" s="376">
        <f t="shared" si="397"/>
        <v>599</v>
      </c>
      <c r="DV37" s="376">
        <v>319</v>
      </c>
      <c r="DW37" s="376">
        <v>302</v>
      </c>
      <c r="DX37" s="376">
        <f t="shared" si="398"/>
        <v>621</v>
      </c>
      <c r="DY37" s="376">
        <v>289</v>
      </c>
      <c r="DZ37" s="376">
        <v>320</v>
      </c>
      <c r="EA37" s="376">
        <f t="shared" si="399"/>
        <v>609</v>
      </c>
      <c r="EB37" s="376">
        <v>282</v>
      </c>
      <c r="EC37" s="376">
        <v>337</v>
      </c>
      <c r="ED37" s="376">
        <f t="shared" si="400"/>
        <v>619</v>
      </c>
      <c r="EE37" s="376">
        <v>284</v>
      </c>
      <c r="EF37" s="376">
        <v>284</v>
      </c>
      <c r="EG37" s="376">
        <f t="shared" si="401"/>
        <v>568</v>
      </c>
      <c r="EH37" s="376">
        <v>272</v>
      </c>
      <c r="EI37" s="376">
        <v>291</v>
      </c>
      <c r="EJ37" s="376">
        <f t="shared" si="402"/>
        <v>563</v>
      </c>
      <c r="EK37" s="376">
        <v>293</v>
      </c>
      <c r="EL37" s="376">
        <v>282</v>
      </c>
      <c r="EM37" s="376">
        <f t="shared" si="403"/>
        <v>575</v>
      </c>
      <c r="EN37" s="376">
        <v>270</v>
      </c>
      <c r="EO37" s="376">
        <v>277</v>
      </c>
      <c r="EP37" s="376">
        <f t="shared" si="404"/>
        <v>547</v>
      </c>
      <c r="EQ37" s="376">
        <v>274</v>
      </c>
      <c r="ER37" s="376">
        <v>273</v>
      </c>
      <c r="ES37" s="376">
        <f t="shared" si="405"/>
        <v>547</v>
      </c>
      <c r="ET37" s="376">
        <v>252</v>
      </c>
      <c r="EU37" s="376">
        <v>232</v>
      </c>
      <c r="EV37" s="376">
        <f t="shared" si="406"/>
        <v>484</v>
      </c>
      <c r="EW37" s="376">
        <v>255</v>
      </c>
      <c r="EX37" s="376">
        <v>285</v>
      </c>
      <c r="EY37" s="376">
        <f t="shared" si="407"/>
        <v>540</v>
      </c>
      <c r="EZ37" s="376">
        <v>259</v>
      </c>
      <c r="FA37" s="376">
        <v>253</v>
      </c>
      <c r="FB37" s="376">
        <f t="shared" si="408"/>
        <v>512</v>
      </c>
      <c r="FC37" s="376">
        <v>195</v>
      </c>
      <c r="FD37" s="376">
        <v>247</v>
      </c>
      <c r="FE37" s="376">
        <f t="shared" si="409"/>
        <v>442</v>
      </c>
      <c r="FF37" s="376">
        <v>247</v>
      </c>
      <c r="FG37" s="376">
        <v>263</v>
      </c>
      <c r="FH37" s="376">
        <f t="shared" si="410"/>
        <v>510</v>
      </c>
      <c r="FI37" s="376">
        <v>219</v>
      </c>
      <c r="FJ37" s="376">
        <v>247</v>
      </c>
      <c r="FK37" s="376">
        <f t="shared" si="411"/>
        <v>466</v>
      </c>
      <c r="FL37" s="376">
        <v>202</v>
      </c>
      <c r="FM37" s="376">
        <v>232</v>
      </c>
      <c r="FN37" s="376">
        <f t="shared" si="412"/>
        <v>434</v>
      </c>
      <c r="FO37" s="376">
        <v>192</v>
      </c>
      <c r="FP37" s="376">
        <v>235</v>
      </c>
      <c r="FQ37" s="376">
        <f t="shared" si="413"/>
        <v>427</v>
      </c>
      <c r="FR37" s="376">
        <v>206</v>
      </c>
      <c r="FS37" s="376">
        <v>220</v>
      </c>
      <c r="FT37" s="376">
        <f t="shared" si="414"/>
        <v>426</v>
      </c>
      <c r="FU37" s="376">
        <v>189</v>
      </c>
      <c r="FV37" s="376">
        <v>201</v>
      </c>
      <c r="FW37" s="376">
        <f t="shared" si="415"/>
        <v>390</v>
      </c>
      <c r="FX37" s="376">
        <v>165</v>
      </c>
      <c r="FY37" s="376">
        <v>173</v>
      </c>
      <c r="FZ37" s="376">
        <f t="shared" si="416"/>
        <v>338</v>
      </c>
      <c r="GA37" s="376">
        <v>162</v>
      </c>
      <c r="GB37" s="376">
        <v>168</v>
      </c>
      <c r="GC37" s="376">
        <f t="shared" si="417"/>
        <v>330</v>
      </c>
      <c r="GD37" s="376">
        <v>156</v>
      </c>
      <c r="GE37" s="376">
        <v>189</v>
      </c>
      <c r="GF37" s="376">
        <f t="shared" si="418"/>
        <v>345</v>
      </c>
      <c r="GG37" s="376">
        <v>143</v>
      </c>
      <c r="GH37" s="376">
        <v>183</v>
      </c>
      <c r="GI37" s="376">
        <f t="shared" si="419"/>
        <v>326</v>
      </c>
      <c r="GJ37" s="376">
        <v>146</v>
      </c>
      <c r="GK37" s="376">
        <v>177</v>
      </c>
      <c r="GL37" s="376">
        <f t="shared" si="420"/>
        <v>323</v>
      </c>
      <c r="GM37" s="376">
        <v>120</v>
      </c>
      <c r="GN37" s="376">
        <v>131</v>
      </c>
      <c r="GO37" s="376">
        <f t="shared" si="421"/>
        <v>251</v>
      </c>
      <c r="GP37" s="376">
        <v>117</v>
      </c>
      <c r="GQ37" s="376">
        <v>150</v>
      </c>
      <c r="GR37" s="376">
        <f t="shared" si="422"/>
        <v>267</v>
      </c>
      <c r="GS37" s="376">
        <v>142</v>
      </c>
      <c r="GT37" s="376">
        <v>169</v>
      </c>
      <c r="GU37" s="376">
        <f t="shared" si="423"/>
        <v>311</v>
      </c>
      <c r="GV37" s="376">
        <v>123</v>
      </c>
      <c r="GW37" s="376">
        <v>114</v>
      </c>
      <c r="GX37" s="376">
        <f t="shared" si="424"/>
        <v>237</v>
      </c>
      <c r="GY37" s="376">
        <v>122</v>
      </c>
      <c r="GZ37" s="376">
        <v>114</v>
      </c>
      <c r="HA37" s="376">
        <f t="shared" si="425"/>
        <v>236</v>
      </c>
      <c r="HB37" s="376">
        <v>93</v>
      </c>
      <c r="HC37" s="376">
        <v>73</v>
      </c>
      <c r="HD37" s="376">
        <f t="shared" si="426"/>
        <v>166</v>
      </c>
      <c r="HE37" s="376">
        <v>95</v>
      </c>
      <c r="HF37" s="376">
        <v>80</v>
      </c>
      <c r="HG37" s="376">
        <f t="shared" si="427"/>
        <v>175</v>
      </c>
      <c r="HH37" s="376">
        <v>69</v>
      </c>
      <c r="HI37" s="376">
        <v>67</v>
      </c>
      <c r="HJ37" s="376">
        <f t="shared" si="428"/>
        <v>136</v>
      </c>
      <c r="HK37" s="376">
        <v>56</v>
      </c>
      <c r="HL37" s="376">
        <v>47</v>
      </c>
      <c r="HM37" s="376">
        <f t="shared" si="429"/>
        <v>103</v>
      </c>
      <c r="HN37" s="376">
        <v>64</v>
      </c>
      <c r="HO37" s="376">
        <v>50</v>
      </c>
      <c r="HP37" s="376">
        <f t="shared" si="430"/>
        <v>114</v>
      </c>
      <c r="HQ37" s="376">
        <v>36</v>
      </c>
      <c r="HR37" s="376">
        <v>44</v>
      </c>
      <c r="HS37" s="376">
        <f t="shared" si="431"/>
        <v>80</v>
      </c>
      <c r="HT37" s="376">
        <v>47</v>
      </c>
      <c r="HU37" s="376">
        <v>38</v>
      </c>
      <c r="HV37" s="376">
        <f t="shared" si="432"/>
        <v>85</v>
      </c>
      <c r="HW37" s="376">
        <v>43</v>
      </c>
      <c r="HX37" s="376">
        <v>32</v>
      </c>
      <c r="HY37" s="376">
        <f t="shared" si="433"/>
        <v>75</v>
      </c>
      <c r="HZ37" s="376">
        <v>21</v>
      </c>
      <c r="IA37" s="376">
        <v>30</v>
      </c>
      <c r="IB37" s="376">
        <f t="shared" si="434"/>
        <v>51</v>
      </c>
      <c r="IC37" s="376">
        <v>13</v>
      </c>
      <c r="ID37" s="376">
        <v>24</v>
      </c>
      <c r="IE37" s="376">
        <f t="shared" si="435"/>
        <v>37</v>
      </c>
      <c r="IF37" s="376">
        <v>17</v>
      </c>
      <c r="IG37" s="376">
        <v>21</v>
      </c>
      <c r="IH37" s="376">
        <f t="shared" si="436"/>
        <v>38</v>
      </c>
      <c r="II37" s="376">
        <v>17</v>
      </c>
      <c r="IJ37" s="376">
        <v>17</v>
      </c>
      <c r="IK37" s="376">
        <f t="shared" si="437"/>
        <v>34</v>
      </c>
      <c r="IL37" s="376">
        <v>14</v>
      </c>
      <c r="IM37" s="376">
        <v>8</v>
      </c>
      <c r="IN37" s="376">
        <f t="shared" si="438"/>
        <v>22</v>
      </c>
      <c r="IO37" s="376">
        <v>9</v>
      </c>
      <c r="IP37" s="376">
        <v>12</v>
      </c>
      <c r="IQ37" s="376">
        <f t="shared" si="439"/>
        <v>21</v>
      </c>
      <c r="IR37" s="376">
        <v>8</v>
      </c>
      <c r="IS37" s="376">
        <v>15</v>
      </c>
      <c r="IT37" s="376">
        <f t="shared" si="440"/>
        <v>23</v>
      </c>
      <c r="IU37" s="376">
        <v>7</v>
      </c>
      <c r="IV37" s="376">
        <v>7</v>
      </c>
      <c r="IW37" s="376">
        <f t="shared" si="441"/>
        <v>14</v>
      </c>
      <c r="IX37" s="376">
        <v>7</v>
      </c>
      <c r="IY37" s="376">
        <v>11</v>
      </c>
      <c r="IZ37" s="376">
        <f t="shared" si="442"/>
        <v>18</v>
      </c>
      <c r="JA37" s="376">
        <v>8</v>
      </c>
      <c r="JB37" s="376">
        <v>6</v>
      </c>
      <c r="JC37" s="376">
        <f t="shared" si="443"/>
        <v>14</v>
      </c>
      <c r="JD37" s="376">
        <v>6</v>
      </c>
      <c r="JE37" s="376">
        <v>6</v>
      </c>
      <c r="JF37" s="376">
        <f t="shared" si="444"/>
        <v>12</v>
      </c>
      <c r="JG37" s="376">
        <v>4</v>
      </c>
      <c r="JH37" s="376">
        <v>7</v>
      </c>
      <c r="JI37" s="376">
        <f t="shared" si="445"/>
        <v>11</v>
      </c>
      <c r="JJ37" s="376">
        <v>3</v>
      </c>
      <c r="JK37" s="376">
        <v>3</v>
      </c>
      <c r="JL37" s="376">
        <f t="shared" si="446"/>
        <v>6</v>
      </c>
      <c r="JM37" s="376">
        <v>2</v>
      </c>
      <c r="JN37" s="376">
        <v>3</v>
      </c>
      <c r="JO37" s="376">
        <f t="shared" si="447"/>
        <v>5</v>
      </c>
      <c r="JP37" s="376">
        <v>2</v>
      </c>
      <c r="JQ37" s="376">
        <v>0</v>
      </c>
      <c r="JR37" s="376">
        <f t="shared" si="448"/>
        <v>2</v>
      </c>
      <c r="JS37" s="376">
        <v>1</v>
      </c>
      <c r="JT37" s="376">
        <v>1</v>
      </c>
      <c r="JU37" s="376">
        <f t="shared" si="449"/>
        <v>2</v>
      </c>
      <c r="JV37" s="376">
        <v>1</v>
      </c>
      <c r="JW37" s="376">
        <v>4</v>
      </c>
      <c r="JX37" s="376">
        <f t="shared" si="450"/>
        <v>5</v>
      </c>
      <c r="JY37" s="376">
        <v>0</v>
      </c>
      <c r="JZ37" s="376">
        <v>2</v>
      </c>
      <c r="KA37" s="376">
        <f t="shared" si="451"/>
        <v>2</v>
      </c>
      <c r="KB37" s="376">
        <v>0</v>
      </c>
      <c r="KC37" s="376">
        <v>0</v>
      </c>
      <c r="KD37" s="376">
        <f t="shared" si="452"/>
        <v>0</v>
      </c>
      <c r="KE37" s="376">
        <v>0</v>
      </c>
      <c r="KF37" s="376">
        <v>1</v>
      </c>
      <c r="KG37" s="376">
        <f t="shared" si="453"/>
        <v>1</v>
      </c>
      <c r="KH37" s="376">
        <v>0</v>
      </c>
      <c r="KI37" s="376">
        <v>1</v>
      </c>
      <c r="KJ37" s="376">
        <f t="shared" si="454"/>
        <v>1</v>
      </c>
      <c r="KK37" s="376">
        <v>0</v>
      </c>
      <c r="KL37" s="376">
        <v>0</v>
      </c>
      <c r="KM37" s="376">
        <f t="shared" si="455"/>
        <v>0</v>
      </c>
      <c r="KN37" s="376">
        <v>0</v>
      </c>
      <c r="KO37" s="376">
        <v>0</v>
      </c>
      <c r="KP37" s="376">
        <f t="shared" si="456"/>
        <v>0</v>
      </c>
      <c r="KQ37" s="376">
        <v>0</v>
      </c>
      <c r="KR37" s="376">
        <v>0</v>
      </c>
      <c r="KS37" s="376">
        <f t="shared" si="457"/>
        <v>0</v>
      </c>
      <c r="KT37" s="376">
        <v>0</v>
      </c>
      <c r="KU37" s="376">
        <v>0</v>
      </c>
      <c r="KV37" s="376">
        <f t="shared" si="458"/>
        <v>0</v>
      </c>
      <c r="KW37" s="376">
        <v>0</v>
      </c>
      <c r="KX37" s="376">
        <v>0</v>
      </c>
      <c r="KY37" s="376">
        <f t="shared" si="459"/>
        <v>0</v>
      </c>
      <c r="KZ37" s="376">
        <v>0</v>
      </c>
      <c r="LA37" s="376">
        <v>0</v>
      </c>
      <c r="LB37" s="376">
        <f t="shared" si="460"/>
        <v>0</v>
      </c>
      <c r="LC37" s="376">
        <v>0</v>
      </c>
      <c r="LD37" s="376">
        <v>0</v>
      </c>
      <c r="LE37" s="376">
        <f t="shared" si="461"/>
        <v>0</v>
      </c>
      <c r="LF37" s="376">
        <v>0</v>
      </c>
      <c r="LG37" s="376">
        <v>0</v>
      </c>
      <c r="LH37" s="376">
        <f t="shared" si="462"/>
        <v>0</v>
      </c>
      <c r="LI37" s="376">
        <v>0</v>
      </c>
      <c r="LJ37" s="376">
        <v>0</v>
      </c>
      <c r="LK37" s="376">
        <f t="shared" si="463"/>
        <v>0</v>
      </c>
      <c r="LL37" s="376">
        <v>0</v>
      </c>
      <c r="LM37" s="376">
        <v>0</v>
      </c>
      <c r="LN37" s="376">
        <f t="shared" si="464"/>
        <v>0</v>
      </c>
      <c r="LO37" s="376">
        <v>0</v>
      </c>
      <c r="LP37" s="376">
        <v>0</v>
      </c>
      <c r="LQ37" s="376">
        <f t="shared" si="465"/>
        <v>0</v>
      </c>
      <c r="LR37" s="376">
        <v>0</v>
      </c>
      <c r="LS37" s="376">
        <v>0</v>
      </c>
      <c r="LT37" s="376">
        <f t="shared" si="466"/>
        <v>0</v>
      </c>
      <c r="LU37" s="376">
        <v>0</v>
      </c>
      <c r="LV37" s="376">
        <v>0</v>
      </c>
      <c r="LW37" s="376">
        <f t="shared" si="467"/>
        <v>0</v>
      </c>
      <c r="LX37" s="376">
        <v>0</v>
      </c>
      <c r="LY37" s="376">
        <v>0</v>
      </c>
      <c r="LZ37" s="376">
        <f t="shared" si="468"/>
        <v>0</v>
      </c>
      <c r="MA37" s="376">
        <v>0</v>
      </c>
      <c r="MB37" s="376">
        <v>0</v>
      </c>
      <c r="MC37" s="376">
        <f t="shared" si="469"/>
        <v>0</v>
      </c>
      <c r="MD37" s="376">
        <v>0</v>
      </c>
      <c r="ME37" s="376">
        <v>0</v>
      </c>
      <c r="MF37" s="376">
        <f t="shared" si="470"/>
        <v>0</v>
      </c>
      <c r="MG37" s="376">
        <v>0</v>
      </c>
      <c r="MH37" s="376">
        <v>0</v>
      </c>
      <c r="MI37" s="376">
        <f t="shared" si="471"/>
        <v>0</v>
      </c>
      <c r="MJ37" s="376">
        <v>0</v>
      </c>
      <c r="MK37" s="376">
        <v>0</v>
      </c>
      <c r="ML37" s="376">
        <f t="shared" si="472"/>
        <v>0</v>
      </c>
      <c r="MM37" s="376">
        <v>0</v>
      </c>
      <c r="MN37" s="376">
        <v>0</v>
      </c>
      <c r="MO37" s="376">
        <f t="shared" si="473"/>
        <v>0</v>
      </c>
      <c r="MP37" s="376">
        <v>0</v>
      </c>
      <c r="MQ37" s="376">
        <v>0</v>
      </c>
      <c r="MR37" s="376">
        <f t="shared" si="474"/>
        <v>0</v>
      </c>
      <c r="MS37" s="376">
        <v>0</v>
      </c>
      <c r="MT37" s="376">
        <v>0</v>
      </c>
      <c r="MU37" s="376">
        <f t="shared" si="475"/>
        <v>0</v>
      </c>
      <c r="MV37" s="376">
        <v>0</v>
      </c>
      <c r="MW37" s="376">
        <v>0</v>
      </c>
      <c r="MX37" s="376">
        <f t="shared" si="476"/>
        <v>0</v>
      </c>
      <c r="MY37" s="376">
        <v>0</v>
      </c>
      <c r="MZ37" s="376">
        <v>0</v>
      </c>
      <c r="NA37" s="545">
        <f t="shared" si="477"/>
        <v>0</v>
      </c>
      <c r="NB37" s="376">
        <v>0</v>
      </c>
      <c r="NC37" s="376">
        <v>0</v>
      </c>
      <c r="ND37" s="543">
        <f t="shared" si="478"/>
        <v>0</v>
      </c>
      <c r="NE37" s="542">
        <f t="shared" si="485"/>
        <v>18823</v>
      </c>
      <c r="NF37" s="376">
        <f t="shared" si="485"/>
        <v>18928</v>
      </c>
      <c r="NG37" s="543">
        <f t="shared" si="480"/>
        <v>37751</v>
      </c>
      <c r="NH37" s="542">
        <f t="shared" si="481"/>
        <v>1441</v>
      </c>
      <c r="NI37" s="376">
        <f t="shared" si="481"/>
        <v>1314</v>
      </c>
      <c r="NJ37" s="543">
        <f t="shared" si="482"/>
        <v>2755</v>
      </c>
    </row>
    <row r="38" spans="1:374" ht="14.5" thickBot="1" x14ac:dyDescent="0.35">
      <c r="A38" s="568" t="s">
        <v>281</v>
      </c>
      <c r="B38" s="590" t="s">
        <v>76</v>
      </c>
      <c r="C38" s="550">
        <v>213</v>
      </c>
      <c r="D38" s="380">
        <v>185</v>
      </c>
      <c r="E38" s="380">
        <f t="shared" si="357"/>
        <v>398</v>
      </c>
      <c r="F38" s="380">
        <v>248</v>
      </c>
      <c r="G38" s="380">
        <v>265</v>
      </c>
      <c r="H38" s="380">
        <f t="shared" si="358"/>
        <v>513</v>
      </c>
      <c r="I38" s="380">
        <v>300</v>
      </c>
      <c r="J38" s="380">
        <v>296</v>
      </c>
      <c r="K38" s="380">
        <f t="shared" si="359"/>
        <v>596</v>
      </c>
      <c r="L38" s="380">
        <v>354</v>
      </c>
      <c r="M38" s="380">
        <v>311</v>
      </c>
      <c r="N38" s="380">
        <f t="shared" si="360"/>
        <v>665</v>
      </c>
      <c r="O38" s="380">
        <v>342</v>
      </c>
      <c r="P38" s="380">
        <v>340</v>
      </c>
      <c r="Q38" s="380">
        <f t="shared" si="361"/>
        <v>682</v>
      </c>
      <c r="R38" s="380">
        <v>338</v>
      </c>
      <c r="S38" s="380">
        <v>337</v>
      </c>
      <c r="T38" s="380">
        <f t="shared" si="362"/>
        <v>675</v>
      </c>
      <c r="U38" s="380">
        <v>398</v>
      </c>
      <c r="V38" s="380">
        <v>427</v>
      </c>
      <c r="W38" s="380">
        <f t="shared" si="363"/>
        <v>825</v>
      </c>
      <c r="X38" s="380">
        <v>416</v>
      </c>
      <c r="Y38" s="380">
        <v>386</v>
      </c>
      <c r="Z38" s="380">
        <f t="shared" si="364"/>
        <v>802</v>
      </c>
      <c r="AA38" s="380">
        <v>385</v>
      </c>
      <c r="AB38" s="380">
        <v>367</v>
      </c>
      <c r="AC38" s="380">
        <f t="shared" si="365"/>
        <v>752</v>
      </c>
      <c r="AD38" s="380">
        <v>373</v>
      </c>
      <c r="AE38" s="380">
        <v>387</v>
      </c>
      <c r="AF38" s="380">
        <f t="shared" si="366"/>
        <v>760</v>
      </c>
      <c r="AG38" s="380">
        <v>408</v>
      </c>
      <c r="AH38" s="380">
        <v>376</v>
      </c>
      <c r="AI38" s="380">
        <f t="shared" si="367"/>
        <v>784</v>
      </c>
      <c r="AJ38" s="380">
        <v>376</v>
      </c>
      <c r="AK38" s="380">
        <v>383</v>
      </c>
      <c r="AL38" s="380">
        <f t="shared" si="368"/>
        <v>759</v>
      </c>
      <c r="AM38" s="380">
        <v>399</v>
      </c>
      <c r="AN38" s="380">
        <v>360</v>
      </c>
      <c r="AO38" s="380">
        <f t="shared" si="369"/>
        <v>759</v>
      </c>
      <c r="AP38" s="380">
        <v>354</v>
      </c>
      <c r="AQ38" s="380">
        <v>406</v>
      </c>
      <c r="AR38" s="380">
        <f t="shared" si="370"/>
        <v>760</v>
      </c>
      <c r="AS38" s="380">
        <v>400</v>
      </c>
      <c r="AT38" s="380">
        <v>393</v>
      </c>
      <c r="AU38" s="380">
        <f t="shared" si="371"/>
        <v>793</v>
      </c>
      <c r="AV38" s="380">
        <v>398</v>
      </c>
      <c r="AW38" s="380">
        <v>399</v>
      </c>
      <c r="AX38" s="380">
        <f t="shared" si="372"/>
        <v>797</v>
      </c>
      <c r="AY38" s="380">
        <v>367</v>
      </c>
      <c r="AZ38" s="380">
        <v>347</v>
      </c>
      <c r="BA38" s="380">
        <f t="shared" si="373"/>
        <v>714</v>
      </c>
      <c r="BB38" s="380">
        <v>347</v>
      </c>
      <c r="BC38" s="380">
        <v>335</v>
      </c>
      <c r="BD38" s="380">
        <f t="shared" si="374"/>
        <v>682</v>
      </c>
      <c r="BE38" s="380">
        <v>352</v>
      </c>
      <c r="BF38" s="380">
        <v>371</v>
      </c>
      <c r="BG38" s="380">
        <f t="shared" si="375"/>
        <v>723</v>
      </c>
      <c r="BH38" s="380">
        <v>387</v>
      </c>
      <c r="BI38" s="380">
        <v>383</v>
      </c>
      <c r="BJ38" s="380">
        <f t="shared" si="376"/>
        <v>770</v>
      </c>
      <c r="BK38" s="380">
        <v>364</v>
      </c>
      <c r="BL38" s="380">
        <v>370</v>
      </c>
      <c r="BM38" s="380">
        <f t="shared" si="377"/>
        <v>734</v>
      </c>
      <c r="BN38" s="380">
        <v>397</v>
      </c>
      <c r="BO38" s="380">
        <v>372</v>
      </c>
      <c r="BP38" s="380">
        <f t="shared" si="378"/>
        <v>769</v>
      </c>
      <c r="BQ38" s="380">
        <v>409</v>
      </c>
      <c r="BR38" s="380">
        <v>394</v>
      </c>
      <c r="BS38" s="380">
        <f t="shared" si="379"/>
        <v>803</v>
      </c>
      <c r="BT38" s="380">
        <v>472</v>
      </c>
      <c r="BU38" s="380">
        <v>380</v>
      </c>
      <c r="BV38" s="380">
        <f t="shared" si="380"/>
        <v>852</v>
      </c>
      <c r="BW38" s="380">
        <v>427</v>
      </c>
      <c r="BX38" s="380">
        <v>393</v>
      </c>
      <c r="BY38" s="380">
        <f t="shared" si="381"/>
        <v>820</v>
      </c>
      <c r="BZ38" s="380">
        <v>421</v>
      </c>
      <c r="CA38" s="380">
        <v>399</v>
      </c>
      <c r="CB38" s="380">
        <f t="shared" si="382"/>
        <v>820</v>
      </c>
      <c r="CC38" s="380">
        <v>421</v>
      </c>
      <c r="CD38" s="380">
        <v>443</v>
      </c>
      <c r="CE38" s="380">
        <f t="shared" si="383"/>
        <v>864</v>
      </c>
      <c r="CF38" s="380">
        <v>399</v>
      </c>
      <c r="CG38" s="380">
        <v>359</v>
      </c>
      <c r="CH38" s="380">
        <f t="shared" si="384"/>
        <v>758</v>
      </c>
      <c r="CI38" s="380">
        <v>382</v>
      </c>
      <c r="CJ38" s="380">
        <v>365</v>
      </c>
      <c r="CK38" s="380">
        <f t="shared" si="385"/>
        <v>747</v>
      </c>
      <c r="CL38" s="380">
        <v>393</v>
      </c>
      <c r="CM38" s="380">
        <v>378</v>
      </c>
      <c r="CN38" s="380">
        <f t="shared" si="386"/>
        <v>771</v>
      </c>
      <c r="CO38" s="380">
        <v>420</v>
      </c>
      <c r="CP38" s="380">
        <v>429</v>
      </c>
      <c r="CQ38" s="380">
        <f t="shared" si="387"/>
        <v>849</v>
      </c>
      <c r="CR38" s="380">
        <v>379</v>
      </c>
      <c r="CS38" s="380">
        <v>387</v>
      </c>
      <c r="CT38" s="380">
        <f t="shared" si="388"/>
        <v>766</v>
      </c>
      <c r="CU38" s="380">
        <v>377</v>
      </c>
      <c r="CV38" s="380">
        <v>402</v>
      </c>
      <c r="CW38" s="380">
        <f t="shared" si="389"/>
        <v>779</v>
      </c>
      <c r="CX38" s="380">
        <v>389</v>
      </c>
      <c r="CY38" s="380">
        <v>403</v>
      </c>
      <c r="CZ38" s="380">
        <f t="shared" si="390"/>
        <v>792</v>
      </c>
      <c r="DA38" s="380">
        <v>370</v>
      </c>
      <c r="DB38" s="380">
        <v>370</v>
      </c>
      <c r="DC38" s="380">
        <f t="shared" si="391"/>
        <v>740</v>
      </c>
      <c r="DD38" s="380">
        <v>378</v>
      </c>
      <c r="DE38" s="380">
        <v>328</v>
      </c>
      <c r="DF38" s="380">
        <f t="shared" si="392"/>
        <v>706</v>
      </c>
      <c r="DG38" s="380">
        <v>398</v>
      </c>
      <c r="DH38" s="380">
        <v>377</v>
      </c>
      <c r="DI38" s="380">
        <f t="shared" si="393"/>
        <v>775</v>
      </c>
      <c r="DJ38" s="380">
        <v>341</v>
      </c>
      <c r="DK38" s="380">
        <v>351</v>
      </c>
      <c r="DL38" s="380">
        <f t="shared" si="394"/>
        <v>692</v>
      </c>
      <c r="DM38" s="380">
        <v>329</v>
      </c>
      <c r="DN38" s="380">
        <v>340</v>
      </c>
      <c r="DO38" s="380">
        <f t="shared" si="395"/>
        <v>669</v>
      </c>
      <c r="DP38" s="380">
        <v>337</v>
      </c>
      <c r="DQ38" s="380">
        <v>339</v>
      </c>
      <c r="DR38" s="380">
        <f t="shared" si="396"/>
        <v>676</v>
      </c>
      <c r="DS38" s="380">
        <v>369</v>
      </c>
      <c r="DT38" s="380">
        <v>339</v>
      </c>
      <c r="DU38" s="380">
        <f t="shared" si="397"/>
        <v>708</v>
      </c>
      <c r="DV38" s="380">
        <v>315</v>
      </c>
      <c r="DW38" s="380">
        <v>340</v>
      </c>
      <c r="DX38" s="380">
        <f t="shared" si="398"/>
        <v>655</v>
      </c>
      <c r="DY38" s="380">
        <v>368</v>
      </c>
      <c r="DZ38" s="380">
        <v>379</v>
      </c>
      <c r="EA38" s="380">
        <f t="shared" si="399"/>
        <v>747</v>
      </c>
      <c r="EB38" s="380">
        <v>397</v>
      </c>
      <c r="EC38" s="380">
        <v>396</v>
      </c>
      <c r="ED38" s="380">
        <f t="shared" si="400"/>
        <v>793</v>
      </c>
      <c r="EE38" s="380">
        <v>393</v>
      </c>
      <c r="EF38" s="380">
        <v>358</v>
      </c>
      <c r="EG38" s="380">
        <f t="shared" si="401"/>
        <v>751</v>
      </c>
      <c r="EH38" s="380">
        <v>356</v>
      </c>
      <c r="EI38" s="380">
        <v>401</v>
      </c>
      <c r="EJ38" s="380">
        <f t="shared" si="402"/>
        <v>757</v>
      </c>
      <c r="EK38" s="380">
        <v>376</v>
      </c>
      <c r="EL38" s="380">
        <v>380</v>
      </c>
      <c r="EM38" s="380">
        <f t="shared" si="403"/>
        <v>756</v>
      </c>
      <c r="EN38" s="380">
        <v>338</v>
      </c>
      <c r="EO38" s="380">
        <v>394</v>
      </c>
      <c r="EP38" s="380">
        <f t="shared" si="404"/>
        <v>732</v>
      </c>
      <c r="EQ38" s="380">
        <v>338</v>
      </c>
      <c r="ER38" s="380">
        <v>390</v>
      </c>
      <c r="ES38" s="380">
        <f t="shared" si="405"/>
        <v>728</v>
      </c>
      <c r="ET38" s="380">
        <v>313</v>
      </c>
      <c r="EU38" s="380">
        <v>410</v>
      </c>
      <c r="EV38" s="380">
        <f t="shared" si="406"/>
        <v>723</v>
      </c>
      <c r="EW38" s="380">
        <v>325</v>
      </c>
      <c r="EX38" s="380">
        <v>425</v>
      </c>
      <c r="EY38" s="380">
        <f t="shared" si="407"/>
        <v>750</v>
      </c>
      <c r="EZ38" s="380">
        <v>315</v>
      </c>
      <c r="FA38" s="380">
        <v>391</v>
      </c>
      <c r="FB38" s="380">
        <f t="shared" si="408"/>
        <v>706</v>
      </c>
      <c r="FC38" s="380">
        <v>324</v>
      </c>
      <c r="FD38" s="380">
        <v>302</v>
      </c>
      <c r="FE38" s="380">
        <f t="shared" si="409"/>
        <v>626</v>
      </c>
      <c r="FF38" s="380">
        <v>294</v>
      </c>
      <c r="FG38" s="380">
        <v>317</v>
      </c>
      <c r="FH38" s="380">
        <f t="shared" si="410"/>
        <v>611</v>
      </c>
      <c r="FI38" s="380">
        <v>287</v>
      </c>
      <c r="FJ38" s="380">
        <v>282</v>
      </c>
      <c r="FK38" s="380">
        <f t="shared" si="411"/>
        <v>569</v>
      </c>
      <c r="FL38" s="380">
        <v>322</v>
      </c>
      <c r="FM38" s="380">
        <v>288</v>
      </c>
      <c r="FN38" s="380">
        <f t="shared" si="412"/>
        <v>610</v>
      </c>
      <c r="FO38" s="380">
        <v>301</v>
      </c>
      <c r="FP38" s="380">
        <v>259</v>
      </c>
      <c r="FQ38" s="380">
        <f t="shared" si="413"/>
        <v>560</v>
      </c>
      <c r="FR38" s="380">
        <v>240</v>
      </c>
      <c r="FS38" s="380">
        <v>249</v>
      </c>
      <c r="FT38" s="380">
        <f t="shared" si="414"/>
        <v>489</v>
      </c>
      <c r="FU38" s="380">
        <v>223</v>
      </c>
      <c r="FV38" s="380">
        <v>214</v>
      </c>
      <c r="FW38" s="380">
        <f t="shared" si="415"/>
        <v>437</v>
      </c>
      <c r="FX38" s="380">
        <v>185</v>
      </c>
      <c r="FY38" s="380">
        <v>162</v>
      </c>
      <c r="FZ38" s="380">
        <f t="shared" si="416"/>
        <v>347</v>
      </c>
      <c r="GA38" s="380">
        <v>198</v>
      </c>
      <c r="GB38" s="380">
        <v>141</v>
      </c>
      <c r="GC38" s="380">
        <f t="shared" si="417"/>
        <v>339</v>
      </c>
      <c r="GD38" s="380">
        <v>179</v>
      </c>
      <c r="GE38" s="380">
        <v>182</v>
      </c>
      <c r="GF38" s="380">
        <f t="shared" si="418"/>
        <v>361</v>
      </c>
      <c r="GG38" s="380">
        <v>149</v>
      </c>
      <c r="GH38" s="380">
        <v>116</v>
      </c>
      <c r="GI38" s="380">
        <f t="shared" si="419"/>
        <v>265</v>
      </c>
      <c r="GJ38" s="380">
        <v>121</v>
      </c>
      <c r="GK38" s="380">
        <v>117</v>
      </c>
      <c r="GL38" s="380">
        <f t="shared" si="420"/>
        <v>238</v>
      </c>
      <c r="GM38" s="380">
        <v>120</v>
      </c>
      <c r="GN38" s="380">
        <v>97</v>
      </c>
      <c r="GO38" s="380">
        <f t="shared" si="421"/>
        <v>217</v>
      </c>
      <c r="GP38" s="380">
        <v>93</v>
      </c>
      <c r="GQ38" s="380">
        <v>89</v>
      </c>
      <c r="GR38" s="380">
        <f t="shared" si="422"/>
        <v>182</v>
      </c>
      <c r="GS38" s="380">
        <v>112</v>
      </c>
      <c r="GT38" s="380">
        <v>101</v>
      </c>
      <c r="GU38" s="380">
        <f t="shared" si="423"/>
        <v>213</v>
      </c>
      <c r="GV38" s="380">
        <v>68</v>
      </c>
      <c r="GW38" s="380">
        <v>54</v>
      </c>
      <c r="GX38" s="380">
        <f t="shared" si="424"/>
        <v>122</v>
      </c>
      <c r="GY38" s="380">
        <v>70</v>
      </c>
      <c r="GZ38" s="380">
        <v>68</v>
      </c>
      <c r="HA38" s="380">
        <f t="shared" si="425"/>
        <v>138</v>
      </c>
      <c r="HB38" s="380">
        <v>51</v>
      </c>
      <c r="HC38" s="380">
        <v>67</v>
      </c>
      <c r="HD38" s="380">
        <f t="shared" si="426"/>
        <v>118</v>
      </c>
      <c r="HE38" s="380">
        <v>51</v>
      </c>
      <c r="HF38" s="380">
        <v>35</v>
      </c>
      <c r="HG38" s="380">
        <f t="shared" si="427"/>
        <v>86</v>
      </c>
      <c r="HH38" s="380">
        <v>52</v>
      </c>
      <c r="HI38" s="380">
        <v>51</v>
      </c>
      <c r="HJ38" s="380">
        <f t="shared" si="428"/>
        <v>103</v>
      </c>
      <c r="HK38" s="380">
        <v>54</v>
      </c>
      <c r="HL38" s="380">
        <v>37</v>
      </c>
      <c r="HM38" s="380">
        <f t="shared" si="429"/>
        <v>91</v>
      </c>
      <c r="HN38" s="380">
        <v>37</v>
      </c>
      <c r="HO38" s="380">
        <v>41</v>
      </c>
      <c r="HP38" s="380">
        <f t="shared" si="430"/>
        <v>78</v>
      </c>
      <c r="HQ38" s="380">
        <v>25</v>
      </c>
      <c r="HR38" s="380">
        <v>33</v>
      </c>
      <c r="HS38" s="380">
        <f t="shared" si="431"/>
        <v>58</v>
      </c>
      <c r="HT38" s="380">
        <v>29</v>
      </c>
      <c r="HU38" s="380">
        <v>25</v>
      </c>
      <c r="HV38" s="380">
        <f t="shared" si="432"/>
        <v>54</v>
      </c>
      <c r="HW38" s="380">
        <v>37</v>
      </c>
      <c r="HX38" s="380">
        <v>26</v>
      </c>
      <c r="HY38" s="380">
        <f t="shared" si="433"/>
        <v>63</v>
      </c>
      <c r="HZ38" s="380">
        <v>13</v>
      </c>
      <c r="IA38" s="380">
        <v>15</v>
      </c>
      <c r="IB38" s="380">
        <f t="shared" si="434"/>
        <v>28</v>
      </c>
      <c r="IC38" s="380">
        <v>13</v>
      </c>
      <c r="ID38" s="380">
        <v>16</v>
      </c>
      <c r="IE38" s="380">
        <f t="shared" si="435"/>
        <v>29</v>
      </c>
      <c r="IF38" s="380">
        <v>17</v>
      </c>
      <c r="IG38" s="380">
        <v>20</v>
      </c>
      <c r="IH38" s="380">
        <f t="shared" si="436"/>
        <v>37</v>
      </c>
      <c r="II38" s="380">
        <v>5</v>
      </c>
      <c r="IJ38" s="380">
        <v>22</v>
      </c>
      <c r="IK38" s="380">
        <f t="shared" si="437"/>
        <v>27</v>
      </c>
      <c r="IL38" s="380">
        <v>9</v>
      </c>
      <c r="IM38" s="380">
        <v>18</v>
      </c>
      <c r="IN38" s="380">
        <f t="shared" si="438"/>
        <v>27</v>
      </c>
      <c r="IO38" s="380">
        <v>13</v>
      </c>
      <c r="IP38" s="380">
        <v>6</v>
      </c>
      <c r="IQ38" s="380">
        <f t="shared" si="439"/>
        <v>19</v>
      </c>
      <c r="IR38" s="380">
        <v>8</v>
      </c>
      <c r="IS38" s="380">
        <v>11</v>
      </c>
      <c r="IT38" s="380">
        <f t="shared" si="440"/>
        <v>19</v>
      </c>
      <c r="IU38" s="380">
        <v>7</v>
      </c>
      <c r="IV38" s="380">
        <v>13</v>
      </c>
      <c r="IW38" s="380">
        <f t="shared" si="441"/>
        <v>20</v>
      </c>
      <c r="IX38" s="380">
        <v>5</v>
      </c>
      <c r="IY38" s="380">
        <v>3</v>
      </c>
      <c r="IZ38" s="380">
        <f t="shared" si="442"/>
        <v>8</v>
      </c>
      <c r="JA38" s="380">
        <v>3</v>
      </c>
      <c r="JB38" s="380">
        <v>11</v>
      </c>
      <c r="JC38" s="380">
        <f t="shared" si="443"/>
        <v>14</v>
      </c>
      <c r="JD38" s="380">
        <v>4</v>
      </c>
      <c r="JE38" s="380">
        <v>5</v>
      </c>
      <c r="JF38" s="380">
        <f t="shared" si="444"/>
        <v>9</v>
      </c>
      <c r="JG38" s="380">
        <v>2</v>
      </c>
      <c r="JH38" s="380">
        <v>6</v>
      </c>
      <c r="JI38" s="380">
        <f t="shared" si="445"/>
        <v>8</v>
      </c>
      <c r="JJ38" s="380">
        <v>0</v>
      </c>
      <c r="JK38" s="380">
        <v>0</v>
      </c>
      <c r="JL38" s="380">
        <f t="shared" si="446"/>
        <v>0</v>
      </c>
      <c r="JM38" s="380">
        <v>1</v>
      </c>
      <c r="JN38" s="380">
        <v>1</v>
      </c>
      <c r="JO38" s="380">
        <f t="shared" si="447"/>
        <v>2</v>
      </c>
      <c r="JP38" s="380">
        <v>2</v>
      </c>
      <c r="JQ38" s="380">
        <v>5</v>
      </c>
      <c r="JR38" s="380">
        <f t="shared" si="448"/>
        <v>7</v>
      </c>
      <c r="JS38" s="380">
        <v>0</v>
      </c>
      <c r="JT38" s="380">
        <v>2</v>
      </c>
      <c r="JU38" s="380">
        <f t="shared" si="449"/>
        <v>2</v>
      </c>
      <c r="JV38" s="380">
        <v>1</v>
      </c>
      <c r="JW38" s="380">
        <v>2</v>
      </c>
      <c r="JX38" s="380">
        <f t="shared" si="450"/>
        <v>3</v>
      </c>
      <c r="JY38" s="380">
        <v>0</v>
      </c>
      <c r="JZ38" s="380">
        <v>1</v>
      </c>
      <c r="KA38" s="380">
        <f t="shared" si="451"/>
        <v>1</v>
      </c>
      <c r="KB38" s="380">
        <v>0</v>
      </c>
      <c r="KC38" s="380">
        <v>0</v>
      </c>
      <c r="KD38" s="380">
        <f t="shared" si="452"/>
        <v>0</v>
      </c>
      <c r="KE38" s="380">
        <v>0</v>
      </c>
      <c r="KF38" s="380">
        <v>0</v>
      </c>
      <c r="KG38" s="380">
        <f t="shared" si="453"/>
        <v>0</v>
      </c>
      <c r="KH38" s="380">
        <v>0</v>
      </c>
      <c r="KI38" s="380">
        <v>0</v>
      </c>
      <c r="KJ38" s="380">
        <f t="shared" si="454"/>
        <v>0</v>
      </c>
      <c r="KK38" s="380">
        <v>0</v>
      </c>
      <c r="KL38" s="380">
        <v>0</v>
      </c>
      <c r="KM38" s="380">
        <f t="shared" si="455"/>
        <v>0</v>
      </c>
      <c r="KN38" s="380">
        <v>0</v>
      </c>
      <c r="KO38" s="380">
        <v>0</v>
      </c>
      <c r="KP38" s="380">
        <f t="shared" si="456"/>
        <v>0</v>
      </c>
      <c r="KQ38" s="380">
        <v>1</v>
      </c>
      <c r="KR38" s="380">
        <v>0</v>
      </c>
      <c r="KS38" s="380">
        <f t="shared" si="457"/>
        <v>1</v>
      </c>
      <c r="KT38" s="380">
        <v>0</v>
      </c>
      <c r="KU38" s="380">
        <v>0</v>
      </c>
      <c r="KV38" s="380">
        <f t="shared" si="458"/>
        <v>0</v>
      </c>
      <c r="KW38" s="380">
        <v>0</v>
      </c>
      <c r="KX38" s="380">
        <v>0</v>
      </c>
      <c r="KY38" s="380">
        <f t="shared" si="459"/>
        <v>0</v>
      </c>
      <c r="KZ38" s="380">
        <v>0</v>
      </c>
      <c r="LA38" s="380">
        <v>0</v>
      </c>
      <c r="LB38" s="380">
        <f t="shared" si="460"/>
        <v>0</v>
      </c>
      <c r="LC38" s="380">
        <v>0</v>
      </c>
      <c r="LD38" s="380">
        <v>0</v>
      </c>
      <c r="LE38" s="380">
        <f t="shared" si="461"/>
        <v>0</v>
      </c>
      <c r="LF38" s="380">
        <v>0</v>
      </c>
      <c r="LG38" s="380">
        <v>0</v>
      </c>
      <c r="LH38" s="380">
        <f t="shared" si="462"/>
        <v>0</v>
      </c>
      <c r="LI38" s="380">
        <v>0</v>
      </c>
      <c r="LJ38" s="380">
        <v>0</v>
      </c>
      <c r="LK38" s="380">
        <f t="shared" si="463"/>
        <v>0</v>
      </c>
      <c r="LL38" s="380">
        <v>0</v>
      </c>
      <c r="LM38" s="380">
        <v>0</v>
      </c>
      <c r="LN38" s="380">
        <f t="shared" si="464"/>
        <v>0</v>
      </c>
      <c r="LO38" s="380">
        <v>0</v>
      </c>
      <c r="LP38" s="380">
        <v>0</v>
      </c>
      <c r="LQ38" s="380">
        <f t="shared" si="465"/>
        <v>0</v>
      </c>
      <c r="LR38" s="380">
        <v>0</v>
      </c>
      <c r="LS38" s="380">
        <v>0</v>
      </c>
      <c r="LT38" s="380">
        <f t="shared" si="466"/>
        <v>0</v>
      </c>
      <c r="LU38" s="380">
        <v>0</v>
      </c>
      <c r="LV38" s="380">
        <v>0</v>
      </c>
      <c r="LW38" s="380">
        <f t="shared" si="467"/>
        <v>0</v>
      </c>
      <c r="LX38" s="380">
        <v>0</v>
      </c>
      <c r="LY38" s="380">
        <v>0</v>
      </c>
      <c r="LZ38" s="380">
        <f t="shared" si="468"/>
        <v>0</v>
      </c>
      <c r="MA38" s="380">
        <v>0</v>
      </c>
      <c r="MB38" s="380">
        <v>0</v>
      </c>
      <c r="MC38" s="380">
        <f t="shared" si="469"/>
        <v>0</v>
      </c>
      <c r="MD38" s="380">
        <v>0</v>
      </c>
      <c r="ME38" s="380">
        <v>0</v>
      </c>
      <c r="MF38" s="380">
        <f t="shared" si="470"/>
        <v>0</v>
      </c>
      <c r="MG38" s="380">
        <v>0</v>
      </c>
      <c r="MH38" s="380">
        <v>0</v>
      </c>
      <c r="MI38" s="380">
        <f t="shared" si="471"/>
        <v>0</v>
      </c>
      <c r="MJ38" s="380">
        <v>0</v>
      </c>
      <c r="MK38" s="380">
        <v>0</v>
      </c>
      <c r="ML38" s="380">
        <f t="shared" si="472"/>
        <v>0</v>
      </c>
      <c r="MM38" s="380">
        <v>0</v>
      </c>
      <c r="MN38" s="380">
        <v>0</v>
      </c>
      <c r="MO38" s="380">
        <f t="shared" si="473"/>
        <v>0</v>
      </c>
      <c r="MP38" s="380">
        <v>0</v>
      </c>
      <c r="MQ38" s="380">
        <v>0</v>
      </c>
      <c r="MR38" s="380">
        <f t="shared" si="474"/>
        <v>0</v>
      </c>
      <c r="MS38" s="380">
        <v>0</v>
      </c>
      <c r="MT38" s="380">
        <v>0</v>
      </c>
      <c r="MU38" s="380">
        <f t="shared" si="475"/>
        <v>0</v>
      </c>
      <c r="MV38" s="380">
        <v>0</v>
      </c>
      <c r="MW38" s="380">
        <v>0</v>
      </c>
      <c r="MX38" s="380">
        <f t="shared" si="476"/>
        <v>0</v>
      </c>
      <c r="MY38" s="380">
        <v>0</v>
      </c>
      <c r="MZ38" s="380">
        <v>0</v>
      </c>
      <c r="NA38" s="551">
        <f t="shared" si="477"/>
        <v>0</v>
      </c>
      <c r="NB38" s="380">
        <v>0</v>
      </c>
      <c r="NC38" s="380">
        <v>0</v>
      </c>
      <c r="ND38" s="549">
        <f t="shared" si="478"/>
        <v>0</v>
      </c>
      <c r="NE38" s="542">
        <f t="shared" si="485"/>
        <v>22887</v>
      </c>
      <c r="NF38" s="376">
        <f t="shared" si="485"/>
        <v>22746</v>
      </c>
      <c r="NG38" s="598">
        <f t="shared" si="480"/>
        <v>45633</v>
      </c>
      <c r="NH38" s="599">
        <f t="shared" si="481"/>
        <v>1795</v>
      </c>
      <c r="NI38" s="600">
        <f t="shared" si="481"/>
        <v>1734</v>
      </c>
      <c r="NJ38" s="598">
        <f t="shared" si="482"/>
        <v>3529</v>
      </c>
    </row>
    <row r="39" spans="1:374" x14ac:dyDescent="0.3">
      <c r="A39" s="552" t="s">
        <v>282</v>
      </c>
      <c r="B39" s="601" t="s">
        <v>79</v>
      </c>
      <c r="C39" s="556">
        <v>695</v>
      </c>
      <c r="D39" s="384">
        <v>655</v>
      </c>
      <c r="E39" s="384">
        <f t="shared" si="357"/>
        <v>1350</v>
      </c>
      <c r="F39" s="384">
        <v>864</v>
      </c>
      <c r="G39" s="384">
        <v>779</v>
      </c>
      <c r="H39" s="384">
        <f t="shared" si="358"/>
        <v>1643</v>
      </c>
      <c r="I39" s="384">
        <v>1062</v>
      </c>
      <c r="J39" s="384">
        <v>938</v>
      </c>
      <c r="K39" s="384">
        <f t="shared" si="359"/>
        <v>2000</v>
      </c>
      <c r="L39" s="384">
        <v>1136</v>
      </c>
      <c r="M39" s="384">
        <v>1086</v>
      </c>
      <c r="N39" s="384">
        <f t="shared" si="360"/>
        <v>2222</v>
      </c>
      <c r="O39" s="384">
        <v>1178</v>
      </c>
      <c r="P39" s="384">
        <v>1117</v>
      </c>
      <c r="Q39" s="384">
        <f t="shared" si="361"/>
        <v>2295</v>
      </c>
      <c r="R39" s="384">
        <v>1361</v>
      </c>
      <c r="S39" s="384">
        <v>1230</v>
      </c>
      <c r="T39" s="384">
        <f t="shared" si="362"/>
        <v>2591</v>
      </c>
      <c r="U39" s="384">
        <v>1395</v>
      </c>
      <c r="V39" s="384">
        <v>1289</v>
      </c>
      <c r="W39" s="384">
        <f t="shared" si="363"/>
        <v>2684</v>
      </c>
      <c r="X39" s="384">
        <v>1444</v>
      </c>
      <c r="Y39" s="384">
        <v>1373</v>
      </c>
      <c r="Z39" s="384">
        <f t="shared" si="364"/>
        <v>2817</v>
      </c>
      <c r="AA39" s="384">
        <v>1398</v>
      </c>
      <c r="AB39" s="384">
        <v>1304</v>
      </c>
      <c r="AC39" s="384">
        <f t="shared" si="365"/>
        <v>2702</v>
      </c>
      <c r="AD39" s="384">
        <v>1312</v>
      </c>
      <c r="AE39" s="384">
        <v>1172</v>
      </c>
      <c r="AF39" s="384">
        <f t="shared" si="366"/>
        <v>2484</v>
      </c>
      <c r="AG39" s="384">
        <v>1432</v>
      </c>
      <c r="AH39" s="384">
        <v>1268</v>
      </c>
      <c r="AI39" s="384">
        <f t="shared" si="367"/>
        <v>2700</v>
      </c>
      <c r="AJ39" s="384">
        <v>1327</v>
      </c>
      <c r="AK39" s="384">
        <v>1303</v>
      </c>
      <c r="AL39" s="384">
        <f t="shared" si="368"/>
        <v>2630</v>
      </c>
      <c r="AM39" s="384">
        <v>1357</v>
      </c>
      <c r="AN39" s="384">
        <v>1232</v>
      </c>
      <c r="AO39" s="384">
        <f t="shared" si="369"/>
        <v>2589</v>
      </c>
      <c r="AP39" s="384">
        <v>1360</v>
      </c>
      <c r="AQ39" s="384">
        <v>1265</v>
      </c>
      <c r="AR39" s="384">
        <f t="shared" si="370"/>
        <v>2625</v>
      </c>
      <c r="AS39" s="384">
        <v>1442</v>
      </c>
      <c r="AT39" s="384">
        <v>1340</v>
      </c>
      <c r="AU39" s="384">
        <f t="shared" si="371"/>
        <v>2782</v>
      </c>
      <c r="AV39" s="384">
        <v>1321</v>
      </c>
      <c r="AW39" s="384">
        <v>1213</v>
      </c>
      <c r="AX39" s="384">
        <f t="shared" si="372"/>
        <v>2534</v>
      </c>
      <c r="AY39" s="384">
        <v>1361</v>
      </c>
      <c r="AZ39" s="384">
        <v>1247</v>
      </c>
      <c r="BA39" s="384">
        <f t="shared" si="373"/>
        <v>2608</v>
      </c>
      <c r="BB39" s="384">
        <v>1202</v>
      </c>
      <c r="BC39" s="384">
        <v>1098</v>
      </c>
      <c r="BD39" s="384">
        <f t="shared" si="374"/>
        <v>2300</v>
      </c>
      <c r="BE39" s="384">
        <v>1210</v>
      </c>
      <c r="BF39" s="384">
        <v>1229</v>
      </c>
      <c r="BG39" s="384">
        <f t="shared" si="375"/>
        <v>2439</v>
      </c>
      <c r="BH39" s="384">
        <v>1366</v>
      </c>
      <c r="BI39" s="384">
        <v>1275</v>
      </c>
      <c r="BJ39" s="384">
        <f t="shared" si="376"/>
        <v>2641</v>
      </c>
      <c r="BK39" s="384">
        <v>1257</v>
      </c>
      <c r="BL39" s="384">
        <v>1143</v>
      </c>
      <c r="BM39" s="384">
        <f t="shared" si="377"/>
        <v>2400</v>
      </c>
      <c r="BN39" s="384">
        <v>1270</v>
      </c>
      <c r="BO39" s="384">
        <v>1240</v>
      </c>
      <c r="BP39" s="384">
        <f t="shared" si="378"/>
        <v>2510</v>
      </c>
      <c r="BQ39" s="384">
        <v>1408</v>
      </c>
      <c r="BR39" s="384">
        <v>1203</v>
      </c>
      <c r="BS39" s="384">
        <f t="shared" si="379"/>
        <v>2611</v>
      </c>
      <c r="BT39" s="384">
        <v>1511</v>
      </c>
      <c r="BU39" s="384">
        <v>1376</v>
      </c>
      <c r="BV39" s="384">
        <f t="shared" si="380"/>
        <v>2887</v>
      </c>
      <c r="BW39" s="384">
        <v>1350</v>
      </c>
      <c r="BX39" s="384">
        <v>1323</v>
      </c>
      <c r="BY39" s="384">
        <f t="shared" si="381"/>
        <v>2673</v>
      </c>
      <c r="BZ39" s="384">
        <v>1428</v>
      </c>
      <c r="CA39" s="384">
        <v>1388</v>
      </c>
      <c r="CB39" s="384">
        <f t="shared" si="382"/>
        <v>2816</v>
      </c>
      <c r="CC39" s="384">
        <v>1437</v>
      </c>
      <c r="CD39" s="384">
        <v>1396</v>
      </c>
      <c r="CE39" s="384">
        <f t="shared" si="383"/>
        <v>2833</v>
      </c>
      <c r="CF39" s="384">
        <v>1323</v>
      </c>
      <c r="CG39" s="384">
        <v>1241</v>
      </c>
      <c r="CH39" s="384">
        <f t="shared" si="384"/>
        <v>2564</v>
      </c>
      <c r="CI39" s="384">
        <v>1364</v>
      </c>
      <c r="CJ39" s="384">
        <v>1322</v>
      </c>
      <c r="CK39" s="384">
        <f t="shared" si="385"/>
        <v>2686</v>
      </c>
      <c r="CL39" s="384">
        <v>1363</v>
      </c>
      <c r="CM39" s="384">
        <v>1297</v>
      </c>
      <c r="CN39" s="384">
        <f t="shared" si="386"/>
        <v>2660</v>
      </c>
      <c r="CO39" s="384">
        <v>1369</v>
      </c>
      <c r="CP39" s="384">
        <v>1281</v>
      </c>
      <c r="CQ39" s="384">
        <f t="shared" si="387"/>
        <v>2650</v>
      </c>
      <c r="CR39" s="384">
        <v>1353</v>
      </c>
      <c r="CS39" s="384">
        <v>1346</v>
      </c>
      <c r="CT39" s="384">
        <f t="shared" si="388"/>
        <v>2699</v>
      </c>
      <c r="CU39" s="384">
        <v>1262</v>
      </c>
      <c r="CV39" s="384">
        <v>1382</v>
      </c>
      <c r="CW39" s="384">
        <f t="shared" si="389"/>
        <v>2644</v>
      </c>
      <c r="CX39" s="384">
        <v>1310</v>
      </c>
      <c r="CY39" s="384">
        <v>1352</v>
      </c>
      <c r="CZ39" s="384">
        <f t="shared" si="390"/>
        <v>2662</v>
      </c>
      <c r="DA39" s="384">
        <v>1357</v>
      </c>
      <c r="DB39" s="384">
        <v>1281</v>
      </c>
      <c r="DC39" s="384">
        <f t="shared" si="391"/>
        <v>2638</v>
      </c>
      <c r="DD39" s="384">
        <v>1274</v>
      </c>
      <c r="DE39" s="384">
        <v>1291</v>
      </c>
      <c r="DF39" s="384">
        <f t="shared" si="392"/>
        <v>2565</v>
      </c>
      <c r="DG39" s="384">
        <v>1348</v>
      </c>
      <c r="DH39" s="384">
        <v>1291</v>
      </c>
      <c r="DI39" s="384">
        <f t="shared" si="393"/>
        <v>2639</v>
      </c>
      <c r="DJ39" s="384">
        <v>1222</v>
      </c>
      <c r="DK39" s="384">
        <v>1203</v>
      </c>
      <c r="DL39" s="384">
        <f t="shared" si="394"/>
        <v>2425</v>
      </c>
      <c r="DM39" s="384">
        <v>1220</v>
      </c>
      <c r="DN39" s="384">
        <v>1158</v>
      </c>
      <c r="DO39" s="384">
        <f t="shared" si="395"/>
        <v>2378</v>
      </c>
      <c r="DP39" s="384">
        <v>1251</v>
      </c>
      <c r="DQ39" s="384">
        <v>1175</v>
      </c>
      <c r="DR39" s="384">
        <f t="shared" si="396"/>
        <v>2426</v>
      </c>
      <c r="DS39" s="384">
        <v>1309</v>
      </c>
      <c r="DT39" s="384">
        <v>1243</v>
      </c>
      <c r="DU39" s="384">
        <f t="shared" si="397"/>
        <v>2552</v>
      </c>
      <c r="DV39" s="384">
        <v>1326</v>
      </c>
      <c r="DW39" s="384">
        <v>1203</v>
      </c>
      <c r="DX39" s="384">
        <f t="shared" si="398"/>
        <v>2529</v>
      </c>
      <c r="DY39" s="384">
        <v>1186</v>
      </c>
      <c r="DZ39" s="384">
        <v>1272</v>
      </c>
      <c r="EA39" s="384">
        <f t="shared" si="399"/>
        <v>2458</v>
      </c>
      <c r="EB39" s="384">
        <v>1254</v>
      </c>
      <c r="EC39" s="384">
        <v>1366</v>
      </c>
      <c r="ED39" s="384">
        <f t="shared" si="400"/>
        <v>2620</v>
      </c>
      <c r="EE39" s="384">
        <v>1320</v>
      </c>
      <c r="EF39" s="384">
        <v>1348</v>
      </c>
      <c r="EG39" s="384">
        <f t="shared" si="401"/>
        <v>2668</v>
      </c>
      <c r="EH39" s="384">
        <v>1207</v>
      </c>
      <c r="EI39" s="384">
        <v>1220</v>
      </c>
      <c r="EJ39" s="384">
        <f t="shared" si="402"/>
        <v>2427</v>
      </c>
      <c r="EK39" s="384">
        <v>1187</v>
      </c>
      <c r="EL39" s="384">
        <v>1231</v>
      </c>
      <c r="EM39" s="384">
        <f t="shared" si="403"/>
        <v>2418</v>
      </c>
      <c r="EN39" s="384">
        <v>1143</v>
      </c>
      <c r="EO39" s="384">
        <v>1149</v>
      </c>
      <c r="EP39" s="384">
        <f t="shared" si="404"/>
        <v>2292</v>
      </c>
      <c r="EQ39" s="384">
        <v>1010</v>
      </c>
      <c r="ER39" s="384">
        <v>1147</v>
      </c>
      <c r="ES39" s="384">
        <f t="shared" si="405"/>
        <v>2157</v>
      </c>
      <c r="ET39" s="384">
        <v>1024</v>
      </c>
      <c r="EU39" s="384">
        <v>1137</v>
      </c>
      <c r="EV39" s="384">
        <f t="shared" si="406"/>
        <v>2161</v>
      </c>
      <c r="EW39" s="384">
        <v>1050</v>
      </c>
      <c r="EX39" s="384">
        <v>1138</v>
      </c>
      <c r="EY39" s="384">
        <f t="shared" si="407"/>
        <v>2188</v>
      </c>
      <c r="EZ39" s="384">
        <v>992</v>
      </c>
      <c r="FA39" s="384">
        <v>1134</v>
      </c>
      <c r="FB39" s="384">
        <f t="shared" si="408"/>
        <v>2126</v>
      </c>
      <c r="FC39" s="384">
        <v>1005</v>
      </c>
      <c r="FD39" s="384">
        <v>1052</v>
      </c>
      <c r="FE39" s="384">
        <f t="shared" si="409"/>
        <v>2057</v>
      </c>
      <c r="FF39" s="384">
        <v>973</v>
      </c>
      <c r="FG39" s="384">
        <v>1144</v>
      </c>
      <c r="FH39" s="384">
        <f t="shared" si="410"/>
        <v>2117</v>
      </c>
      <c r="FI39" s="384">
        <v>1032</v>
      </c>
      <c r="FJ39" s="384">
        <v>1106</v>
      </c>
      <c r="FK39" s="384">
        <f t="shared" si="411"/>
        <v>2138</v>
      </c>
      <c r="FL39" s="384">
        <v>962</v>
      </c>
      <c r="FM39" s="384">
        <v>1017</v>
      </c>
      <c r="FN39" s="384">
        <f t="shared" si="412"/>
        <v>1979</v>
      </c>
      <c r="FO39" s="384">
        <v>958</v>
      </c>
      <c r="FP39" s="384">
        <v>1067</v>
      </c>
      <c r="FQ39" s="384">
        <f t="shared" si="413"/>
        <v>2025</v>
      </c>
      <c r="FR39" s="384">
        <v>981</v>
      </c>
      <c r="FS39" s="384">
        <v>990</v>
      </c>
      <c r="FT39" s="384">
        <f t="shared" si="414"/>
        <v>1971</v>
      </c>
      <c r="FU39" s="384">
        <v>854</v>
      </c>
      <c r="FV39" s="384">
        <v>988</v>
      </c>
      <c r="FW39" s="384">
        <f t="shared" si="415"/>
        <v>1842</v>
      </c>
      <c r="FX39" s="384">
        <v>708</v>
      </c>
      <c r="FY39" s="384">
        <v>874</v>
      </c>
      <c r="FZ39" s="384">
        <f t="shared" si="416"/>
        <v>1582</v>
      </c>
      <c r="GA39" s="384">
        <v>776</v>
      </c>
      <c r="GB39" s="384">
        <v>902</v>
      </c>
      <c r="GC39" s="384">
        <f t="shared" si="417"/>
        <v>1678</v>
      </c>
      <c r="GD39" s="384">
        <v>721</v>
      </c>
      <c r="GE39" s="384">
        <v>890</v>
      </c>
      <c r="GF39" s="384">
        <f t="shared" si="418"/>
        <v>1611</v>
      </c>
      <c r="GG39" s="384">
        <v>662</v>
      </c>
      <c r="GH39" s="384">
        <v>827</v>
      </c>
      <c r="GI39" s="384">
        <f t="shared" si="419"/>
        <v>1489</v>
      </c>
      <c r="GJ39" s="384">
        <v>671</v>
      </c>
      <c r="GK39" s="384">
        <v>761</v>
      </c>
      <c r="GL39" s="384">
        <f t="shared" si="420"/>
        <v>1432</v>
      </c>
      <c r="GM39" s="384">
        <v>647</v>
      </c>
      <c r="GN39" s="384">
        <v>673</v>
      </c>
      <c r="GO39" s="384">
        <f t="shared" si="421"/>
        <v>1320</v>
      </c>
      <c r="GP39" s="384">
        <v>584</v>
      </c>
      <c r="GQ39" s="384">
        <v>611</v>
      </c>
      <c r="GR39" s="384">
        <f t="shared" si="422"/>
        <v>1195</v>
      </c>
      <c r="GS39" s="384">
        <v>667</v>
      </c>
      <c r="GT39" s="384">
        <v>614</v>
      </c>
      <c r="GU39" s="384">
        <f t="shared" si="423"/>
        <v>1281</v>
      </c>
      <c r="GV39" s="384">
        <v>517</v>
      </c>
      <c r="GW39" s="384">
        <v>502</v>
      </c>
      <c r="GX39" s="384">
        <f t="shared" si="424"/>
        <v>1019</v>
      </c>
      <c r="GY39" s="384">
        <v>494</v>
      </c>
      <c r="GZ39" s="384">
        <v>442</v>
      </c>
      <c r="HA39" s="384">
        <f t="shared" si="425"/>
        <v>936</v>
      </c>
      <c r="HB39" s="384">
        <v>388</v>
      </c>
      <c r="HC39" s="384">
        <v>324</v>
      </c>
      <c r="HD39" s="384">
        <f t="shared" si="426"/>
        <v>712</v>
      </c>
      <c r="HE39" s="384">
        <v>342</v>
      </c>
      <c r="HF39" s="384">
        <v>315</v>
      </c>
      <c r="HG39" s="384">
        <f t="shared" si="427"/>
        <v>657</v>
      </c>
      <c r="HH39" s="384">
        <v>327</v>
      </c>
      <c r="HI39" s="384">
        <v>274</v>
      </c>
      <c r="HJ39" s="384">
        <f t="shared" si="428"/>
        <v>601</v>
      </c>
      <c r="HK39" s="384">
        <v>238</v>
      </c>
      <c r="HL39" s="384">
        <v>256</v>
      </c>
      <c r="HM39" s="384">
        <f t="shared" si="429"/>
        <v>494</v>
      </c>
      <c r="HN39" s="384">
        <v>231</v>
      </c>
      <c r="HO39" s="384">
        <v>226</v>
      </c>
      <c r="HP39" s="384">
        <f t="shared" si="430"/>
        <v>457</v>
      </c>
      <c r="HQ39" s="384">
        <v>185</v>
      </c>
      <c r="HR39" s="384">
        <v>180</v>
      </c>
      <c r="HS39" s="384">
        <f t="shared" si="431"/>
        <v>365</v>
      </c>
      <c r="HT39" s="384">
        <v>178</v>
      </c>
      <c r="HU39" s="384">
        <v>172</v>
      </c>
      <c r="HV39" s="384">
        <f t="shared" si="432"/>
        <v>350</v>
      </c>
      <c r="HW39" s="384">
        <v>125</v>
      </c>
      <c r="HX39" s="384">
        <v>148</v>
      </c>
      <c r="HY39" s="384">
        <f t="shared" si="433"/>
        <v>273</v>
      </c>
      <c r="HZ39" s="384">
        <v>96</v>
      </c>
      <c r="IA39" s="384">
        <v>103</v>
      </c>
      <c r="IB39" s="384">
        <f t="shared" si="434"/>
        <v>199</v>
      </c>
      <c r="IC39" s="384">
        <v>77</v>
      </c>
      <c r="ID39" s="384">
        <v>112</v>
      </c>
      <c r="IE39" s="384">
        <f t="shared" si="435"/>
        <v>189</v>
      </c>
      <c r="IF39" s="384">
        <v>64</v>
      </c>
      <c r="IG39" s="384">
        <v>87</v>
      </c>
      <c r="IH39" s="384">
        <f t="shared" si="436"/>
        <v>151</v>
      </c>
      <c r="II39" s="384">
        <v>69</v>
      </c>
      <c r="IJ39" s="384">
        <v>96</v>
      </c>
      <c r="IK39" s="384">
        <f t="shared" si="437"/>
        <v>165</v>
      </c>
      <c r="IL39" s="384">
        <v>54</v>
      </c>
      <c r="IM39" s="384">
        <v>77</v>
      </c>
      <c r="IN39" s="384">
        <f t="shared" si="438"/>
        <v>131</v>
      </c>
      <c r="IO39" s="384">
        <v>43</v>
      </c>
      <c r="IP39" s="384">
        <v>61</v>
      </c>
      <c r="IQ39" s="384">
        <f t="shared" si="439"/>
        <v>104</v>
      </c>
      <c r="IR39" s="384">
        <v>39</v>
      </c>
      <c r="IS39" s="384">
        <v>64</v>
      </c>
      <c r="IT39" s="384">
        <f t="shared" si="440"/>
        <v>103</v>
      </c>
      <c r="IU39" s="384">
        <v>33</v>
      </c>
      <c r="IV39" s="384">
        <v>43</v>
      </c>
      <c r="IW39" s="384">
        <f t="shared" si="441"/>
        <v>76</v>
      </c>
      <c r="IX39" s="384">
        <v>26</v>
      </c>
      <c r="IY39" s="384">
        <v>45</v>
      </c>
      <c r="IZ39" s="384">
        <f t="shared" si="442"/>
        <v>71</v>
      </c>
      <c r="JA39" s="384">
        <v>29</v>
      </c>
      <c r="JB39" s="384">
        <v>39</v>
      </c>
      <c r="JC39" s="384">
        <f t="shared" si="443"/>
        <v>68</v>
      </c>
      <c r="JD39" s="384">
        <v>21</v>
      </c>
      <c r="JE39" s="384">
        <v>22</v>
      </c>
      <c r="JF39" s="384">
        <f t="shared" si="444"/>
        <v>43</v>
      </c>
      <c r="JG39" s="384">
        <v>12</v>
      </c>
      <c r="JH39" s="384">
        <v>19</v>
      </c>
      <c r="JI39" s="384">
        <f t="shared" si="445"/>
        <v>31</v>
      </c>
      <c r="JJ39" s="384">
        <v>15</v>
      </c>
      <c r="JK39" s="384">
        <v>15</v>
      </c>
      <c r="JL39" s="384">
        <f t="shared" si="446"/>
        <v>30</v>
      </c>
      <c r="JM39" s="384">
        <v>9</v>
      </c>
      <c r="JN39" s="384">
        <v>18</v>
      </c>
      <c r="JO39" s="384">
        <f t="shared" si="447"/>
        <v>27</v>
      </c>
      <c r="JP39" s="384">
        <v>7</v>
      </c>
      <c r="JQ39" s="384">
        <v>13</v>
      </c>
      <c r="JR39" s="384">
        <f t="shared" si="448"/>
        <v>20</v>
      </c>
      <c r="JS39" s="384">
        <v>2</v>
      </c>
      <c r="JT39" s="384">
        <v>15</v>
      </c>
      <c r="JU39" s="384">
        <f t="shared" si="449"/>
        <v>17</v>
      </c>
      <c r="JV39" s="384">
        <v>5</v>
      </c>
      <c r="JW39" s="384">
        <v>14</v>
      </c>
      <c r="JX39" s="384">
        <f t="shared" si="450"/>
        <v>19</v>
      </c>
      <c r="JY39" s="384">
        <v>7</v>
      </c>
      <c r="JZ39" s="384">
        <v>2</v>
      </c>
      <c r="KA39" s="384">
        <f t="shared" si="451"/>
        <v>9</v>
      </c>
      <c r="KB39" s="384">
        <v>0</v>
      </c>
      <c r="KC39" s="384">
        <v>0</v>
      </c>
      <c r="KD39" s="384">
        <f t="shared" si="452"/>
        <v>0</v>
      </c>
      <c r="KE39" s="384">
        <v>0</v>
      </c>
      <c r="KF39" s="384">
        <v>0</v>
      </c>
      <c r="KG39" s="384">
        <f t="shared" si="453"/>
        <v>0</v>
      </c>
      <c r="KH39" s="384">
        <v>0</v>
      </c>
      <c r="KI39" s="384">
        <v>1</v>
      </c>
      <c r="KJ39" s="384">
        <f t="shared" si="454"/>
        <v>1</v>
      </c>
      <c r="KK39" s="384">
        <v>0</v>
      </c>
      <c r="KL39" s="384">
        <v>2</v>
      </c>
      <c r="KM39" s="384">
        <f t="shared" si="455"/>
        <v>2</v>
      </c>
      <c r="KN39" s="384">
        <v>0</v>
      </c>
      <c r="KO39" s="384">
        <v>2</v>
      </c>
      <c r="KP39" s="384">
        <f t="shared" si="456"/>
        <v>2</v>
      </c>
      <c r="KQ39" s="384">
        <v>0</v>
      </c>
      <c r="KR39" s="384">
        <v>0</v>
      </c>
      <c r="KS39" s="384">
        <f t="shared" si="457"/>
        <v>0</v>
      </c>
      <c r="KT39" s="384">
        <v>0</v>
      </c>
      <c r="KU39" s="384">
        <v>1</v>
      </c>
      <c r="KV39" s="384">
        <f t="shared" si="458"/>
        <v>1</v>
      </c>
      <c r="KW39" s="384">
        <v>0</v>
      </c>
      <c r="KX39" s="384">
        <v>0</v>
      </c>
      <c r="KY39" s="384">
        <f t="shared" si="459"/>
        <v>0</v>
      </c>
      <c r="KZ39" s="384">
        <v>0</v>
      </c>
      <c r="LA39" s="384">
        <v>0</v>
      </c>
      <c r="LB39" s="384">
        <f t="shared" si="460"/>
        <v>0</v>
      </c>
      <c r="LC39" s="384">
        <v>0</v>
      </c>
      <c r="LD39" s="384">
        <v>0</v>
      </c>
      <c r="LE39" s="384">
        <f t="shared" si="461"/>
        <v>0</v>
      </c>
      <c r="LF39" s="384">
        <v>0</v>
      </c>
      <c r="LG39" s="384">
        <v>0</v>
      </c>
      <c r="LH39" s="384">
        <f t="shared" si="462"/>
        <v>0</v>
      </c>
      <c r="LI39" s="384">
        <v>0</v>
      </c>
      <c r="LJ39" s="384">
        <v>0</v>
      </c>
      <c r="LK39" s="384">
        <f t="shared" si="463"/>
        <v>0</v>
      </c>
      <c r="LL39" s="384">
        <v>0</v>
      </c>
      <c r="LM39" s="384">
        <v>0</v>
      </c>
      <c r="LN39" s="384">
        <f t="shared" si="464"/>
        <v>0</v>
      </c>
      <c r="LO39" s="384">
        <v>0</v>
      </c>
      <c r="LP39" s="384">
        <v>0</v>
      </c>
      <c r="LQ39" s="384">
        <f t="shared" si="465"/>
        <v>0</v>
      </c>
      <c r="LR39" s="384">
        <v>0</v>
      </c>
      <c r="LS39" s="384">
        <v>0</v>
      </c>
      <c r="LT39" s="384">
        <f t="shared" si="466"/>
        <v>0</v>
      </c>
      <c r="LU39" s="384">
        <v>0</v>
      </c>
      <c r="LV39" s="384">
        <v>0</v>
      </c>
      <c r="LW39" s="384">
        <f t="shared" si="467"/>
        <v>0</v>
      </c>
      <c r="LX39" s="384">
        <v>0</v>
      </c>
      <c r="LY39" s="384">
        <v>0</v>
      </c>
      <c r="LZ39" s="384">
        <f t="shared" si="468"/>
        <v>0</v>
      </c>
      <c r="MA39" s="384">
        <v>0</v>
      </c>
      <c r="MB39" s="384">
        <v>0</v>
      </c>
      <c r="MC39" s="384">
        <f t="shared" si="469"/>
        <v>0</v>
      </c>
      <c r="MD39" s="384">
        <v>0</v>
      </c>
      <c r="ME39" s="384">
        <v>0</v>
      </c>
      <c r="MF39" s="384">
        <f t="shared" si="470"/>
        <v>0</v>
      </c>
      <c r="MG39" s="384">
        <v>0</v>
      </c>
      <c r="MH39" s="384">
        <v>0</v>
      </c>
      <c r="MI39" s="384">
        <f t="shared" si="471"/>
        <v>0</v>
      </c>
      <c r="MJ39" s="384">
        <v>0</v>
      </c>
      <c r="MK39" s="384">
        <v>0</v>
      </c>
      <c r="ML39" s="384">
        <f t="shared" si="472"/>
        <v>0</v>
      </c>
      <c r="MM39" s="384">
        <v>0</v>
      </c>
      <c r="MN39" s="384">
        <v>0</v>
      </c>
      <c r="MO39" s="384">
        <f t="shared" si="473"/>
        <v>0</v>
      </c>
      <c r="MP39" s="384">
        <v>0</v>
      </c>
      <c r="MQ39" s="384">
        <v>0</v>
      </c>
      <c r="MR39" s="384">
        <f t="shared" si="474"/>
        <v>0</v>
      </c>
      <c r="MS39" s="384">
        <v>0</v>
      </c>
      <c r="MT39" s="384">
        <v>0</v>
      </c>
      <c r="MU39" s="384">
        <f t="shared" si="475"/>
        <v>0</v>
      </c>
      <c r="MV39" s="384">
        <v>0</v>
      </c>
      <c r="MW39" s="384">
        <v>0</v>
      </c>
      <c r="MX39" s="384">
        <f t="shared" si="476"/>
        <v>0</v>
      </c>
      <c r="MY39" s="384">
        <v>0</v>
      </c>
      <c r="MZ39" s="384">
        <v>0</v>
      </c>
      <c r="NA39" s="557">
        <f t="shared" si="477"/>
        <v>0</v>
      </c>
      <c r="NB39" s="384">
        <v>0</v>
      </c>
      <c r="NC39" s="384">
        <v>0</v>
      </c>
      <c r="ND39" s="555">
        <f t="shared" si="478"/>
        <v>0</v>
      </c>
      <c r="NE39" s="570">
        <f>SUM(C39,F39,I39,L39,O39,R39,U39,X39,AA39,AD39,AG39,AJ39,AM39,AP39,AS39,AV39,AY39,BB39,BE39,BH39,BK39,BN39,BQ39,BT39,BW39,BZ39,CC39,CF39,CI39,CL39,CO39,CR39,CU39,CX39,DA39,DD39,DG39,DJ39,DM39,DP39,DS39,DV39,DY39,EB39,EE39,EH39,EK39,EN39,EQ39,ET39,EW39,EZ39,FC39,FF39,FI39,FL39,FO39,FR39,FU39,FX39,GA39,GD39,GG39,GJ39,GM39,GP39,GS39,GV39,GY39,HB39,HE39,HH39,HK39,HN39,HQ39,HT39,HW39,HZ39,IC39,IF39,II39,IL39,IO39,IR39,IU39,IX39,JA39,JD39,JG39,JJ39,JM39,JP39,JS39,JV39,JY39,KB39,KE39,KH39,KK39,KN39,KQ39,KT39,KW39,KZ39,LC39,LF39,LI39,LL39,LO39,LR39,LU39,LX39,MA39,MD39,MG39,MJ39,MM39,MP39,MS39,MV39,MY39)</f>
        <v>81742</v>
      </c>
      <c r="NF39" s="571">
        <f>SUM(D39,G39,J39,M39,P39,S39,V39,Y39,AB39,AE39,AH39,AK39,AN39,AQ39,AT39,AW39,AZ39,BC39,BF39,BI39,BL39,BO39,BR39,BU39,BX39,CA39,CD39,CG39,CJ39,CM39,CP39,CS39,CV39,CY39,DB39,DE39,DH39,DK39,DN39,DQ39,DT39,DW39,DZ39,EC39,EF39,EI39,EL39,EO39,ER39,EU39,EX39,FA39,FD39,FG39,FJ39,FM39,FP39,FS39,FV39,FY39,GB39,GE39,GH39,GK39,GN39,GQ39,GT39,GW39,GZ39,HC39,HF39,HI39,HL39,HO39,HR39,HU39,HX39,IA39,ID39,IG39,IJ39,IM39,IP39,IS39,IV39,IY39,JB39,JE39,JH39,JK39,JN39,JQ39,JT39,JW39,JZ39,KC39,KF39,KI39,KL39,KO39,KR39,KU39,KX39,LA39,LD39,LG39,LJ39,LM39,LP39,LS39,LV39,LY39,MB39,ME39,MH39,MK39,MN39,MQ39,MT39,MW39,MZ39)</f>
        <v>80896</v>
      </c>
      <c r="NG39" s="572">
        <f t="shared" si="480"/>
        <v>162638</v>
      </c>
      <c r="NH39" s="570">
        <f t="shared" si="481"/>
        <v>6296</v>
      </c>
      <c r="NI39" s="571">
        <f t="shared" si="481"/>
        <v>5805</v>
      </c>
      <c r="NJ39" s="572">
        <f t="shared" si="482"/>
        <v>12101</v>
      </c>
    </row>
    <row r="40" spans="1:374" x14ac:dyDescent="0.3">
      <c r="A40" s="558" t="s">
        <v>283</v>
      </c>
      <c r="B40" s="592" t="s">
        <v>79</v>
      </c>
      <c r="C40" s="561">
        <v>137</v>
      </c>
      <c r="D40" s="388">
        <v>112</v>
      </c>
      <c r="E40" s="388">
        <f t="shared" si="357"/>
        <v>249</v>
      </c>
      <c r="F40" s="388">
        <v>162</v>
      </c>
      <c r="G40" s="388">
        <v>157</v>
      </c>
      <c r="H40" s="388">
        <f t="shared" si="358"/>
        <v>319</v>
      </c>
      <c r="I40" s="388">
        <v>202</v>
      </c>
      <c r="J40" s="388">
        <v>186</v>
      </c>
      <c r="K40" s="388">
        <f t="shared" si="359"/>
        <v>388</v>
      </c>
      <c r="L40" s="388">
        <v>209</v>
      </c>
      <c r="M40" s="388">
        <v>212</v>
      </c>
      <c r="N40" s="388">
        <f t="shared" si="360"/>
        <v>421</v>
      </c>
      <c r="O40" s="388">
        <v>221</v>
      </c>
      <c r="P40" s="388">
        <v>226</v>
      </c>
      <c r="Q40" s="388">
        <f t="shared" si="361"/>
        <v>447</v>
      </c>
      <c r="R40" s="388">
        <v>236</v>
      </c>
      <c r="S40" s="388">
        <v>242</v>
      </c>
      <c r="T40" s="388">
        <f t="shared" si="362"/>
        <v>478</v>
      </c>
      <c r="U40" s="388">
        <v>279</v>
      </c>
      <c r="V40" s="388">
        <v>248</v>
      </c>
      <c r="W40" s="388">
        <f t="shared" si="363"/>
        <v>527</v>
      </c>
      <c r="X40" s="388">
        <v>270</v>
      </c>
      <c r="Y40" s="388">
        <v>267</v>
      </c>
      <c r="Z40" s="388">
        <f t="shared" si="364"/>
        <v>537</v>
      </c>
      <c r="AA40" s="388">
        <v>259</v>
      </c>
      <c r="AB40" s="388">
        <v>279</v>
      </c>
      <c r="AC40" s="388">
        <f t="shared" si="365"/>
        <v>538</v>
      </c>
      <c r="AD40" s="388">
        <v>244</v>
      </c>
      <c r="AE40" s="388">
        <v>237</v>
      </c>
      <c r="AF40" s="388">
        <f t="shared" si="366"/>
        <v>481</v>
      </c>
      <c r="AG40" s="388">
        <v>259</v>
      </c>
      <c r="AH40" s="388">
        <v>234</v>
      </c>
      <c r="AI40" s="388">
        <f t="shared" si="367"/>
        <v>493</v>
      </c>
      <c r="AJ40" s="388">
        <v>266</v>
      </c>
      <c r="AK40" s="388">
        <v>256</v>
      </c>
      <c r="AL40" s="388">
        <f t="shared" si="368"/>
        <v>522</v>
      </c>
      <c r="AM40" s="388">
        <v>273</v>
      </c>
      <c r="AN40" s="388">
        <v>226</v>
      </c>
      <c r="AO40" s="388">
        <f t="shared" si="369"/>
        <v>499</v>
      </c>
      <c r="AP40" s="388">
        <v>274</v>
      </c>
      <c r="AQ40" s="388">
        <v>240</v>
      </c>
      <c r="AR40" s="388">
        <f t="shared" si="370"/>
        <v>514</v>
      </c>
      <c r="AS40" s="388">
        <v>289</v>
      </c>
      <c r="AT40" s="388">
        <v>232</v>
      </c>
      <c r="AU40" s="388">
        <f t="shared" si="371"/>
        <v>521</v>
      </c>
      <c r="AV40" s="388">
        <v>244</v>
      </c>
      <c r="AW40" s="388">
        <v>230</v>
      </c>
      <c r="AX40" s="388">
        <f t="shared" si="372"/>
        <v>474</v>
      </c>
      <c r="AY40" s="388">
        <v>251</v>
      </c>
      <c r="AZ40" s="388">
        <v>236</v>
      </c>
      <c r="BA40" s="388">
        <f t="shared" si="373"/>
        <v>487</v>
      </c>
      <c r="BB40" s="388">
        <v>210</v>
      </c>
      <c r="BC40" s="388">
        <v>190</v>
      </c>
      <c r="BD40" s="388">
        <f t="shared" si="374"/>
        <v>400</v>
      </c>
      <c r="BE40" s="388">
        <v>211</v>
      </c>
      <c r="BF40" s="388">
        <v>205</v>
      </c>
      <c r="BG40" s="388">
        <f t="shared" si="375"/>
        <v>416</v>
      </c>
      <c r="BH40" s="388">
        <v>243</v>
      </c>
      <c r="BI40" s="388">
        <v>220</v>
      </c>
      <c r="BJ40" s="388">
        <f t="shared" si="376"/>
        <v>463</v>
      </c>
      <c r="BK40" s="388">
        <v>203</v>
      </c>
      <c r="BL40" s="388">
        <v>198</v>
      </c>
      <c r="BM40" s="388">
        <f t="shared" si="377"/>
        <v>401</v>
      </c>
      <c r="BN40" s="388">
        <v>225</v>
      </c>
      <c r="BO40" s="388">
        <v>214</v>
      </c>
      <c r="BP40" s="388">
        <f t="shared" si="378"/>
        <v>439</v>
      </c>
      <c r="BQ40" s="388">
        <v>244</v>
      </c>
      <c r="BR40" s="388">
        <v>160</v>
      </c>
      <c r="BS40" s="388">
        <f t="shared" si="379"/>
        <v>404</v>
      </c>
      <c r="BT40" s="388">
        <v>244</v>
      </c>
      <c r="BU40" s="388">
        <v>244</v>
      </c>
      <c r="BV40" s="388">
        <f t="shared" si="380"/>
        <v>488</v>
      </c>
      <c r="BW40" s="388">
        <v>229</v>
      </c>
      <c r="BX40" s="388">
        <v>235</v>
      </c>
      <c r="BY40" s="388">
        <f t="shared" si="381"/>
        <v>464</v>
      </c>
      <c r="BZ40" s="388">
        <v>231</v>
      </c>
      <c r="CA40" s="388">
        <v>209</v>
      </c>
      <c r="CB40" s="388">
        <f t="shared" si="382"/>
        <v>440</v>
      </c>
      <c r="CC40" s="388">
        <v>228</v>
      </c>
      <c r="CD40" s="388">
        <v>232</v>
      </c>
      <c r="CE40" s="388">
        <f t="shared" si="383"/>
        <v>460</v>
      </c>
      <c r="CF40" s="388">
        <v>208</v>
      </c>
      <c r="CG40" s="388">
        <v>186</v>
      </c>
      <c r="CH40" s="388">
        <f t="shared" si="384"/>
        <v>394</v>
      </c>
      <c r="CI40" s="388">
        <v>201</v>
      </c>
      <c r="CJ40" s="388">
        <v>183</v>
      </c>
      <c r="CK40" s="388">
        <f t="shared" si="385"/>
        <v>384</v>
      </c>
      <c r="CL40" s="388">
        <v>224</v>
      </c>
      <c r="CM40" s="388">
        <v>225</v>
      </c>
      <c r="CN40" s="388">
        <f t="shared" si="386"/>
        <v>449</v>
      </c>
      <c r="CO40" s="388">
        <v>229</v>
      </c>
      <c r="CP40" s="388">
        <v>213</v>
      </c>
      <c r="CQ40" s="388">
        <f t="shared" si="387"/>
        <v>442</v>
      </c>
      <c r="CR40" s="388">
        <v>232</v>
      </c>
      <c r="CS40" s="388">
        <v>224</v>
      </c>
      <c r="CT40" s="388">
        <f t="shared" si="388"/>
        <v>456</v>
      </c>
      <c r="CU40" s="388">
        <v>204</v>
      </c>
      <c r="CV40" s="388">
        <v>244</v>
      </c>
      <c r="CW40" s="388">
        <f t="shared" si="389"/>
        <v>448</v>
      </c>
      <c r="CX40" s="388">
        <v>208</v>
      </c>
      <c r="CY40" s="388">
        <v>239</v>
      </c>
      <c r="CZ40" s="388">
        <f t="shared" si="390"/>
        <v>447</v>
      </c>
      <c r="DA40" s="388">
        <v>211</v>
      </c>
      <c r="DB40" s="388">
        <v>220</v>
      </c>
      <c r="DC40" s="388">
        <f t="shared" si="391"/>
        <v>431</v>
      </c>
      <c r="DD40" s="388">
        <v>246</v>
      </c>
      <c r="DE40" s="388">
        <v>206</v>
      </c>
      <c r="DF40" s="388">
        <f t="shared" si="392"/>
        <v>452</v>
      </c>
      <c r="DG40" s="388">
        <v>244</v>
      </c>
      <c r="DH40" s="388">
        <v>251</v>
      </c>
      <c r="DI40" s="388">
        <f t="shared" si="393"/>
        <v>495</v>
      </c>
      <c r="DJ40" s="388">
        <v>209</v>
      </c>
      <c r="DK40" s="388">
        <v>227</v>
      </c>
      <c r="DL40" s="388">
        <f t="shared" si="394"/>
        <v>436</v>
      </c>
      <c r="DM40" s="388">
        <v>229</v>
      </c>
      <c r="DN40" s="388">
        <v>207</v>
      </c>
      <c r="DO40" s="388">
        <f t="shared" si="395"/>
        <v>436</v>
      </c>
      <c r="DP40" s="388">
        <v>235</v>
      </c>
      <c r="DQ40" s="388">
        <v>203</v>
      </c>
      <c r="DR40" s="388">
        <f t="shared" si="396"/>
        <v>438</v>
      </c>
      <c r="DS40" s="388">
        <v>237</v>
      </c>
      <c r="DT40" s="388">
        <v>259</v>
      </c>
      <c r="DU40" s="388">
        <f t="shared" si="397"/>
        <v>496</v>
      </c>
      <c r="DV40" s="388">
        <v>276</v>
      </c>
      <c r="DW40" s="388">
        <v>229</v>
      </c>
      <c r="DX40" s="388">
        <f t="shared" si="398"/>
        <v>505</v>
      </c>
      <c r="DY40" s="388">
        <v>248</v>
      </c>
      <c r="DZ40" s="388">
        <v>258</v>
      </c>
      <c r="EA40" s="388">
        <f t="shared" si="399"/>
        <v>506</v>
      </c>
      <c r="EB40" s="388">
        <v>294</v>
      </c>
      <c r="EC40" s="388">
        <v>250</v>
      </c>
      <c r="ED40" s="388">
        <f t="shared" si="400"/>
        <v>544</v>
      </c>
      <c r="EE40" s="388">
        <v>261</v>
      </c>
      <c r="EF40" s="388">
        <v>236</v>
      </c>
      <c r="EG40" s="388">
        <f t="shared" si="401"/>
        <v>497</v>
      </c>
      <c r="EH40" s="388">
        <v>262</v>
      </c>
      <c r="EI40" s="388">
        <v>217</v>
      </c>
      <c r="EJ40" s="388">
        <f t="shared" si="402"/>
        <v>479</v>
      </c>
      <c r="EK40" s="388">
        <v>250</v>
      </c>
      <c r="EL40" s="388">
        <v>240</v>
      </c>
      <c r="EM40" s="388">
        <f t="shared" si="403"/>
        <v>490</v>
      </c>
      <c r="EN40" s="388">
        <v>215</v>
      </c>
      <c r="EO40" s="388">
        <v>219</v>
      </c>
      <c r="EP40" s="388">
        <f t="shared" si="404"/>
        <v>434</v>
      </c>
      <c r="EQ40" s="388">
        <v>175</v>
      </c>
      <c r="ER40" s="388">
        <v>207</v>
      </c>
      <c r="ES40" s="388">
        <f t="shared" si="405"/>
        <v>382</v>
      </c>
      <c r="ET40" s="388">
        <v>189</v>
      </c>
      <c r="EU40" s="388">
        <v>193</v>
      </c>
      <c r="EV40" s="388">
        <f t="shared" si="406"/>
        <v>382</v>
      </c>
      <c r="EW40" s="388">
        <v>189</v>
      </c>
      <c r="EX40" s="388">
        <v>211</v>
      </c>
      <c r="EY40" s="388">
        <f t="shared" si="407"/>
        <v>400</v>
      </c>
      <c r="EZ40" s="388">
        <v>195</v>
      </c>
      <c r="FA40" s="388">
        <v>197</v>
      </c>
      <c r="FB40" s="388">
        <f t="shared" si="408"/>
        <v>392</v>
      </c>
      <c r="FC40" s="388">
        <v>165</v>
      </c>
      <c r="FD40" s="388">
        <v>178</v>
      </c>
      <c r="FE40" s="388">
        <f t="shared" si="409"/>
        <v>343</v>
      </c>
      <c r="FF40" s="388">
        <v>187</v>
      </c>
      <c r="FG40" s="388">
        <v>182</v>
      </c>
      <c r="FH40" s="388">
        <f t="shared" si="410"/>
        <v>369</v>
      </c>
      <c r="FI40" s="388">
        <v>179</v>
      </c>
      <c r="FJ40" s="388">
        <v>151</v>
      </c>
      <c r="FK40" s="388">
        <f t="shared" si="411"/>
        <v>330</v>
      </c>
      <c r="FL40" s="388">
        <v>150</v>
      </c>
      <c r="FM40" s="388">
        <v>156</v>
      </c>
      <c r="FN40" s="388">
        <f t="shared" si="412"/>
        <v>306</v>
      </c>
      <c r="FO40" s="388">
        <v>146</v>
      </c>
      <c r="FP40" s="388">
        <v>169</v>
      </c>
      <c r="FQ40" s="388">
        <f t="shared" si="413"/>
        <v>315</v>
      </c>
      <c r="FR40" s="388">
        <v>159</v>
      </c>
      <c r="FS40" s="388">
        <v>148</v>
      </c>
      <c r="FT40" s="388">
        <f t="shared" si="414"/>
        <v>307</v>
      </c>
      <c r="FU40" s="388">
        <v>117</v>
      </c>
      <c r="FV40" s="388">
        <v>118</v>
      </c>
      <c r="FW40" s="388">
        <f t="shared" si="415"/>
        <v>235</v>
      </c>
      <c r="FX40" s="388">
        <v>116</v>
      </c>
      <c r="FY40" s="388">
        <v>118</v>
      </c>
      <c r="FZ40" s="388">
        <f t="shared" si="416"/>
        <v>234</v>
      </c>
      <c r="GA40" s="388">
        <v>97</v>
      </c>
      <c r="GB40" s="388">
        <v>147</v>
      </c>
      <c r="GC40" s="388">
        <f t="shared" si="417"/>
        <v>244</v>
      </c>
      <c r="GD40" s="388">
        <v>101</v>
      </c>
      <c r="GE40" s="388">
        <v>119</v>
      </c>
      <c r="GF40" s="388">
        <f t="shared" si="418"/>
        <v>220</v>
      </c>
      <c r="GG40" s="388">
        <v>97</v>
      </c>
      <c r="GH40" s="388">
        <v>99</v>
      </c>
      <c r="GI40" s="388">
        <f t="shared" si="419"/>
        <v>196</v>
      </c>
      <c r="GJ40" s="388">
        <v>88</v>
      </c>
      <c r="GK40" s="388">
        <v>115</v>
      </c>
      <c r="GL40" s="388">
        <f t="shared" si="420"/>
        <v>203</v>
      </c>
      <c r="GM40" s="388">
        <v>96</v>
      </c>
      <c r="GN40" s="388">
        <v>85</v>
      </c>
      <c r="GO40" s="388">
        <f t="shared" si="421"/>
        <v>181</v>
      </c>
      <c r="GP40" s="388">
        <v>57</v>
      </c>
      <c r="GQ40" s="388">
        <v>89</v>
      </c>
      <c r="GR40" s="388">
        <f t="shared" si="422"/>
        <v>146</v>
      </c>
      <c r="GS40" s="388">
        <v>87</v>
      </c>
      <c r="GT40" s="388">
        <v>85</v>
      </c>
      <c r="GU40" s="388">
        <f t="shared" si="423"/>
        <v>172</v>
      </c>
      <c r="GV40" s="388">
        <v>75</v>
      </c>
      <c r="GW40" s="388">
        <v>68</v>
      </c>
      <c r="GX40" s="388">
        <f t="shared" si="424"/>
        <v>143</v>
      </c>
      <c r="GY40" s="388">
        <v>64</v>
      </c>
      <c r="GZ40" s="388">
        <v>62</v>
      </c>
      <c r="HA40" s="388">
        <f t="shared" si="425"/>
        <v>126</v>
      </c>
      <c r="HB40" s="388">
        <v>60</v>
      </c>
      <c r="HC40" s="388">
        <v>48</v>
      </c>
      <c r="HD40" s="388">
        <f t="shared" si="426"/>
        <v>108</v>
      </c>
      <c r="HE40" s="388">
        <v>54</v>
      </c>
      <c r="HF40" s="388">
        <v>57</v>
      </c>
      <c r="HG40" s="388">
        <f t="shared" si="427"/>
        <v>111</v>
      </c>
      <c r="HH40" s="388">
        <v>47</v>
      </c>
      <c r="HI40" s="388">
        <v>36</v>
      </c>
      <c r="HJ40" s="388">
        <f t="shared" si="428"/>
        <v>83</v>
      </c>
      <c r="HK40" s="388">
        <v>44</v>
      </c>
      <c r="HL40" s="388">
        <v>37</v>
      </c>
      <c r="HM40" s="388">
        <f t="shared" si="429"/>
        <v>81</v>
      </c>
      <c r="HN40" s="388">
        <v>36</v>
      </c>
      <c r="HO40" s="388">
        <v>30</v>
      </c>
      <c r="HP40" s="388">
        <f t="shared" si="430"/>
        <v>66</v>
      </c>
      <c r="HQ40" s="388">
        <v>29</v>
      </c>
      <c r="HR40" s="388">
        <v>21</v>
      </c>
      <c r="HS40" s="388">
        <f t="shared" si="431"/>
        <v>50</v>
      </c>
      <c r="HT40" s="388">
        <v>26</v>
      </c>
      <c r="HU40" s="388">
        <v>15</v>
      </c>
      <c r="HV40" s="388">
        <f t="shared" si="432"/>
        <v>41</v>
      </c>
      <c r="HW40" s="388">
        <v>21</v>
      </c>
      <c r="HX40" s="388">
        <v>21</v>
      </c>
      <c r="HY40" s="388">
        <f t="shared" si="433"/>
        <v>42</v>
      </c>
      <c r="HZ40" s="388">
        <v>13</v>
      </c>
      <c r="IA40" s="388">
        <v>11</v>
      </c>
      <c r="IB40" s="388">
        <f t="shared" si="434"/>
        <v>24</v>
      </c>
      <c r="IC40" s="388">
        <v>10</v>
      </c>
      <c r="ID40" s="388">
        <v>18</v>
      </c>
      <c r="IE40" s="388">
        <f t="shared" si="435"/>
        <v>28</v>
      </c>
      <c r="IF40" s="388">
        <v>9</v>
      </c>
      <c r="IG40" s="388">
        <v>16</v>
      </c>
      <c r="IH40" s="388">
        <f t="shared" si="436"/>
        <v>25</v>
      </c>
      <c r="II40" s="388">
        <v>12</v>
      </c>
      <c r="IJ40" s="388">
        <v>18</v>
      </c>
      <c r="IK40" s="388">
        <f t="shared" si="437"/>
        <v>30</v>
      </c>
      <c r="IL40" s="388">
        <v>9</v>
      </c>
      <c r="IM40" s="388">
        <v>9</v>
      </c>
      <c r="IN40" s="388">
        <f t="shared" si="438"/>
        <v>18</v>
      </c>
      <c r="IO40" s="388">
        <v>9</v>
      </c>
      <c r="IP40" s="388">
        <v>8</v>
      </c>
      <c r="IQ40" s="388">
        <f t="shared" si="439"/>
        <v>17</v>
      </c>
      <c r="IR40" s="388">
        <v>6</v>
      </c>
      <c r="IS40" s="388">
        <v>8</v>
      </c>
      <c r="IT40" s="388">
        <f t="shared" si="440"/>
        <v>14</v>
      </c>
      <c r="IU40" s="388">
        <v>8</v>
      </c>
      <c r="IV40" s="388">
        <v>4</v>
      </c>
      <c r="IW40" s="388">
        <f t="shared" si="441"/>
        <v>12</v>
      </c>
      <c r="IX40" s="388">
        <v>6</v>
      </c>
      <c r="IY40" s="388">
        <v>6</v>
      </c>
      <c r="IZ40" s="388">
        <f t="shared" si="442"/>
        <v>12</v>
      </c>
      <c r="JA40" s="388">
        <v>4</v>
      </c>
      <c r="JB40" s="388">
        <v>3</v>
      </c>
      <c r="JC40" s="388">
        <f t="shared" si="443"/>
        <v>7</v>
      </c>
      <c r="JD40" s="388">
        <v>3</v>
      </c>
      <c r="JE40" s="388">
        <v>1</v>
      </c>
      <c r="JF40" s="388">
        <f t="shared" si="444"/>
        <v>4</v>
      </c>
      <c r="JG40" s="388">
        <v>2</v>
      </c>
      <c r="JH40" s="388">
        <v>1</v>
      </c>
      <c r="JI40" s="388">
        <f t="shared" si="445"/>
        <v>3</v>
      </c>
      <c r="JJ40" s="388">
        <v>2</v>
      </c>
      <c r="JK40" s="388">
        <v>3</v>
      </c>
      <c r="JL40" s="388">
        <f t="shared" si="446"/>
        <v>5</v>
      </c>
      <c r="JM40" s="388">
        <v>2</v>
      </c>
      <c r="JN40" s="388">
        <v>4</v>
      </c>
      <c r="JO40" s="388">
        <f t="shared" si="447"/>
        <v>6</v>
      </c>
      <c r="JP40" s="388">
        <v>0</v>
      </c>
      <c r="JQ40" s="388">
        <v>2</v>
      </c>
      <c r="JR40" s="388">
        <f t="shared" si="448"/>
        <v>2</v>
      </c>
      <c r="JS40" s="388">
        <v>0</v>
      </c>
      <c r="JT40" s="388">
        <v>4</v>
      </c>
      <c r="JU40" s="388">
        <f t="shared" si="449"/>
        <v>4</v>
      </c>
      <c r="JV40" s="388">
        <v>1</v>
      </c>
      <c r="JW40" s="388">
        <v>1</v>
      </c>
      <c r="JX40" s="388">
        <f t="shared" si="450"/>
        <v>2</v>
      </c>
      <c r="JY40" s="388">
        <v>1</v>
      </c>
      <c r="JZ40" s="388">
        <v>0</v>
      </c>
      <c r="KA40" s="388">
        <f t="shared" si="451"/>
        <v>1</v>
      </c>
      <c r="KB40" s="388">
        <v>0</v>
      </c>
      <c r="KC40" s="388">
        <v>0</v>
      </c>
      <c r="KD40" s="388">
        <f t="shared" si="452"/>
        <v>0</v>
      </c>
      <c r="KE40" s="388">
        <v>0</v>
      </c>
      <c r="KF40" s="388">
        <v>0</v>
      </c>
      <c r="KG40" s="388">
        <f t="shared" si="453"/>
        <v>0</v>
      </c>
      <c r="KH40" s="388">
        <v>0</v>
      </c>
      <c r="KI40" s="388">
        <v>0</v>
      </c>
      <c r="KJ40" s="388">
        <f t="shared" si="454"/>
        <v>0</v>
      </c>
      <c r="KK40" s="388">
        <v>0</v>
      </c>
      <c r="KL40" s="388">
        <v>1</v>
      </c>
      <c r="KM40" s="388">
        <f t="shared" si="455"/>
        <v>1</v>
      </c>
      <c r="KN40" s="388">
        <v>0</v>
      </c>
      <c r="KO40" s="388">
        <v>1</v>
      </c>
      <c r="KP40" s="388">
        <f t="shared" si="456"/>
        <v>1</v>
      </c>
      <c r="KQ40" s="388">
        <v>0</v>
      </c>
      <c r="KR40" s="388">
        <v>0</v>
      </c>
      <c r="KS40" s="388">
        <f t="shared" si="457"/>
        <v>0</v>
      </c>
      <c r="KT40" s="388">
        <v>0</v>
      </c>
      <c r="KU40" s="388">
        <v>1</v>
      </c>
      <c r="KV40" s="388">
        <f t="shared" si="458"/>
        <v>1</v>
      </c>
      <c r="KW40" s="388">
        <v>0</v>
      </c>
      <c r="KX40" s="388">
        <v>0</v>
      </c>
      <c r="KY40" s="388">
        <f t="shared" si="459"/>
        <v>0</v>
      </c>
      <c r="KZ40" s="388">
        <v>0</v>
      </c>
      <c r="LA40" s="388">
        <v>0</v>
      </c>
      <c r="LB40" s="388">
        <f t="shared" si="460"/>
        <v>0</v>
      </c>
      <c r="LC40" s="388">
        <v>0</v>
      </c>
      <c r="LD40" s="388">
        <v>0</v>
      </c>
      <c r="LE40" s="388">
        <f t="shared" si="461"/>
        <v>0</v>
      </c>
      <c r="LF40" s="388">
        <v>0</v>
      </c>
      <c r="LG40" s="388">
        <v>0</v>
      </c>
      <c r="LH40" s="388">
        <f t="shared" si="462"/>
        <v>0</v>
      </c>
      <c r="LI40" s="388">
        <v>0</v>
      </c>
      <c r="LJ40" s="388">
        <v>0</v>
      </c>
      <c r="LK40" s="388">
        <f t="shared" si="463"/>
        <v>0</v>
      </c>
      <c r="LL40" s="388">
        <v>0</v>
      </c>
      <c r="LM40" s="388">
        <v>0</v>
      </c>
      <c r="LN40" s="388">
        <f t="shared" si="464"/>
        <v>0</v>
      </c>
      <c r="LO40" s="388">
        <v>0</v>
      </c>
      <c r="LP40" s="388">
        <v>0</v>
      </c>
      <c r="LQ40" s="388">
        <f t="shared" si="465"/>
        <v>0</v>
      </c>
      <c r="LR40" s="388">
        <v>0</v>
      </c>
      <c r="LS40" s="388">
        <v>0</v>
      </c>
      <c r="LT40" s="388">
        <f t="shared" si="466"/>
        <v>0</v>
      </c>
      <c r="LU40" s="388">
        <v>0</v>
      </c>
      <c r="LV40" s="388">
        <v>0</v>
      </c>
      <c r="LW40" s="388">
        <f t="shared" si="467"/>
        <v>0</v>
      </c>
      <c r="LX40" s="388">
        <v>0</v>
      </c>
      <c r="LY40" s="388">
        <v>0</v>
      </c>
      <c r="LZ40" s="388">
        <f t="shared" si="468"/>
        <v>0</v>
      </c>
      <c r="MA40" s="388">
        <v>0</v>
      </c>
      <c r="MB40" s="388">
        <v>0</v>
      </c>
      <c r="MC40" s="388">
        <f t="shared" si="469"/>
        <v>0</v>
      </c>
      <c r="MD40" s="388">
        <v>0</v>
      </c>
      <c r="ME40" s="388">
        <v>0</v>
      </c>
      <c r="MF40" s="388">
        <f t="shared" si="470"/>
        <v>0</v>
      </c>
      <c r="MG40" s="388">
        <v>0</v>
      </c>
      <c r="MH40" s="388">
        <v>0</v>
      </c>
      <c r="MI40" s="388">
        <f t="shared" si="471"/>
        <v>0</v>
      </c>
      <c r="MJ40" s="388">
        <v>0</v>
      </c>
      <c r="MK40" s="388">
        <v>0</v>
      </c>
      <c r="ML40" s="388">
        <f t="shared" si="472"/>
        <v>0</v>
      </c>
      <c r="MM40" s="388">
        <v>0</v>
      </c>
      <c r="MN40" s="388">
        <v>0</v>
      </c>
      <c r="MO40" s="388">
        <f t="shared" si="473"/>
        <v>0</v>
      </c>
      <c r="MP40" s="388">
        <v>0</v>
      </c>
      <c r="MQ40" s="388">
        <v>0</v>
      </c>
      <c r="MR40" s="388">
        <f t="shared" si="474"/>
        <v>0</v>
      </c>
      <c r="MS40" s="388">
        <v>0</v>
      </c>
      <c r="MT40" s="388">
        <v>0</v>
      </c>
      <c r="MU40" s="388">
        <f t="shared" si="475"/>
        <v>0</v>
      </c>
      <c r="MV40" s="388">
        <v>0</v>
      </c>
      <c r="MW40" s="388">
        <v>0</v>
      </c>
      <c r="MX40" s="388">
        <f t="shared" si="476"/>
        <v>0</v>
      </c>
      <c r="MY40" s="388">
        <v>0</v>
      </c>
      <c r="MZ40" s="388">
        <v>0</v>
      </c>
      <c r="NA40" s="562">
        <f t="shared" si="477"/>
        <v>0</v>
      </c>
      <c r="NB40" s="388">
        <v>0</v>
      </c>
      <c r="NC40" s="388">
        <v>0</v>
      </c>
      <c r="ND40" s="560">
        <f t="shared" si="478"/>
        <v>0</v>
      </c>
      <c r="NE40" s="559">
        <f>SUM(C40,F40,I40,L40,O40,R40,U40,X40,AA40,AD40,AG40,AJ40,AM40,AP40,AS40,AV40,AY40,BB40,BE40,BH40,BK40,BN40,BQ40,BT40,BW40,BZ40,CC40,CF40,CI40,CL40,CO40,CR40,CU40,CX40,DA40,DD40,DG40,DJ40,DM40,DP40,DS40,DV40,DY40,EB40,EE40,EH40,EK40,EN40,EQ40,ET40,EW40,EZ40,FC40,FF40,FI40,FL40,FO40,FR40,FU40,FX40,GA40,GD40,GG40,GJ40,GM40,GP40,GS40,GV40,GY40,HB40,HE40,HH40,HK40,HN40,HQ40,HT40,HW40,HZ40,IC40,IF40,II40,IL40,IO40,IR40,IU40,IX40,JA40,JD40,JG40,JJ40,JM40,JP40,JS40,JV40,JY40,KB40,KE40,KH40,KK40,KN40,KQ40,KT40,KW40,KZ40,LC40,LF40,LI40,LL40,LO40,LR40,LU40,LX40,MA40,MD40,MG40,MJ40,MM40,MP40,MS40,MV40,MY40)</f>
        <v>14409</v>
      </c>
      <c r="NF40" s="388">
        <f>SUM(D40,G40,J40,M40,P40,S40,V40,Y40,AB40,AE40,AH40,AK40,AN40,AQ40,AT40,AW40,AZ40,BC40,BF40,BI40,BL40,BO40,BR40,BU40,BX40,CA40,CD40,CG40,CJ40,CM40,CP40,CS40,CV40,CY40,DB40,DE40,DH40,DK40,DN40,DQ40,DT40,DW40,DZ40,EC40,EF40,EI40,EL40,EO40,ER40,EU40,EX40,FA40,FD40,FG40,FJ40,FM40,FP40,FS40,FV40,FY40,GB40,GE40,GH40,GK40,GN40,GQ40,GT40,GW40,GZ40,HC40,HF40,HI40,HL40,HO40,HR40,HU40,HX40,IA40,ID40,IG40,IJ40,IM40,IP40,IS40,IV40,IY40,JB40,JE40,JH40,JK40,JN40,JQ40,JT40,JW40,JZ40,KC40,KF40,KI40,KL40,KO40,KR40,KU40,KX40,LA40,LD40,LG40,LJ40,LM40,LP40,LS40,LV40,LY40,MB40,ME40,MH40,MK40,MN40,MQ40,MT40,MW40,MZ40)</f>
        <v>13945</v>
      </c>
      <c r="NG40" s="560">
        <f t="shared" si="480"/>
        <v>28354</v>
      </c>
      <c r="NH40" s="559">
        <f t="shared" si="481"/>
        <v>1167</v>
      </c>
      <c r="NI40" s="388">
        <f t="shared" si="481"/>
        <v>1135</v>
      </c>
      <c r="NJ40" s="560">
        <f t="shared" si="482"/>
        <v>2302</v>
      </c>
    </row>
    <row r="41" spans="1:374" x14ac:dyDescent="0.3">
      <c r="A41" s="558" t="s">
        <v>284</v>
      </c>
      <c r="B41" s="592" t="s">
        <v>81</v>
      </c>
      <c r="C41" s="561">
        <v>125</v>
      </c>
      <c r="D41" s="388">
        <v>112</v>
      </c>
      <c r="E41" s="388">
        <f t="shared" si="357"/>
        <v>237</v>
      </c>
      <c r="F41" s="388">
        <v>144</v>
      </c>
      <c r="G41" s="388">
        <v>119</v>
      </c>
      <c r="H41" s="388">
        <f t="shared" si="358"/>
        <v>263</v>
      </c>
      <c r="I41" s="388">
        <v>202</v>
      </c>
      <c r="J41" s="388">
        <v>164</v>
      </c>
      <c r="K41" s="388">
        <f t="shared" si="359"/>
        <v>366</v>
      </c>
      <c r="L41" s="388">
        <v>208</v>
      </c>
      <c r="M41" s="388">
        <v>206</v>
      </c>
      <c r="N41" s="388">
        <f t="shared" si="360"/>
        <v>414</v>
      </c>
      <c r="O41" s="388">
        <v>210</v>
      </c>
      <c r="P41" s="388">
        <v>203</v>
      </c>
      <c r="Q41" s="388">
        <f t="shared" si="361"/>
        <v>413</v>
      </c>
      <c r="R41" s="388">
        <v>232</v>
      </c>
      <c r="S41" s="388">
        <v>221</v>
      </c>
      <c r="T41" s="388">
        <f t="shared" si="362"/>
        <v>453</v>
      </c>
      <c r="U41" s="388">
        <v>227</v>
      </c>
      <c r="V41" s="388">
        <v>206</v>
      </c>
      <c r="W41" s="388">
        <f t="shared" si="363"/>
        <v>433</v>
      </c>
      <c r="X41" s="388">
        <v>243</v>
      </c>
      <c r="Y41" s="388">
        <v>243</v>
      </c>
      <c r="Z41" s="388">
        <f t="shared" si="364"/>
        <v>486</v>
      </c>
      <c r="AA41" s="388">
        <v>241</v>
      </c>
      <c r="AB41" s="388">
        <v>227</v>
      </c>
      <c r="AC41" s="388">
        <f t="shared" si="365"/>
        <v>468</v>
      </c>
      <c r="AD41" s="388">
        <v>231</v>
      </c>
      <c r="AE41" s="388">
        <v>214</v>
      </c>
      <c r="AF41" s="388">
        <f t="shared" si="366"/>
        <v>445</v>
      </c>
      <c r="AG41" s="388">
        <v>240</v>
      </c>
      <c r="AH41" s="388">
        <v>197</v>
      </c>
      <c r="AI41" s="388">
        <f t="shared" si="367"/>
        <v>437</v>
      </c>
      <c r="AJ41" s="388">
        <v>240</v>
      </c>
      <c r="AK41" s="388">
        <v>218</v>
      </c>
      <c r="AL41" s="388">
        <f t="shared" si="368"/>
        <v>458</v>
      </c>
      <c r="AM41" s="388">
        <v>246</v>
      </c>
      <c r="AN41" s="388">
        <v>206</v>
      </c>
      <c r="AO41" s="388">
        <f t="shared" si="369"/>
        <v>452</v>
      </c>
      <c r="AP41" s="388">
        <v>246</v>
      </c>
      <c r="AQ41" s="388">
        <v>208</v>
      </c>
      <c r="AR41" s="388">
        <f t="shared" si="370"/>
        <v>454</v>
      </c>
      <c r="AS41" s="388">
        <v>249</v>
      </c>
      <c r="AT41" s="388">
        <v>246</v>
      </c>
      <c r="AU41" s="388">
        <f t="shared" si="371"/>
        <v>495</v>
      </c>
      <c r="AV41" s="388">
        <v>224</v>
      </c>
      <c r="AW41" s="388">
        <v>187</v>
      </c>
      <c r="AX41" s="388">
        <f t="shared" si="372"/>
        <v>411</v>
      </c>
      <c r="AY41" s="388">
        <v>232</v>
      </c>
      <c r="AZ41" s="388">
        <v>191</v>
      </c>
      <c r="BA41" s="388">
        <f t="shared" si="373"/>
        <v>423</v>
      </c>
      <c r="BB41" s="388">
        <v>192</v>
      </c>
      <c r="BC41" s="388">
        <v>175</v>
      </c>
      <c r="BD41" s="388">
        <f t="shared" si="374"/>
        <v>367</v>
      </c>
      <c r="BE41" s="388">
        <v>194</v>
      </c>
      <c r="BF41" s="388">
        <v>183</v>
      </c>
      <c r="BG41" s="388">
        <f t="shared" si="375"/>
        <v>377</v>
      </c>
      <c r="BH41" s="388">
        <v>216</v>
      </c>
      <c r="BI41" s="388">
        <v>210</v>
      </c>
      <c r="BJ41" s="388">
        <f t="shared" si="376"/>
        <v>426</v>
      </c>
      <c r="BK41" s="388">
        <v>183</v>
      </c>
      <c r="BL41" s="388">
        <v>186</v>
      </c>
      <c r="BM41" s="388">
        <f t="shared" si="377"/>
        <v>369</v>
      </c>
      <c r="BN41" s="388">
        <v>189</v>
      </c>
      <c r="BO41" s="388">
        <v>182</v>
      </c>
      <c r="BP41" s="388">
        <f t="shared" si="378"/>
        <v>371</v>
      </c>
      <c r="BQ41" s="388">
        <v>230</v>
      </c>
      <c r="BR41" s="388">
        <v>229</v>
      </c>
      <c r="BS41" s="388">
        <f t="shared" si="379"/>
        <v>459</v>
      </c>
      <c r="BT41" s="388">
        <v>233</v>
      </c>
      <c r="BU41" s="388">
        <v>198</v>
      </c>
      <c r="BV41" s="388">
        <f t="shared" si="380"/>
        <v>431</v>
      </c>
      <c r="BW41" s="388">
        <v>181</v>
      </c>
      <c r="BX41" s="388">
        <v>171</v>
      </c>
      <c r="BY41" s="388">
        <f t="shared" si="381"/>
        <v>352</v>
      </c>
      <c r="BZ41" s="388">
        <v>215</v>
      </c>
      <c r="CA41" s="388">
        <v>232</v>
      </c>
      <c r="CB41" s="388">
        <f t="shared" si="382"/>
        <v>447</v>
      </c>
      <c r="CC41" s="388">
        <v>213</v>
      </c>
      <c r="CD41" s="388">
        <v>208</v>
      </c>
      <c r="CE41" s="388">
        <f t="shared" si="383"/>
        <v>421</v>
      </c>
      <c r="CF41" s="388">
        <v>180</v>
      </c>
      <c r="CG41" s="388">
        <v>167</v>
      </c>
      <c r="CH41" s="388">
        <f t="shared" si="384"/>
        <v>347</v>
      </c>
      <c r="CI41" s="388">
        <v>205</v>
      </c>
      <c r="CJ41" s="388">
        <v>174</v>
      </c>
      <c r="CK41" s="388">
        <f t="shared" si="385"/>
        <v>379</v>
      </c>
      <c r="CL41" s="388">
        <v>221</v>
      </c>
      <c r="CM41" s="388">
        <v>196</v>
      </c>
      <c r="CN41" s="388">
        <f t="shared" si="386"/>
        <v>417</v>
      </c>
      <c r="CO41" s="388">
        <v>174</v>
      </c>
      <c r="CP41" s="388">
        <v>176</v>
      </c>
      <c r="CQ41" s="388">
        <f t="shared" si="387"/>
        <v>350</v>
      </c>
      <c r="CR41" s="388">
        <v>204</v>
      </c>
      <c r="CS41" s="388">
        <v>206</v>
      </c>
      <c r="CT41" s="388">
        <f t="shared" si="388"/>
        <v>410</v>
      </c>
      <c r="CU41" s="388">
        <v>186</v>
      </c>
      <c r="CV41" s="388">
        <v>229</v>
      </c>
      <c r="CW41" s="388">
        <f t="shared" si="389"/>
        <v>415</v>
      </c>
      <c r="CX41" s="388">
        <v>190</v>
      </c>
      <c r="CY41" s="388">
        <v>229</v>
      </c>
      <c r="CZ41" s="388">
        <f t="shared" si="390"/>
        <v>419</v>
      </c>
      <c r="DA41" s="388">
        <v>232</v>
      </c>
      <c r="DB41" s="388">
        <v>206</v>
      </c>
      <c r="DC41" s="388">
        <f t="shared" si="391"/>
        <v>438</v>
      </c>
      <c r="DD41" s="388">
        <v>215</v>
      </c>
      <c r="DE41" s="388">
        <v>230</v>
      </c>
      <c r="DF41" s="388">
        <f t="shared" si="392"/>
        <v>445</v>
      </c>
      <c r="DG41" s="388">
        <v>226</v>
      </c>
      <c r="DH41" s="388">
        <v>211</v>
      </c>
      <c r="DI41" s="388">
        <f t="shared" si="393"/>
        <v>437</v>
      </c>
      <c r="DJ41" s="388">
        <v>211</v>
      </c>
      <c r="DK41" s="388">
        <v>197</v>
      </c>
      <c r="DL41" s="388">
        <f t="shared" si="394"/>
        <v>408</v>
      </c>
      <c r="DM41" s="388">
        <v>166</v>
      </c>
      <c r="DN41" s="388">
        <v>170</v>
      </c>
      <c r="DO41" s="388">
        <f t="shared" si="395"/>
        <v>336</v>
      </c>
      <c r="DP41" s="388">
        <v>214</v>
      </c>
      <c r="DQ41" s="388">
        <v>183</v>
      </c>
      <c r="DR41" s="388">
        <f t="shared" si="396"/>
        <v>397</v>
      </c>
      <c r="DS41" s="388">
        <v>203</v>
      </c>
      <c r="DT41" s="388">
        <v>195</v>
      </c>
      <c r="DU41" s="388">
        <f t="shared" si="397"/>
        <v>398</v>
      </c>
      <c r="DV41" s="388">
        <v>221</v>
      </c>
      <c r="DW41" s="388">
        <v>187</v>
      </c>
      <c r="DX41" s="388">
        <f t="shared" si="398"/>
        <v>408</v>
      </c>
      <c r="DY41" s="388">
        <v>192</v>
      </c>
      <c r="DZ41" s="388">
        <v>213</v>
      </c>
      <c r="EA41" s="388">
        <f t="shared" si="399"/>
        <v>405</v>
      </c>
      <c r="EB41" s="388">
        <v>209</v>
      </c>
      <c r="EC41" s="388">
        <v>232</v>
      </c>
      <c r="ED41" s="388">
        <f t="shared" si="400"/>
        <v>441</v>
      </c>
      <c r="EE41" s="388">
        <v>208</v>
      </c>
      <c r="EF41" s="388">
        <v>240</v>
      </c>
      <c r="EG41" s="388">
        <f t="shared" si="401"/>
        <v>448</v>
      </c>
      <c r="EH41" s="388">
        <v>221</v>
      </c>
      <c r="EI41" s="388">
        <v>199</v>
      </c>
      <c r="EJ41" s="388">
        <f t="shared" si="402"/>
        <v>420</v>
      </c>
      <c r="EK41" s="388">
        <v>208</v>
      </c>
      <c r="EL41" s="388">
        <v>187</v>
      </c>
      <c r="EM41" s="388">
        <f t="shared" si="403"/>
        <v>395</v>
      </c>
      <c r="EN41" s="388">
        <v>205</v>
      </c>
      <c r="EO41" s="388">
        <v>193</v>
      </c>
      <c r="EP41" s="388">
        <f t="shared" si="404"/>
        <v>398</v>
      </c>
      <c r="EQ41" s="388">
        <v>172</v>
      </c>
      <c r="ER41" s="388">
        <v>184</v>
      </c>
      <c r="ES41" s="388">
        <f t="shared" si="405"/>
        <v>356</v>
      </c>
      <c r="ET41" s="388">
        <v>147</v>
      </c>
      <c r="EU41" s="388">
        <v>173</v>
      </c>
      <c r="EV41" s="388">
        <f t="shared" si="406"/>
        <v>320</v>
      </c>
      <c r="EW41" s="388">
        <v>170</v>
      </c>
      <c r="EX41" s="388">
        <v>166</v>
      </c>
      <c r="EY41" s="388">
        <f t="shared" si="407"/>
        <v>336</v>
      </c>
      <c r="EZ41" s="388">
        <v>155</v>
      </c>
      <c r="FA41" s="388">
        <v>139</v>
      </c>
      <c r="FB41" s="388">
        <f t="shared" si="408"/>
        <v>294</v>
      </c>
      <c r="FC41" s="388">
        <v>131</v>
      </c>
      <c r="FD41" s="388">
        <v>145</v>
      </c>
      <c r="FE41" s="388">
        <f t="shared" si="409"/>
        <v>276</v>
      </c>
      <c r="FF41" s="388">
        <v>126</v>
      </c>
      <c r="FG41" s="388">
        <v>148</v>
      </c>
      <c r="FH41" s="388">
        <f t="shared" si="410"/>
        <v>274</v>
      </c>
      <c r="FI41" s="388">
        <v>133</v>
      </c>
      <c r="FJ41" s="388">
        <v>153</v>
      </c>
      <c r="FK41" s="388">
        <f t="shared" si="411"/>
        <v>286</v>
      </c>
      <c r="FL41" s="388">
        <v>140</v>
      </c>
      <c r="FM41" s="388">
        <v>139</v>
      </c>
      <c r="FN41" s="388">
        <f t="shared" si="412"/>
        <v>279</v>
      </c>
      <c r="FO41" s="388">
        <v>142</v>
      </c>
      <c r="FP41" s="388">
        <v>144</v>
      </c>
      <c r="FQ41" s="388">
        <f t="shared" si="413"/>
        <v>286</v>
      </c>
      <c r="FR41" s="388">
        <v>136</v>
      </c>
      <c r="FS41" s="388">
        <v>135</v>
      </c>
      <c r="FT41" s="388">
        <f t="shared" si="414"/>
        <v>271</v>
      </c>
      <c r="FU41" s="388">
        <v>120</v>
      </c>
      <c r="FV41" s="388">
        <v>129</v>
      </c>
      <c r="FW41" s="388">
        <f t="shared" si="415"/>
        <v>249</v>
      </c>
      <c r="FX41" s="388">
        <v>92</v>
      </c>
      <c r="FY41" s="388">
        <v>109</v>
      </c>
      <c r="FZ41" s="388">
        <f t="shared" si="416"/>
        <v>201</v>
      </c>
      <c r="GA41" s="388">
        <v>110</v>
      </c>
      <c r="GB41" s="388">
        <v>109</v>
      </c>
      <c r="GC41" s="388">
        <f t="shared" si="417"/>
        <v>219</v>
      </c>
      <c r="GD41" s="388">
        <v>91</v>
      </c>
      <c r="GE41" s="388">
        <v>116</v>
      </c>
      <c r="GF41" s="388">
        <f t="shared" si="418"/>
        <v>207</v>
      </c>
      <c r="GG41" s="388">
        <v>80</v>
      </c>
      <c r="GH41" s="388">
        <v>92</v>
      </c>
      <c r="GI41" s="388">
        <f t="shared" si="419"/>
        <v>172</v>
      </c>
      <c r="GJ41" s="388">
        <v>84</v>
      </c>
      <c r="GK41" s="388">
        <v>110</v>
      </c>
      <c r="GL41" s="388">
        <f t="shared" si="420"/>
        <v>194</v>
      </c>
      <c r="GM41" s="388">
        <v>79</v>
      </c>
      <c r="GN41" s="388">
        <v>105</v>
      </c>
      <c r="GO41" s="388">
        <f t="shared" si="421"/>
        <v>184</v>
      </c>
      <c r="GP41" s="388">
        <v>86</v>
      </c>
      <c r="GQ41" s="388">
        <v>91</v>
      </c>
      <c r="GR41" s="388">
        <f t="shared" si="422"/>
        <v>177</v>
      </c>
      <c r="GS41" s="388">
        <v>79</v>
      </c>
      <c r="GT41" s="388">
        <v>90</v>
      </c>
      <c r="GU41" s="388">
        <f t="shared" si="423"/>
        <v>169</v>
      </c>
      <c r="GV41" s="388">
        <v>54</v>
      </c>
      <c r="GW41" s="388">
        <v>77</v>
      </c>
      <c r="GX41" s="388">
        <f t="shared" si="424"/>
        <v>131</v>
      </c>
      <c r="GY41" s="388">
        <v>66</v>
      </c>
      <c r="GZ41" s="388">
        <v>60</v>
      </c>
      <c r="HA41" s="388">
        <f t="shared" si="425"/>
        <v>126</v>
      </c>
      <c r="HB41" s="388">
        <v>52</v>
      </c>
      <c r="HC41" s="388">
        <v>39</v>
      </c>
      <c r="HD41" s="388">
        <f t="shared" si="426"/>
        <v>91</v>
      </c>
      <c r="HE41" s="388">
        <v>36</v>
      </c>
      <c r="HF41" s="388">
        <v>37</v>
      </c>
      <c r="HG41" s="388">
        <f t="shared" si="427"/>
        <v>73</v>
      </c>
      <c r="HH41" s="388">
        <v>66</v>
      </c>
      <c r="HI41" s="388">
        <v>38</v>
      </c>
      <c r="HJ41" s="388">
        <f t="shared" si="428"/>
        <v>104</v>
      </c>
      <c r="HK41" s="388">
        <v>26</v>
      </c>
      <c r="HL41" s="388">
        <v>35</v>
      </c>
      <c r="HM41" s="388">
        <f t="shared" si="429"/>
        <v>61</v>
      </c>
      <c r="HN41" s="388">
        <v>40</v>
      </c>
      <c r="HO41" s="388">
        <v>34</v>
      </c>
      <c r="HP41" s="388">
        <f t="shared" si="430"/>
        <v>74</v>
      </c>
      <c r="HQ41" s="388">
        <v>31</v>
      </c>
      <c r="HR41" s="388">
        <v>22</v>
      </c>
      <c r="HS41" s="388">
        <f t="shared" si="431"/>
        <v>53</v>
      </c>
      <c r="HT41" s="388">
        <v>21</v>
      </c>
      <c r="HU41" s="388">
        <v>26</v>
      </c>
      <c r="HV41" s="388">
        <f t="shared" si="432"/>
        <v>47</v>
      </c>
      <c r="HW41" s="388">
        <v>19</v>
      </c>
      <c r="HX41" s="388">
        <v>22</v>
      </c>
      <c r="HY41" s="388">
        <f t="shared" si="433"/>
        <v>41</v>
      </c>
      <c r="HZ41" s="388">
        <v>17</v>
      </c>
      <c r="IA41" s="388">
        <v>12</v>
      </c>
      <c r="IB41" s="388">
        <f t="shared" si="434"/>
        <v>29</v>
      </c>
      <c r="IC41" s="388">
        <v>12</v>
      </c>
      <c r="ID41" s="388">
        <v>12</v>
      </c>
      <c r="IE41" s="388">
        <f t="shared" si="435"/>
        <v>24</v>
      </c>
      <c r="IF41" s="388">
        <v>8</v>
      </c>
      <c r="IG41" s="388">
        <v>12</v>
      </c>
      <c r="IH41" s="388">
        <f t="shared" si="436"/>
        <v>20</v>
      </c>
      <c r="II41" s="388">
        <v>8</v>
      </c>
      <c r="IJ41" s="388">
        <v>11</v>
      </c>
      <c r="IK41" s="388">
        <f t="shared" si="437"/>
        <v>19</v>
      </c>
      <c r="IL41" s="388">
        <v>5</v>
      </c>
      <c r="IM41" s="388">
        <v>12</v>
      </c>
      <c r="IN41" s="388">
        <f t="shared" si="438"/>
        <v>17</v>
      </c>
      <c r="IO41" s="388">
        <v>4</v>
      </c>
      <c r="IP41" s="388">
        <v>7</v>
      </c>
      <c r="IQ41" s="388">
        <f t="shared" si="439"/>
        <v>11</v>
      </c>
      <c r="IR41" s="388">
        <v>7</v>
      </c>
      <c r="IS41" s="388">
        <v>10</v>
      </c>
      <c r="IT41" s="388">
        <f t="shared" si="440"/>
        <v>17</v>
      </c>
      <c r="IU41" s="388">
        <v>3</v>
      </c>
      <c r="IV41" s="388">
        <v>8</v>
      </c>
      <c r="IW41" s="388">
        <f t="shared" si="441"/>
        <v>11</v>
      </c>
      <c r="IX41" s="388">
        <v>2</v>
      </c>
      <c r="IY41" s="388">
        <v>4</v>
      </c>
      <c r="IZ41" s="388">
        <f t="shared" si="442"/>
        <v>6</v>
      </c>
      <c r="JA41" s="388">
        <v>5</v>
      </c>
      <c r="JB41" s="388">
        <v>3</v>
      </c>
      <c r="JC41" s="388">
        <f t="shared" si="443"/>
        <v>8</v>
      </c>
      <c r="JD41" s="388">
        <v>1</v>
      </c>
      <c r="JE41" s="388">
        <v>1</v>
      </c>
      <c r="JF41" s="388">
        <f t="shared" si="444"/>
        <v>2</v>
      </c>
      <c r="JG41" s="388">
        <v>2</v>
      </c>
      <c r="JH41" s="388">
        <v>1</v>
      </c>
      <c r="JI41" s="388">
        <f t="shared" si="445"/>
        <v>3</v>
      </c>
      <c r="JJ41" s="388">
        <v>4</v>
      </c>
      <c r="JK41" s="388">
        <v>2</v>
      </c>
      <c r="JL41" s="388">
        <f t="shared" si="446"/>
        <v>6</v>
      </c>
      <c r="JM41" s="388">
        <v>1</v>
      </c>
      <c r="JN41" s="388">
        <v>2</v>
      </c>
      <c r="JO41" s="388">
        <f t="shared" si="447"/>
        <v>3</v>
      </c>
      <c r="JP41" s="388">
        <v>2</v>
      </c>
      <c r="JQ41" s="388">
        <v>4</v>
      </c>
      <c r="JR41" s="388">
        <f t="shared" si="448"/>
        <v>6</v>
      </c>
      <c r="JS41" s="388">
        <v>1</v>
      </c>
      <c r="JT41" s="388">
        <v>4</v>
      </c>
      <c r="JU41" s="388">
        <f t="shared" si="449"/>
        <v>5</v>
      </c>
      <c r="JV41" s="388">
        <v>1</v>
      </c>
      <c r="JW41" s="388">
        <v>0</v>
      </c>
      <c r="JX41" s="388">
        <f t="shared" si="450"/>
        <v>1</v>
      </c>
      <c r="JY41" s="388">
        <v>0</v>
      </c>
      <c r="JZ41" s="388">
        <v>0</v>
      </c>
      <c r="KA41" s="388">
        <f t="shared" si="451"/>
        <v>0</v>
      </c>
      <c r="KB41" s="388">
        <v>0</v>
      </c>
      <c r="KC41" s="388">
        <v>0</v>
      </c>
      <c r="KD41" s="388">
        <f t="shared" si="452"/>
        <v>0</v>
      </c>
      <c r="KE41" s="388">
        <v>0</v>
      </c>
      <c r="KF41" s="388">
        <v>0</v>
      </c>
      <c r="KG41" s="388">
        <f t="shared" si="453"/>
        <v>0</v>
      </c>
      <c r="KH41" s="388">
        <v>0</v>
      </c>
      <c r="KI41" s="388">
        <v>0</v>
      </c>
      <c r="KJ41" s="388">
        <f t="shared" si="454"/>
        <v>0</v>
      </c>
      <c r="KK41" s="388">
        <v>0</v>
      </c>
      <c r="KL41" s="388">
        <v>0</v>
      </c>
      <c r="KM41" s="388">
        <f t="shared" si="455"/>
        <v>0</v>
      </c>
      <c r="KN41" s="388">
        <v>0</v>
      </c>
      <c r="KO41" s="388">
        <v>0</v>
      </c>
      <c r="KP41" s="388">
        <f t="shared" si="456"/>
        <v>0</v>
      </c>
      <c r="KQ41" s="388">
        <v>0</v>
      </c>
      <c r="KR41" s="388">
        <v>0</v>
      </c>
      <c r="KS41" s="388">
        <f t="shared" si="457"/>
        <v>0</v>
      </c>
      <c r="KT41" s="388">
        <v>0</v>
      </c>
      <c r="KU41" s="388">
        <v>0</v>
      </c>
      <c r="KV41" s="388">
        <f t="shared" si="458"/>
        <v>0</v>
      </c>
      <c r="KW41" s="388">
        <v>0</v>
      </c>
      <c r="KX41" s="388">
        <v>0</v>
      </c>
      <c r="KY41" s="388">
        <f t="shared" si="459"/>
        <v>0</v>
      </c>
      <c r="KZ41" s="388">
        <v>0</v>
      </c>
      <c r="LA41" s="388">
        <v>0</v>
      </c>
      <c r="LB41" s="388">
        <f t="shared" si="460"/>
        <v>0</v>
      </c>
      <c r="LC41" s="388">
        <v>0</v>
      </c>
      <c r="LD41" s="388">
        <v>0</v>
      </c>
      <c r="LE41" s="388">
        <f t="shared" si="461"/>
        <v>0</v>
      </c>
      <c r="LF41" s="388">
        <v>0</v>
      </c>
      <c r="LG41" s="388">
        <v>0</v>
      </c>
      <c r="LH41" s="388">
        <f t="shared" si="462"/>
        <v>0</v>
      </c>
      <c r="LI41" s="388">
        <v>0</v>
      </c>
      <c r="LJ41" s="388">
        <v>0</v>
      </c>
      <c r="LK41" s="388">
        <f t="shared" si="463"/>
        <v>0</v>
      </c>
      <c r="LL41" s="388">
        <v>0</v>
      </c>
      <c r="LM41" s="388">
        <v>0</v>
      </c>
      <c r="LN41" s="388">
        <f t="shared" si="464"/>
        <v>0</v>
      </c>
      <c r="LO41" s="388">
        <v>0</v>
      </c>
      <c r="LP41" s="388">
        <v>0</v>
      </c>
      <c r="LQ41" s="388">
        <f t="shared" si="465"/>
        <v>0</v>
      </c>
      <c r="LR41" s="388">
        <v>0</v>
      </c>
      <c r="LS41" s="388">
        <v>0</v>
      </c>
      <c r="LT41" s="388">
        <f t="shared" si="466"/>
        <v>0</v>
      </c>
      <c r="LU41" s="388">
        <v>0</v>
      </c>
      <c r="LV41" s="388">
        <v>0</v>
      </c>
      <c r="LW41" s="388">
        <f t="shared" si="467"/>
        <v>0</v>
      </c>
      <c r="LX41" s="388">
        <v>0</v>
      </c>
      <c r="LY41" s="388">
        <v>0</v>
      </c>
      <c r="LZ41" s="388">
        <f t="shared" si="468"/>
        <v>0</v>
      </c>
      <c r="MA41" s="388">
        <v>0</v>
      </c>
      <c r="MB41" s="388">
        <v>0</v>
      </c>
      <c r="MC41" s="388">
        <f t="shared" si="469"/>
        <v>0</v>
      </c>
      <c r="MD41" s="388">
        <v>0</v>
      </c>
      <c r="ME41" s="388">
        <v>0</v>
      </c>
      <c r="MF41" s="388">
        <f t="shared" si="470"/>
        <v>0</v>
      </c>
      <c r="MG41" s="388">
        <v>0</v>
      </c>
      <c r="MH41" s="388">
        <v>0</v>
      </c>
      <c r="MI41" s="388">
        <f t="shared" si="471"/>
        <v>0</v>
      </c>
      <c r="MJ41" s="388">
        <v>0</v>
      </c>
      <c r="MK41" s="388">
        <v>0</v>
      </c>
      <c r="ML41" s="388">
        <f t="shared" si="472"/>
        <v>0</v>
      </c>
      <c r="MM41" s="388">
        <v>0</v>
      </c>
      <c r="MN41" s="388">
        <v>0</v>
      </c>
      <c r="MO41" s="388">
        <f t="shared" si="473"/>
        <v>0</v>
      </c>
      <c r="MP41" s="388">
        <v>0</v>
      </c>
      <c r="MQ41" s="388">
        <v>0</v>
      </c>
      <c r="MR41" s="388">
        <f t="shared" si="474"/>
        <v>0</v>
      </c>
      <c r="MS41" s="388">
        <v>0</v>
      </c>
      <c r="MT41" s="388">
        <v>0</v>
      </c>
      <c r="MU41" s="388">
        <f t="shared" si="475"/>
        <v>0</v>
      </c>
      <c r="MV41" s="388">
        <v>0</v>
      </c>
      <c r="MW41" s="388">
        <v>0</v>
      </c>
      <c r="MX41" s="388">
        <f t="shared" si="476"/>
        <v>0</v>
      </c>
      <c r="MY41" s="388">
        <v>0</v>
      </c>
      <c r="MZ41" s="388">
        <v>0</v>
      </c>
      <c r="NA41" s="562">
        <f t="shared" si="477"/>
        <v>0</v>
      </c>
      <c r="NB41" s="388">
        <v>0</v>
      </c>
      <c r="NC41" s="388">
        <v>0</v>
      </c>
      <c r="ND41" s="560">
        <f t="shared" si="478"/>
        <v>0</v>
      </c>
      <c r="NE41" s="559">
        <f t="shared" ref="NE41:NF43" si="486">SUM(C41,F41,I41,L41,O41,R41,U41,X41,AA41,AD41,AG41,AJ41,AM41,AP41,AS41,AV41,AY41,BB41,BE41,BH41,BK41,BN41,BQ41,BT41,BW41,BZ41,CC41,CF41,CI41,CL41,CO41,CR41,CU41,CX41,DA41,DD41,DG41,DJ41,DM41,DP41,DS41,DV41,DY41,EB41,EE41,EH41,EK41,EN41,EQ41,ET41,EW41,EZ41,FC41,FF41,FI41,FL41,FO41,FR41,FU41,FX41,GA41,GD41,GG41,GJ41,GM41,GP41,GS41,GV41,GY41,HB41,HE41,HH41,HK41,HN41,HQ41,HT41,HW41,HZ41,IC41,IF41,II41,IL41,IO41,IR41,IU41,IX41,JA41,JD41,JG41,JJ41,JM41,JP41,JS41,JV41,JY41,KB41,KE41,KH41,KK41,KN41,KQ41,KT41,KW41,KZ41,LC41,LF41,LI41,LL41,LO41,LR41,LU41,LX41,MA41,MD41,MG41,MJ41,MM41,MP41,MS41,MV41,MY41)</f>
        <v>12844</v>
      </c>
      <c r="NF41" s="388">
        <f t="shared" si="486"/>
        <v>12534</v>
      </c>
      <c r="NG41" s="560">
        <f t="shared" si="480"/>
        <v>25378</v>
      </c>
      <c r="NH41" s="559">
        <f t="shared" si="481"/>
        <v>1121</v>
      </c>
      <c r="NI41" s="388">
        <f t="shared" si="481"/>
        <v>1025</v>
      </c>
      <c r="NJ41" s="560">
        <f t="shared" si="482"/>
        <v>2146</v>
      </c>
    </row>
    <row r="42" spans="1:374" x14ac:dyDescent="0.3">
      <c r="A42" s="558" t="s">
        <v>285</v>
      </c>
      <c r="B42" s="592" t="s">
        <v>83</v>
      </c>
      <c r="C42" s="561">
        <v>308</v>
      </c>
      <c r="D42" s="388">
        <v>300</v>
      </c>
      <c r="E42" s="388">
        <f t="shared" si="357"/>
        <v>608</v>
      </c>
      <c r="F42" s="388">
        <v>373</v>
      </c>
      <c r="G42" s="388">
        <v>364</v>
      </c>
      <c r="H42" s="388">
        <f t="shared" si="358"/>
        <v>737</v>
      </c>
      <c r="I42" s="388">
        <v>472</v>
      </c>
      <c r="J42" s="388">
        <v>408</v>
      </c>
      <c r="K42" s="388">
        <f t="shared" si="359"/>
        <v>880</v>
      </c>
      <c r="L42" s="388">
        <v>514</v>
      </c>
      <c r="M42" s="388">
        <v>472</v>
      </c>
      <c r="N42" s="388">
        <f t="shared" si="360"/>
        <v>986</v>
      </c>
      <c r="O42" s="388">
        <v>526</v>
      </c>
      <c r="P42" s="388">
        <v>462</v>
      </c>
      <c r="Q42" s="388">
        <f t="shared" si="361"/>
        <v>988</v>
      </c>
      <c r="R42" s="388">
        <v>593</v>
      </c>
      <c r="S42" s="388">
        <v>533</v>
      </c>
      <c r="T42" s="388">
        <f t="shared" si="362"/>
        <v>1126</v>
      </c>
      <c r="U42" s="388">
        <v>597</v>
      </c>
      <c r="V42" s="388">
        <v>562</v>
      </c>
      <c r="W42" s="388">
        <f t="shared" si="363"/>
        <v>1159</v>
      </c>
      <c r="X42" s="388">
        <v>618</v>
      </c>
      <c r="Y42" s="388">
        <v>594</v>
      </c>
      <c r="Z42" s="388">
        <f t="shared" si="364"/>
        <v>1212</v>
      </c>
      <c r="AA42" s="388">
        <v>621</v>
      </c>
      <c r="AB42" s="388">
        <v>532</v>
      </c>
      <c r="AC42" s="388">
        <f t="shared" si="365"/>
        <v>1153</v>
      </c>
      <c r="AD42" s="388">
        <v>566</v>
      </c>
      <c r="AE42" s="388">
        <v>507</v>
      </c>
      <c r="AF42" s="388">
        <f t="shared" si="366"/>
        <v>1073</v>
      </c>
      <c r="AG42" s="388">
        <v>653</v>
      </c>
      <c r="AH42" s="388">
        <v>576</v>
      </c>
      <c r="AI42" s="388">
        <f t="shared" si="367"/>
        <v>1229</v>
      </c>
      <c r="AJ42" s="388">
        <v>576</v>
      </c>
      <c r="AK42" s="388">
        <v>570</v>
      </c>
      <c r="AL42" s="388">
        <f t="shared" si="368"/>
        <v>1146</v>
      </c>
      <c r="AM42" s="388">
        <v>595</v>
      </c>
      <c r="AN42" s="388">
        <v>555</v>
      </c>
      <c r="AO42" s="388">
        <f t="shared" si="369"/>
        <v>1150</v>
      </c>
      <c r="AP42" s="388">
        <v>565</v>
      </c>
      <c r="AQ42" s="388">
        <v>563</v>
      </c>
      <c r="AR42" s="388">
        <f t="shared" si="370"/>
        <v>1128</v>
      </c>
      <c r="AS42" s="388">
        <v>609</v>
      </c>
      <c r="AT42" s="388">
        <v>582</v>
      </c>
      <c r="AU42" s="388">
        <f t="shared" si="371"/>
        <v>1191</v>
      </c>
      <c r="AV42" s="388">
        <v>582</v>
      </c>
      <c r="AW42" s="388">
        <v>545</v>
      </c>
      <c r="AX42" s="388">
        <f t="shared" si="372"/>
        <v>1127</v>
      </c>
      <c r="AY42" s="388">
        <v>602</v>
      </c>
      <c r="AZ42" s="388">
        <v>587</v>
      </c>
      <c r="BA42" s="388">
        <f t="shared" si="373"/>
        <v>1189</v>
      </c>
      <c r="BB42" s="388">
        <v>562</v>
      </c>
      <c r="BC42" s="388">
        <v>496</v>
      </c>
      <c r="BD42" s="388">
        <f t="shared" si="374"/>
        <v>1058</v>
      </c>
      <c r="BE42" s="388">
        <v>569</v>
      </c>
      <c r="BF42" s="388">
        <v>606</v>
      </c>
      <c r="BG42" s="388">
        <f t="shared" si="375"/>
        <v>1175</v>
      </c>
      <c r="BH42" s="388">
        <v>654</v>
      </c>
      <c r="BI42" s="388">
        <v>611</v>
      </c>
      <c r="BJ42" s="388">
        <f t="shared" si="376"/>
        <v>1265</v>
      </c>
      <c r="BK42" s="388">
        <v>640</v>
      </c>
      <c r="BL42" s="388">
        <v>556</v>
      </c>
      <c r="BM42" s="388">
        <f t="shared" si="377"/>
        <v>1196</v>
      </c>
      <c r="BN42" s="388">
        <v>638</v>
      </c>
      <c r="BO42" s="388">
        <v>615</v>
      </c>
      <c r="BP42" s="388">
        <f t="shared" si="378"/>
        <v>1253</v>
      </c>
      <c r="BQ42" s="388">
        <v>669</v>
      </c>
      <c r="BR42" s="388">
        <v>567</v>
      </c>
      <c r="BS42" s="388">
        <f t="shared" si="379"/>
        <v>1236</v>
      </c>
      <c r="BT42" s="388">
        <v>773</v>
      </c>
      <c r="BU42" s="388">
        <v>684</v>
      </c>
      <c r="BV42" s="388">
        <f t="shared" si="380"/>
        <v>1457</v>
      </c>
      <c r="BW42" s="388">
        <v>714</v>
      </c>
      <c r="BX42" s="388">
        <v>683</v>
      </c>
      <c r="BY42" s="388">
        <f t="shared" si="381"/>
        <v>1397</v>
      </c>
      <c r="BZ42" s="388">
        <v>724</v>
      </c>
      <c r="CA42" s="388">
        <v>718</v>
      </c>
      <c r="CB42" s="388">
        <f t="shared" si="382"/>
        <v>1442</v>
      </c>
      <c r="CC42" s="388">
        <v>732</v>
      </c>
      <c r="CD42" s="388">
        <v>705</v>
      </c>
      <c r="CE42" s="388">
        <f t="shared" si="383"/>
        <v>1437</v>
      </c>
      <c r="CF42" s="388">
        <v>699</v>
      </c>
      <c r="CG42" s="388">
        <v>674</v>
      </c>
      <c r="CH42" s="388">
        <f t="shared" si="384"/>
        <v>1373</v>
      </c>
      <c r="CI42" s="388">
        <v>703</v>
      </c>
      <c r="CJ42" s="388">
        <v>720</v>
      </c>
      <c r="CK42" s="388">
        <f t="shared" si="385"/>
        <v>1423</v>
      </c>
      <c r="CL42" s="388">
        <v>680</v>
      </c>
      <c r="CM42" s="388">
        <v>652</v>
      </c>
      <c r="CN42" s="388">
        <f t="shared" si="386"/>
        <v>1332</v>
      </c>
      <c r="CO42" s="388">
        <v>715</v>
      </c>
      <c r="CP42" s="388">
        <v>657</v>
      </c>
      <c r="CQ42" s="388">
        <f t="shared" si="387"/>
        <v>1372</v>
      </c>
      <c r="CR42" s="388">
        <v>653</v>
      </c>
      <c r="CS42" s="388">
        <v>659</v>
      </c>
      <c r="CT42" s="388">
        <f t="shared" si="388"/>
        <v>1312</v>
      </c>
      <c r="CU42" s="388">
        <v>621</v>
      </c>
      <c r="CV42" s="388">
        <v>639</v>
      </c>
      <c r="CW42" s="388">
        <f t="shared" si="389"/>
        <v>1260</v>
      </c>
      <c r="CX42" s="388">
        <v>644</v>
      </c>
      <c r="CY42" s="388">
        <v>637</v>
      </c>
      <c r="CZ42" s="388">
        <f t="shared" si="390"/>
        <v>1281</v>
      </c>
      <c r="DA42" s="388">
        <v>643</v>
      </c>
      <c r="DB42" s="388">
        <v>627</v>
      </c>
      <c r="DC42" s="388">
        <f t="shared" si="391"/>
        <v>1270</v>
      </c>
      <c r="DD42" s="388">
        <v>584</v>
      </c>
      <c r="DE42" s="388">
        <v>595</v>
      </c>
      <c r="DF42" s="388">
        <f t="shared" si="392"/>
        <v>1179</v>
      </c>
      <c r="DG42" s="388">
        <v>623</v>
      </c>
      <c r="DH42" s="388">
        <v>568</v>
      </c>
      <c r="DI42" s="388">
        <f t="shared" si="393"/>
        <v>1191</v>
      </c>
      <c r="DJ42" s="388">
        <v>567</v>
      </c>
      <c r="DK42" s="388">
        <v>569</v>
      </c>
      <c r="DL42" s="388">
        <f t="shared" si="394"/>
        <v>1136</v>
      </c>
      <c r="DM42" s="388">
        <v>582</v>
      </c>
      <c r="DN42" s="388">
        <v>568</v>
      </c>
      <c r="DO42" s="388">
        <f t="shared" si="395"/>
        <v>1150</v>
      </c>
      <c r="DP42" s="388">
        <v>552</v>
      </c>
      <c r="DQ42" s="388">
        <v>554</v>
      </c>
      <c r="DR42" s="388">
        <f t="shared" si="396"/>
        <v>1106</v>
      </c>
      <c r="DS42" s="388">
        <v>575</v>
      </c>
      <c r="DT42" s="388">
        <v>555</v>
      </c>
      <c r="DU42" s="388">
        <f t="shared" si="397"/>
        <v>1130</v>
      </c>
      <c r="DV42" s="388">
        <v>555</v>
      </c>
      <c r="DW42" s="388">
        <v>547</v>
      </c>
      <c r="DX42" s="388">
        <f t="shared" si="398"/>
        <v>1102</v>
      </c>
      <c r="DY42" s="388">
        <v>488</v>
      </c>
      <c r="DZ42" s="388">
        <v>571</v>
      </c>
      <c r="EA42" s="388">
        <f t="shared" si="399"/>
        <v>1059</v>
      </c>
      <c r="EB42" s="388">
        <v>514</v>
      </c>
      <c r="EC42" s="388">
        <v>599</v>
      </c>
      <c r="ED42" s="388">
        <f t="shared" si="400"/>
        <v>1113</v>
      </c>
      <c r="EE42" s="388">
        <v>575</v>
      </c>
      <c r="EF42" s="388">
        <v>589</v>
      </c>
      <c r="EG42" s="388">
        <f t="shared" si="401"/>
        <v>1164</v>
      </c>
      <c r="EH42" s="388">
        <v>485</v>
      </c>
      <c r="EI42" s="388">
        <v>553</v>
      </c>
      <c r="EJ42" s="388">
        <f t="shared" si="402"/>
        <v>1038</v>
      </c>
      <c r="EK42" s="388">
        <v>498</v>
      </c>
      <c r="EL42" s="388">
        <v>550</v>
      </c>
      <c r="EM42" s="388">
        <f t="shared" si="403"/>
        <v>1048</v>
      </c>
      <c r="EN42" s="388">
        <v>480</v>
      </c>
      <c r="EO42" s="388">
        <v>483</v>
      </c>
      <c r="EP42" s="388">
        <f t="shared" si="404"/>
        <v>963</v>
      </c>
      <c r="EQ42" s="388">
        <v>450</v>
      </c>
      <c r="ER42" s="388">
        <v>521</v>
      </c>
      <c r="ES42" s="388">
        <f t="shared" si="405"/>
        <v>971</v>
      </c>
      <c r="ET42" s="388">
        <v>475</v>
      </c>
      <c r="EU42" s="388">
        <v>550</v>
      </c>
      <c r="EV42" s="388">
        <f t="shared" si="406"/>
        <v>1025</v>
      </c>
      <c r="EW42" s="388">
        <v>483</v>
      </c>
      <c r="EX42" s="388">
        <v>555</v>
      </c>
      <c r="EY42" s="388">
        <f t="shared" si="407"/>
        <v>1038</v>
      </c>
      <c r="EZ42" s="388">
        <v>447</v>
      </c>
      <c r="FA42" s="388">
        <v>597</v>
      </c>
      <c r="FB42" s="388">
        <f t="shared" si="408"/>
        <v>1044</v>
      </c>
      <c r="FC42" s="388">
        <v>516</v>
      </c>
      <c r="FD42" s="388">
        <v>535</v>
      </c>
      <c r="FE42" s="388">
        <f t="shared" si="409"/>
        <v>1051</v>
      </c>
      <c r="FF42" s="388">
        <v>466</v>
      </c>
      <c r="FG42" s="388">
        <v>605</v>
      </c>
      <c r="FH42" s="388">
        <f t="shared" si="410"/>
        <v>1071</v>
      </c>
      <c r="FI42" s="388">
        <v>535</v>
      </c>
      <c r="FJ42" s="388">
        <v>614</v>
      </c>
      <c r="FK42" s="388">
        <f t="shared" si="411"/>
        <v>1149</v>
      </c>
      <c r="FL42" s="388">
        <v>494</v>
      </c>
      <c r="FM42" s="388">
        <v>548</v>
      </c>
      <c r="FN42" s="388">
        <f t="shared" si="412"/>
        <v>1042</v>
      </c>
      <c r="FO42" s="388">
        <v>506</v>
      </c>
      <c r="FP42" s="388">
        <v>603</v>
      </c>
      <c r="FQ42" s="388">
        <f t="shared" si="413"/>
        <v>1109</v>
      </c>
      <c r="FR42" s="388">
        <v>523</v>
      </c>
      <c r="FS42" s="388">
        <v>539</v>
      </c>
      <c r="FT42" s="388">
        <f t="shared" si="414"/>
        <v>1062</v>
      </c>
      <c r="FU42" s="388">
        <v>472</v>
      </c>
      <c r="FV42" s="388">
        <v>556</v>
      </c>
      <c r="FW42" s="388">
        <f t="shared" si="415"/>
        <v>1028</v>
      </c>
      <c r="FX42" s="388">
        <v>372</v>
      </c>
      <c r="FY42" s="388">
        <v>531</v>
      </c>
      <c r="FZ42" s="388">
        <f t="shared" si="416"/>
        <v>903</v>
      </c>
      <c r="GA42" s="388">
        <v>440</v>
      </c>
      <c r="GB42" s="388">
        <v>514</v>
      </c>
      <c r="GC42" s="388">
        <f t="shared" si="417"/>
        <v>954</v>
      </c>
      <c r="GD42" s="388">
        <v>425</v>
      </c>
      <c r="GE42" s="388">
        <v>508</v>
      </c>
      <c r="GF42" s="388">
        <f t="shared" si="418"/>
        <v>933</v>
      </c>
      <c r="GG42" s="388">
        <v>369</v>
      </c>
      <c r="GH42" s="388">
        <v>480</v>
      </c>
      <c r="GI42" s="388">
        <f t="shared" si="419"/>
        <v>849</v>
      </c>
      <c r="GJ42" s="388">
        <v>399</v>
      </c>
      <c r="GK42" s="388">
        <v>405</v>
      </c>
      <c r="GL42" s="388">
        <f t="shared" si="420"/>
        <v>804</v>
      </c>
      <c r="GM42" s="388">
        <v>354</v>
      </c>
      <c r="GN42" s="388">
        <v>353</v>
      </c>
      <c r="GO42" s="388">
        <f t="shared" si="421"/>
        <v>707</v>
      </c>
      <c r="GP42" s="388">
        <v>342</v>
      </c>
      <c r="GQ42" s="388">
        <v>314</v>
      </c>
      <c r="GR42" s="388">
        <f t="shared" si="422"/>
        <v>656</v>
      </c>
      <c r="GS42" s="388">
        <v>377</v>
      </c>
      <c r="GT42" s="388">
        <v>315</v>
      </c>
      <c r="GU42" s="388">
        <f t="shared" si="423"/>
        <v>692</v>
      </c>
      <c r="GV42" s="388">
        <v>296</v>
      </c>
      <c r="GW42" s="388">
        <v>247</v>
      </c>
      <c r="GX42" s="388">
        <f t="shared" si="424"/>
        <v>543</v>
      </c>
      <c r="GY42" s="388">
        <v>270</v>
      </c>
      <c r="GZ42" s="388">
        <v>216</v>
      </c>
      <c r="HA42" s="388">
        <f t="shared" si="425"/>
        <v>486</v>
      </c>
      <c r="HB42" s="388">
        <v>196</v>
      </c>
      <c r="HC42" s="388">
        <v>165</v>
      </c>
      <c r="HD42" s="388">
        <f t="shared" si="426"/>
        <v>361</v>
      </c>
      <c r="HE42" s="388">
        <v>186</v>
      </c>
      <c r="HF42" s="388">
        <v>163</v>
      </c>
      <c r="HG42" s="388">
        <f t="shared" si="427"/>
        <v>349</v>
      </c>
      <c r="HH42" s="388">
        <v>144</v>
      </c>
      <c r="HI42" s="388">
        <v>156</v>
      </c>
      <c r="HJ42" s="388">
        <f t="shared" si="428"/>
        <v>300</v>
      </c>
      <c r="HK42" s="388">
        <v>113</v>
      </c>
      <c r="HL42" s="388">
        <v>124</v>
      </c>
      <c r="HM42" s="388">
        <f t="shared" si="429"/>
        <v>237</v>
      </c>
      <c r="HN42" s="388">
        <v>102</v>
      </c>
      <c r="HO42" s="388">
        <v>111</v>
      </c>
      <c r="HP42" s="388">
        <f t="shared" si="430"/>
        <v>213</v>
      </c>
      <c r="HQ42" s="388">
        <v>89</v>
      </c>
      <c r="HR42" s="388">
        <v>91</v>
      </c>
      <c r="HS42" s="388">
        <f t="shared" si="431"/>
        <v>180</v>
      </c>
      <c r="HT42" s="388">
        <v>84</v>
      </c>
      <c r="HU42" s="388">
        <v>96</v>
      </c>
      <c r="HV42" s="388">
        <f t="shared" si="432"/>
        <v>180</v>
      </c>
      <c r="HW42" s="388">
        <v>54</v>
      </c>
      <c r="HX42" s="388">
        <v>76</v>
      </c>
      <c r="HY42" s="388">
        <f t="shared" si="433"/>
        <v>130</v>
      </c>
      <c r="HZ42" s="388">
        <v>40</v>
      </c>
      <c r="IA42" s="388">
        <v>61</v>
      </c>
      <c r="IB42" s="388">
        <f t="shared" si="434"/>
        <v>101</v>
      </c>
      <c r="IC42" s="388">
        <v>37</v>
      </c>
      <c r="ID42" s="388">
        <v>62</v>
      </c>
      <c r="IE42" s="388">
        <f t="shared" si="435"/>
        <v>99</v>
      </c>
      <c r="IF42" s="388">
        <v>26</v>
      </c>
      <c r="IG42" s="388">
        <v>45</v>
      </c>
      <c r="IH42" s="388">
        <f t="shared" si="436"/>
        <v>71</v>
      </c>
      <c r="II42" s="388">
        <v>34</v>
      </c>
      <c r="IJ42" s="388">
        <v>57</v>
      </c>
      <c r="IK42" s="388">
        <f t="shared" si="437"/>
        <v>91</v>
      </c>
      <c r="IL42" s="388">
        <v>29</v>
      </c>
      <c r="IM42" s="388">
        <v>45</v>
      </c>
      <c r="IN42" s="388">
        <f t="shared" si="438"/>
        <v>74</v>
      </c>
      <c r="IO42" s="388">
        <v>22</v>
      </c>
      <c r="IP42" s="388">
        <v>38</v>
      </c>
      <c r="IQ42" s="388">
        <f t="shared" si="439"/>
        <v>60</v>
      </c>
      <c r="IR42" s="388">
        <v>18</v>
      </c>
      <c r="IS42" s="388">
        <v>37</v>
      </c>
      <c r="IT42" s="388">
        <f t="shared" si="440"/>
        <v>55</v>
      </c>
      <c r="IU42" s="388">
        <v>18</v>
      </c>
      <c r="IV42" s="388">
        <v>26</v>
      </c>
      <c r="IW42" s="388">
        <f t="shared" si="441"/>
        <v>44</v>
      </c>
      <c r="IX42" s="388">
        <v>14</v>
      </c>
      <c r="IY42" s="388">
        <v>27</v>
      </c>
      <c r="IZ42" s="388">
        <f t="shared" si="442"/>
        <v>41</v>
      </c>
      <c r="JA42" s="388">
        <v>14</v>
      </c>
      <c r="JB42" s="388">
        <v>23</v>
      </c>
      <c r="JC42" s="388">
        <f t="shared" si="443"/>
        <v>37</v>
      </c>
      <c r="JD42" s="388">
        <v>15</v>
      </c>
      <c r="JE42" s="388">
        <v>14</v>
      </c>
      <c r="JF42" s="388">
        <f t="shared" si="444"/>
        <v>29</v>
      </c>
      <c r="JG42" s="388">
        <v>6</v>
      </c>
      <c r="JH42" s="388">
        <v>14</v>
      </c>
      <c r="JI42" s="388">
        <f t="shared" si="445"/>
        <v>20</v>
      </c>
      <c r="JJ42" s="388">
        <v>9</v>
      </c>
      <c r="JK42" s="388">
        <v>9</v>
      </c>
      <c r="JL42" s="388">
        <f t="shared" si="446"/>
        <v>18</v>
      </c>
      <c r="JM42" s="388">
        <v>4</v>
      </c>
      <c r="JN42" s="388">
        <v>10</v>
      </c>
      <c r="JO42" s="388">
        <f t="shared" si="447"/>
        <v>14</v>
      </c>
      <c r="JP42" s="388">
        <v>4</v>
      </c>
      <c r="JQ42" s="388">
        <v>5</v>
      </c>
      <c r="JR42" s="388">
        <f t="shared" si="448"/>
        <v>9</v>
      </c>
      <c r="JS42" s="388">
        <v>1</v>
      </c>
      <c r="JT42" s="388">
        <v>7</v>
      </c>
      <c r="JU42" s="388">
        <f t="shared" si="449"/>
        <v>8</v>
      </c>
      <c r="JV42" s="388">
        <v>3</v>
      </c>
      <c r="JW42" s="388">
        <v>8</v>
      </c>
      <c r="JX42" s="388">
        <f t="shared" si="450"/>
        <v>11</v>
      </c>
      <c r="JY42" s="388">
        <v>4</v>
      </c>
      <c r="JZ42" s="388">
        <v>2</v>
      </c>
      <c r="KA42" s="388">
        <f t="shared" si="451"/>
        <v>6</v>
      </c>
      <c r="KB42" s="388">
        <v>0</v>
      </c>
      <c r="KC42" s="388">
        <v>0</v>
      </c>
      <c r="KD42" s="388">
        <f t="shared" si="452"/>
        <v>0</v>
      </c>
      <c r="KE42" s="388">
        <v>0</v>
      </c>
      <c r="KF42" s="388">
        <v>0</v>
      </c>
      <c r="KG42" s="388">
        <f t="shared" si="453"/>
        <v>0</v>
      </c>
      <c r="KH42" s="388">
        <v>0</v>
      </c>
      <c r="KI42" s="388">
        <v>1</v>
      </c>
      <c r="KJ42" s="388">
        <f t="shared" si="454"/>
        <v>1</v>
      </c>
      <c r="KK42" s="388">
        <v>0</v>
      </c>
      <c r="KL42" s="388">
        <v>1</v>
      </c>
      <c r="KM42" s="388">
        <f t="shared" si="455"/>
        <v>1</v>
      </c>
      <c r="KN42" s="388">
        <v>0</v>
      </c>
      <c r="KO42" s="388">
        <v>0</v>
      </c>
      <c r="KP42" s="388">
        <f t="shared" si="456"/>
        <v>0</v>
      </c>
      <c r="KQ42" s="388">
        <v>0</v>
      </c>
      <c r="KR42" s="388">
        <v>0</v>
      </c>
      <c r="KS42" s="388">
        <f t="shared" si="457"/>
        <v>0</v>
      </c>
      <c r="KT42" s="388">
        <v>0</v>
      </c>
      <c r="KU42" s="388">
        <v>0</v>
      </c>
      <c r="KV42" s="388">
        <f t="shared" si="458"/>
        <v>0</v>
      </c>
      <c r="KW42" s="388">
        <v>0</v>
      </c>
      <c r="KX42" s="388">
        <v>0</v>
      </c>
      <c r="KY42" s="388">
        <f t="shared" si="459"/>
        <v>0</v>
      </c>
      <c r="KZ42" s="388">
        <v>0</v>
      </c>
      <c r="LA42" s="388">
        <v>0</v>
      </c>
      <c r="LB42" s="388">
        <f t="shared" si="460"/>
        <v>0</v>
      </c>
      <c r="LC42" s="388">
        <v>0</v>
      </c>
      <c r="LD42" s="388">
        <v>0</v>
      </c>
      <c r="LE42" s="388">
        <f t="shared" si="461"/>
        <v>0</v>
      </c>
      <c r="LF42" s="388">
        <v>0</v>
      </c>
      <c r="LG42" s="388">
        <v>0</v>
      </c>
      <c r="LH42" s="388">
        <f t="shared" si="462"/>
        <v>0</v>
      </c>
      <c r="LI42" s="388">
        <v>0</v>
      </c>
      <c r="LJ42" s="388">
        <v>0</v>
      </c>
      <c r="LK42" s="388">
        <f t="shared" si="463"/>
        <v>0</v>
      </c>
      <c r="LL42" s="388">
        <v>0</v>
      </c>
      <c r="LM42" s="388">
        <v>0</v>
      </c>
      <c r="LN42" s="388">
        <f t="shared" si="464"/>
        <v>0</v>
      </c>
      <c r="LO42" s="388">
        <v>0</v>
      </c>
      <c r="LP42" s="388">
        <v>0</v>
      </c>
      <c r="LQ42" s="388">
        <f t="shared" si="465"/>
        <v>0</v>
      </c>
      <c r="LR42" s="388">
        <v>0</v>
      </c>
      <c r="LS42" s="388">
        <v>0</v>
      </c>
      <c r="LT42" s="388">
        <f t="shared" si="466"/>
        <v>0</v>
      </c>
      <c r="LU42" s="388">
        <v>0</v>
      </c>
      <c r="LV42" s="388">
        <v>0</v>
      </c>
      <c r="LW42" s="388">
        <f t="shared" si="467"/>
        <v>0</v>
      </c>
      <c r="LX42" s="388">
        <v>0</v>
      </c>
      <c r="LY42" s="388">
        <v>0</v>
      </c>
      <c r="LZ42" s="388">
        <f t="shared" si="468"/>
        <v>0</v>
      </c>
      <c r="MA42" s="388">
        <v>0</v>
      </c>
      <c r="MB42" s="388">
        <v>0</v>
      </c>
      <c r="MC42" s="388">
        <f t="shared" si="469"/>
        <v>0</v>
      </c>
      <c r="MD42" s="388">
        <v>0</v>
      </c>
      <c r="ME42" s="388">
        <v>0</v>
      </c>
      <c r="MF42" s="388">
        <f t="shared" si="470"/>
        <v>0</v>
      </c>
      <c r="MG42" s="388">
        <v>0</v>
      </c>
      <c r="MH42" s="388">
        <v>0</v>
      </c>
      <c r="MI42" s="388">
        <f t="shared" si="471"/>
        <v>0</v>
      </c>
      <c r="MJ42" s="388">
        <v>0</v>
      </c>
      <c r="MK42" s="388">
        <v>0</v>
      </c>
      <c r="ML42" s="388">
        <f t="shared" si="472"/>
        <v>0</v>
      </c>
      <c r="MM42" s="388">
        <v>0</v>
      </c>
      <c r="MN42" s="388">
        <v>0</v>
      </c>
      <c r="MO42" s="388">
        <f t="shared" si="473"/>
        <v>0</v>
      </c>
      <c r="MP42" s="388">
        <v>0</v>
      </c>
      <c r="MQ42" s="388">
        <v>0</v>
      </c>
      <c r="MR42" s="388">
        <f t="shared" si="474"/>
        <v>0</v>
      </c>
      <c r="MS42" s="388">
        <v>0</v>
      </c>
      <c r="MT42" s="388">
        <v>0</v>
      </c>
      <c r="MU42" s="388">
        <f t="shared" si="475"/>
        <v>0</v>
      </c>
      <c r="MV42" s="388">
        <v>0</v>
      </c>
      <c r="MW42" s="388">
        <v>0</v>
      </c>
      <c r="MX42" s="388">
        <f t="shared" si="476"/>
        <v>0</v>
      </c>
      <c r="MY42" s="388">
        <v>0</v>
      </c>
      <c r="MZ42" s="388">
        <v>0</v>
      </c>
      <c r="NA42" s="562">
        <f t="shared" si="477"/>
        <v>0</v>
      </c>
      <c r="NB42" s="388">
        <v>0</v>
      </c>
      <c r="NC42" s="388">
        <v>0</v>
      </c>
      <c r="ND42" s="560">
        <f t="shared" si="478"/>
        <v>0</v>
      </c>
      <c r="NE42" s="559">
        <f t="shared" si="486"/>
        <v>38758</v>
      </c>
      <c r="NF42" s="388">
        <f t="shared" si="486"/>
        <v>39099</v>
      </c>
      <c r="NG42" s="560">
        <f t="shared" si="480"/>
        <v>77857</v>
      </c>
      <c r="NH42" s="559">
        <f t="shared" si="481"/>
        <v>2786</v>
      </c>
      <c r="NI42" s="388">
        <f t="shared" si="481"/>
        <v>2539</v>
      </c>
      <c r="NJ42" s="560">
        <f t="shared" si="482"/>
        <v>5325</v>
      </c>
    </row>
    <row r="43" spans="1:374" ht="14.5" thickBot="1" x14ac:dyDescent="0.35">
      <c r="A43" s="563" t="s">
        <v>286</v>
      </c>
      <c r="B43" s="593" t="s">
        <v>85</v>
      </c>
      <c r="C43" s="566">
        <v>125</v>
      </c>
      <c r="D43" s="392">
        <v>131</v>
      </c>
      <c r="E43" s="392">
        <f t="shared" si="357"/>
        <v>256</v>
      </c>
      <c r="F43" s="392">
        <v>185</v>
      </c>
      <c r="G43" s="392">
        <v>139</v>
      </c>
      <c r="H43" s="392">
        <f t="shared" si="358"/>
        <v>324</v>
      </c>
      <c r="I43" s="392">
        <v>186</v>
      </c>
      <c r="J43" s="392">
        <v>180</v>
      </c>
      <c r="K43" s="392">
        <f t="shared" si="359"/>
        <v>366</v>
      </c>
      <c r="L43" s="392">
        <v>205</v>
      </c>
      <c r="M43" s="392">
        <v>196</v>
      </c>
      <c r="N43" s="392">
        <f t="shared" si="360"/>
        <v>401</v>
      </c>
      <c r="O43" s="392">
        <v>221</v>
      </c>
      <c r="P43" s="392">
        <v>226</v>
      </c>
      <c r="Q43" s="392">
        <f t="shared" si="361"/>
        <v>447</v>
      </c>
      <c r="R43" s="392">
        <v>300</v>
      </c>
      <c r="S43" s="392">
        <v>234</v>
      </c>
      <c r="T43" s="392">
        <f t="shared" si="362"/>
        <v>534</v>
      </c>
      <c r="U43" s="392">
        <v>292</v>
      </c>
      <c r="V43" s="392">
        <v>273</v>
      </c>
      <c r="W43" s="392">
        <f t="shared" si="363"/>
        <v>565</v>
      </c>
      <c r="X43" s="392">
        <v>313</v>
      </c>
      <c r="Y43" s="392">
        <v>269</v>
      </c>
      <c r="Z43" s="392">
        <f t="shared" si="364"/>
        <v>582</v>
      </c>
      <c r="AA43" s="392">
        <v>277</v>
      </c>
      <c r="AB43" s="392">
        <v>266</v>
      </c>
      <c r="AC43" s="392">
        <f t="shared" si="365"/>
        <v>543</v>
      </c>
      <c r="AD43" s="392">
        <v>271</v>
      </c>
      <c r="AE43" s="392">
        <v>214</v>
      </c>
      <c r="AF43" s="392">
        <f t="shared" si="366"/>
        <v>485</v>
      </c>
      <c r="AG43" s="392">
        <v>280</v>
      </c>
      <c r="AH43" s="392">
        <v>261</v>
      </c>
      <c r="AI43" s="392">
        <f t="shared" si="367"/>
        <v>541</v>
      </c>
      <c r="AJ43" s="392">
        <v>245</v>
      </c>
      <c r="AK43" s="392">
        <v>259</v>
      </c>
      <c r="AL43" s="392">
        <f t="shared" si="368"/>
        <v>504</v>
      </c>
      <c r="AM43" s="392">
        <v>243</v>
      </c>
      <c r="AN43" s="392">
        <v>245</v>
      </c>
      <c r="AO43" s="392">
        <f t="shared" si="369"/>
        <v>488</v>
      </c>
      <c r="AP43" s="392">
        <v>275</v>
      </c>
      <c r="AQ43" s="392">
        <v>254</v>
      </c>
      <c r="AR43" s="392">
        <f t="shared" si="370"/>
        <v>529</v>
      </c>
      <c r="AS43" s="392">
        <v>295</v>
      </c>
      <c r="AT43" s="392">
        <v>280</v>
      </c>
      <c r="AU43" s="392">
        <f t="shared" si="371"/>
        <v>575</v>
      </c>
      <c r="AV43" s="392">
        <v>271</v>
      </c>
      <c r="AW43" s="392">
        <v>251</v>
      </c>
      <c r="AX43" s="392">
        <f t="shared" si="372"/>
        <v>522</v>
      </c>
      <c r="AY43" s="392">
        <v>276</v>
      </c>
      <c r="AZ43" s="392">
        <v>233</v>
      </c>
      <c r="BA43" s="392">
        <f t="shared" si="373"/>
        <v>509</v>
      </c>
      <c r="BB43" s="392">
        <v>238</v>
      </c>
      <c r="BC43" s="392">
        <v>237</v>
      </c>
      <c r="BD43" s="392">
        <f t="shared" si="374"/>
        <v>475</v>
      </c>
      <c r="BE43" s="392">
        <v>236</v>
      </c>
      <c r="BF43" s="392">
        <v>235</v>
      </c>
      <c r="BG43" s="392">
        <f t="shared" si="375"/>
        <v>471</v>
      </c>
      <c r="BH43" s="392">
        <v>253</v>
      </c>
      <c r="BI43" s="392">
        <v>234</v>
      </c>
      <c r="BJ43" s="392">
        <f t="shared" si="376"/>
        <v>487</v>
      </c>
      <c r="BK43" s="392">
        <v>231</v>
      </c>
      <c r="BL43" s="392">
        <v>203</v>
      </c>
      <c r="BM43" s="392">
        <f t="shared" si="377"/>
        <v>434</v>
      </c>
      <c r="BN43" s="392">
        <v>218</v>
      </c>
      <c r="BO43" s="392">
        <v>229</v>
      </c>
      <c r="BP43" s="392">
        <f t="shared" si="378"/>
        <v>447</v>
      </c>
      <c r="BQ43" s="392">
        <v>265</v>
      </c>
      <c r="BR43" s="392">
        <v>247</v>
      </c>
      <c r="BS43" s="392">
        <f t="shared" si="379"/>
        <v>512</v>
      </c>
      <c r="BT43" s="392">
        <v>261</v>
      </c>
      <c r="BU43" s="392">
        <v>250</v>
      </c>
      <c r="BV43" s="392">
        <f t="shared" si="380"/>
        <v>511</v>
      </c>
      <c r="BW43" s="392">
        <v>226</v>
      </c>
      <c r="BX43" s="392">
        <v>234</v>
      </c>
      <c r="BY43" s="392">
        <f t="shared" si="381"/>
        <v>460</v>
      </c>
      <c r="BZ43" s="392">
        <v>258</v>
      </c>
      <c r="CA43" s="392">
        <v>229</v>
      </c>
      <c r="CB43" s="392">
        <f t="shared" si="382"/>
        <v>487</v>
      </c>
      <c r="CC43" s="392">
        <v>264</v>
      </c>
      <c r="CD43" s="392">
        <v>251</v>
      </c>
      <c r="CE43" s="392">
        <f t="shared" si="383"/>
        <v>515</v>
      </c>
      <c r="CF43" s="392">
        <v>236</v>
      </c>
      <c r="CG43" s="392">
        <v>214</v>
      </c>
      <c r="CH43" s="392">
        <f t="shared" si="384"/>
        <v>450</v>
      </c>
      <c r="CI43" s="392">
        <v>255</v>
      </c>
      <c r="CJ43" s="392">
        <v>245</v>
      </c>
      <c r="CK43" s="392">
        <f t="shared" si="385"/>
        <v>500</v>
      </c>
      <c r="CL43" s="392">
        <v>238</v>
      </c>
      <c r="CM43" s="392">
        <v>224</v>
      </c>
      <c r="CN43" s="392">
        <f t="shared" si="386"/>
        <v>462</v>
      </c>
      <c r="CO43" s="392">
        <v>251</v>
      </c>
      <c r="CP43" s="392">
        <v>235</v>
      </c>
      <c r="CQ43" s="392">
        <f t="shared" si="387"/>
        <v>486</v>
      </c>
      <c r="CR43" s="392">
        <v>264</v>
      </c>
      <c r="CS43" s="392">
        <v>257</v>
      </c>
      <c r="CT43" s="392">
        <f t="shared" si="388"/>
        <v>521</v>
      </c>
      <c r="CU43" s="392">
        <v>251</v>
      </c>
      <c r="CV43" s="392">
        <v>270</v>
      </c>
      <c r="CW43" s="392">
        <f t="shared" si="389"/>
        <v>521</v>
      </c>
      <c r="CX43" s="392">
        <v>268</v>
      </c>
      <c r="CY43" s="392">
        <v>247</v>
      </c>
      <c r="CZ43" s="392">
        <f t="shared" si="390"/>
        <v>515</v>
      </c>
      <c r="DA43" s="392">
        <v>271</v>
      </c>
      <c r="DB43" s="392">
        <v>228</v>
      </c>
      <c r="DC43" s="392">
        <f t="shared" si="391"/>
        <v>499</v>
      </c>
      <c r="DD43" s="392">
        <v>229</v>
      </c>
      <c r="DE43" s="392">
        <v>260</v>
      </c>
      <c r="DF43" s="392">
        <f t="shared" si="392"/>
        <v>489</v>
      </c>
      <c r="DG43" s="392">
        <v>255</v>
      </c>
      <c r="DH43" s="392">
        <v>261</v>
      </c>
      <c r="DI43" s="392">
        <f t="shared" si="393"/>
        <v>516</v>
      </c>
      <c r="DJ43" s="392">
        <v>235</v>
      </c>
      <c r="DK43" s="392">
        <v>210</v>
      </c>
      <c r="DL43" s="392">
        <f t="shared" si="394"/>
        <v>445</v>
      </c>
      <c r="DM43" s="392">
        <v>243</v>
      </c>
      <c r="DN43" s="392">
        <v>213</v>
      </c>
      <c r="DO43" s="392">
        <f t="shared" si="395"/>
        <v>456</v>
      </c>
      <c r="DP43" s="392">
        <v>250</v>
      </c>
      <c r="DQ43" s="392">
        <v>235</v>
      </c>
      <c r="DR43" s="392">
        <f t="shared" si="396"/>
        <v>485</v>
      </c>
      <c r="DS43" s="392">
        <v>294</v>
      </c>
      <c r="DT43" s="392">
        <v>234</v>
      </c>
      <c r="DU43" s="392">
        <f t="shared" si="397"/>
        <v>528</v>
      </c>
      <c r="DV43" s="392">
        <v>274</v>
      </c>
      <c r="DW43" s="392">
        <v>240</v>
      </c>
      <c r="DX43" s="392">
        <f t="shared" si="398"/>
        <v>514</v>
      </c>
      <c r="DY43" s="392">
        <v>258</v>
      </c>
      <c r="DZ43" s="392">
        <v>230</v>
      </c>
      <c r="EA43" s="392">
        <f t="shared" si="399"/>
        <v>488</v>
      </c>
      <c r="EB43" s="392">
        <v>237</v>
      </c>
      <c r="EC43" s="392">
        <v>285</v>
      </c>
      <c r="ED43" s="392">
        <f t="shared" si="400"/>
        <v>522</v>
      </c>
      <c r="EE43" s="392">
        <v>276</v>
      </c>
      <c r="EF43" s="392">
        <v>283</v>
      </c>
      <c r="EG43" s="392">
        <f t="shared" si="401"/>
        <v>559</v>
      </c>
      <c r="EH43" s="392">
        <v>239</v>
      </c>
      <c r="EI43" s="392">
        <v>251</v>
      </c>
      <c r="EJ43" s="392">
        <f t="shared" si="402"/>
        <v>490</v>
      </c>
      <c r="EK43" s="392">
        <v>231</v>
      </c>
      <c r="EL43" s="392">
        <v>254</v>
      </c>
      <c r="EM43" s="392">
        <f t="shared" si="403"/>
        <v>485</v>
      </c>
      <c r="EN43" s="392">
        <v>243</v>
      </c>
      <c r="EO43" s="392">
        <v>254</v>
      </c>
      <c r="EP43" s="392">
        <f t="shared" si="404"/>
        <v>497</v>
      </c>
      <c r="EQ43" s="392">
        <v>213</v>
      </c>
      <c r="ER43" s="392">
        <v>235</v>
      </c>
      <c r="ES43" s="392">
        <f t="shared" si="405"/>
        <v>448</v>
      </c>
      <c r="ET43" s="392">
        <v>213</v>
      </c>
      <c r="EU43" s="392">
        <v>221</v>
      </c>
      <c r="EV43" s="392">
        <f t="shared" si="406"/>
        <v>434</v>
      </c>
      <c r="EW43" s="392">
        <v>208</v>
      </c>
      <c r="EX43" s="392">
        <v>206</v>
      </c>
      <c r="EY43" s="392">
        <f t="shared" si="407"/>
        <v>414</v>
      </c>
      <c r="EZ43" s="392">
        <v>195</v>
      </c>
      <c r="FA43" s="392">
        <v>201</v>
      </c>
      <c r="FB43" s="392">
        <f t="shared" si="408"/>
        <v>396</v>
      </c>
      <c r="FC43" s="392">
        <v>193</v>
      </c>
      <c r="FD43" s="392">
        <v>194</v>
      </c>
      <c r="FE43" s="392">
        <f t="shared" si="409"/>
        <v>387</v>
      </c>
      <c r="FF43" s="392">
        <v>194</v>
      </c>
      <c r="FG43" s="392">
        <v>209</v>
      </c>
      <c r="FH43" s="392">
        <f t="shared" si="410"/>
        <v>403</v>
      </c>
      <c r="FI43" s="392">
        <v>185</v>
      </c>
      <c r="FJ43" s="392">
        <v>188</v>
      </c>
      <c r="FK43" s="392">
        <f t="shared" si="411"/>
        <v>373</v>
      </c>
      <c r="FL43" s="392">
        <v>178</v>
      </c>
      <c r="FM43" s="392">
        <v>174</v>
      </c>
      <c r="FN43" s="392">
        <f t="shared" si="412"/>
        <v>352</v>
      </c>
      <c r="FO43" s="392">
        <v>164</v>
      </c>
      <c r="FP43" s="392">
        <v>151</v>
      </c>
      <c r="FQ43" s="392">
        <f t="shared" si="413"/>
        <v>315</v>
      </c>
      <c r="FR43" s="392">
        <v>163</v>
      </c>
      <c r="FS43" s="392">
        <v>168</v>
      </c>
      <c r="FT43" s="392">
        <f t="shared" si="414"/>
        <v>331</v>
      </c>
      <c r="FU43" s="392">
        <v>145</v>
      </c>
      <c r="FV43" s="392">
        <v>185</v>
      </c>
      <c r="FW43" s="392">
        <f t="shared" si="415"/>
        <v>330</v>
      </c>
      <c r="FX43" s="392">
        <v>128</v>
      </c>
      <c r="FY43" s="392">
        <v>116</v>
      </c>
      <c r="FZ43" s="392">
        <f t="shared" si="416"/>
        <v>244</v>
      </c>
      <c r="GA43" s="392">
        <v>129</v>
      </c>
      <c r="GB43" s="392">
        <v>132</v>
      </c>
      <c r="GC43" s="392">
        <f t="shared" si="417"/>
        <v>261</v>
      </c>
      <c r="GD43" s="392">
        <v>104</v>
      </c>
      <c r="GE43" s="392">
        <v>147</v>
      </c>
      <c r="GF43" s="392">
        <f t="shared" si="418"/>
        <v>251</v>
      </c>
      <c r="GG43" s="392">
        <v>116</v>
      </c>
      <c r="GH43" s="392">
        <v>156</v>
      </c>
      <c r="GI43" s="392">
        <f t="shared" si="419"/>
        <v>272</v>
      </c>
      <c r="GJ43" s="392">
        <v>100</v>
      </c>
      <c r="GK43" s="392">
        <v>131</v>
      </c>
      <c r="GL43" s="392">
        <f t="shared" si="420"/>
        <v>231</v>
      </c>
      <c r="GM43" s="392">
        <v>118</v>
      </c>
      <c r="GN43" s="392">
        <v>130</v>
      </c>
      <c r="GO43" s="392">
        <f t="shared" si="421"/>
        <v>248</v>
      </c>
      <c r="GP43" s="392">
        <v>99</v>
      </c>
      <c r="GQ43" s="392">
        <v>117</v>
      </c>
      <c r="GR43" s="392">
        <f t="shared" si="422"/>
        <v>216</v>
      </c>
      <c r="GS43" s="392">
        <v>124</v>
      </c>
      <c r="GT43" s="392">
        <v>124</v>
      </c>
      <c r="GU43" s="392">
        <f t="shared" si="423"/>
        <v>248</v>
      </c>
      <c r="GV43" s="392">
        <v>92</v>
      </c>
      <c r="GW43" s="392">
        <v>110</v>
      </c>
      <c r="GX43" s="392">
        <f t="shared" si="424"/>
        <v>202</v>
      </c>
      <c r="GY43" s="392">
        <v>94</v>
      </c>
      <c r="GZ43" s="392">
        <v>104</v>
      </c>
      <c r="HA43" s="392">
        <f t="shared" si="425"/>
        <v>198</v>
      </c>
      <c r="HB43" s="392">
        <v>80</v>
      </c>
      <c r="HC43" s="392">
        <v>72</v>
      </c>
      <c r="HD43" s="392">
        <f t="shared" si="426"/>
        <v>152</v>
      </c>
      <c r="HE43" s="392">
        <v>66</v>
      </c>
      <c r="HF43" s="392">
        <v>58</v>
      </c>
      <c r="HG43" s="392">
        <f t="shared" si="427"/>
        <v>124</v>
      </c>
      <c r="HH43" s="392">
        <v>70</v>
      </c>
      <c r="HI43" s="392">
        <v>44</v>
      </c>
      <c r="HJ43" s="392">
        <f t="shared" si="428"/>
        <v>114</v>
      </c>
      <c r="HK43" s="392">
        <v>55</v>
      </c>
      <c r="HL43" s="392">
        <v>60</v>
      </c>
      <c r="HM43" s="392">
        <f t="shared" si="429"/>
        <v>115</v>
      </c>
      <c r="HN43" s="392">
        <v>53</v>
      </c>
      <c r="HO43" s="392">
        <v>51</v>
      </c>
      <c r="HP43" s="392">
        <f t="shared" si="430"/>
        <v>104</v>
      </c>
      <c r="HQ43" s="392">
        <v>36</v>
      </c>
      <c r="HR43" s="392">
        <v>46</v>
      </c>
      <c r="HS43" s="392">
        <f t="shared" si="431"/>
        <v>82</v>
      </c>
      <c r="HT43" s="392">
        <v>47</v>
      </c>
      <c r="HU43" s="392">
        <v>35</v>
      </c>
      <c r="HV43" s="392">
        <f t="shared" si="432"/>
        <v>82</v>
      </c>
      <c r="HW43" s="392">
        <v>31</v>
      </c>
      <c r="HX43" s="392">
        <v>29</v>
      </c>
      <c r="HY43" s="392">
        <f t="shared" si="433"/>
        <v>60</v>
      </c>
      <c r="HZ43" s="392">
        <v>26</v>
      </c>
      <c r="IA43" s="392">
        <v>19</v>
      </c>
      <c r="IB43" s="392">
        <f t="shared" si="434"/>
        <v>45</v>
      </c>
      <c r="IC43" s="392">
        <v>18</v>
      </c>
      <c r="ID43" s="392">
        <v>20</v>
      </c>
      <c r="IE43" s="392">
        <f t="shared" si="435"/>
        <v>38</v>
      </c>
      <c r="IF43" s="392">
        <v>21</v>
      </c>
      <c r="IG43" s="392">
        <v>14</v>
      </c>
      <c r="IH43" s="392">
        <f t="shared" si="436"/>
        <v>35</v>
      </c>
      <c r="II43" s="392">
        <v>15</v>
      </c>
      <c r="IJ43" s="392">
        <v>10</v>
      </c>
      <c r="IK43" s="392">
        <f t="shared" si="437"/>
        <v>25</v>
      </c>
      <c r="IL43" s="392">
        <v>11</v>
      </c>
      <c r="IM43" s="392">
        <v>11</v>
      </c>
      <c r="IN43" s="392">
        <f t="shared" si="438"/>
        <v>22</v>
      </c>
      <c r="IO43" s="392">
        <v>8</v>
      </c>
      <c r="IP43" s="392">
        <v>8</v>
      </c>
      <c r="IQ43" s="392">
        <f t="shared" si="439"/>
        <v>16</v>
      </c>
      <c r="IR43" s="392">
        <v>8</v>
      </c>
      <c r="IS43" s="392">
        <v>9</v>
      </c>
      <c r="IT43" s="392">
        <f t="shared" si="440"/>
        <v>17</v>
      </c>
      <c r="IU43" s="392">
        <v>4</v>
      </c>
      <c r="IV43" s="392">
        <v>5</v>
      </c>
      <c r="IW43" s="392">
        <f t="shared" si="441"/>
        <v>9</v>
      </c>
      <c r="IX43" s="392">
        <v>4</v>
      </c>
      <c r="IY43" s="392">
        <v>8</v>
      </c>
      <c r="IZ43" s="392">
        <f t="shared" si="442"/>
        <v>12</v>
      </c>
      <c r="JA43" s="392">
        <v>6</v>
      </c>
      <c r="JB43" s="392">
        <v>10</v>
      </c>
      <c r="JC43" s="392">
        <f t="shared" si="443"/>
        <v>16</v>
      </c>
      <c r="JD43" s="392">
        <v>2</v>
      </c>
      <c r="JE43" s="392">
        <v>6</v>
      </c>
      <c r="JF43" s="392">
        <f t="shared" si="444"/>
        <v>8</v>
      </c>
      <c r="JG43" s="392">
        <v>2</v>
      </c>
      <c r="JH43" s="392">
        <v>3</v>
      </c>
      <c r="JI43" s="392">
        <f t="shared" si="445"/>
        <v>5</v>
      </c>
      <c r="JJ43" s="392">
        <v>0</v>
      </c>
      <c r="JK43" s="392">
        <v>1</v>
      </c>
      <c r="JL43" s="392">
        <f t="shared" si="446"/>
        <v>1</v>
      </c>
      <c r="JM43" s="392">
        <v>2</v>
      </c>
      <c r="JN43" s="392">
        <v>2</v>
      </c>
      <c r="JO43" s="392">
        <f t="shared" si="447"/>
        <v>4</v>
      </c>
      <c r="JP43" s="392">
        <v>1</v>
      </c>
      <c r="JQ43" s="392">
        <v>2</v>
      </c>
      <c r="JR43" s="392">
        <f t="shared" si="448"/>
        <v>3</v>
      </c>
      <c r="JS43" s="392">
        <v>0</v>
      </c>
      <c r="JT43" s="392">
        <v>0</v>
      </c>
      <c r="JU43" s="392">
        <f t="shared" si="449"/>
        <v>0</v>
      </c>
      <c r="JV43" s="392">
        <v>0</v>
      </c>
      <c r="JW43" s="392">
        <v>5</v>
      </c>
      <c r="JX43" s="392">
        <f t="shared" si="450"/>
        <v>5</v>
      </c>
      <c r="JY43" s="392">
        <v>2</v>
      </c>
      <c r="JZ43" s="392">
        <v>0</v>
      </c>
      <c r="KA43" s="392">
        <f t="shared" si="451"/>
        <v>2</v>
      </c>
      <c r="KB43" s="392">
        <v>0</v>
      </c>
      <c r="KC43" s="392">
        <v>0</v>
      </c>
      <c r="KD43" s="392">
        <f t="shared" si="452"/>
        <v>0</v>
      </c>
      <c r="KE43" s="392">
        <v>0</v>
      </c>
      <c r="KF43" s="392">
        <v>0</v>
      </c>
      <c r="KG43" s="392">
        <f t="shared" si="453"/>
        <v>0</v>
      </c>
      <c r="KH43" s="392">
        <v>0</v>
      </c>
      <c r="KI43" s="392">
        <v>0</v>
      </c>
      <c r="KJ43" s="392">
        <f t="shared" si="454"/>
        <v>0</v>
      </c>
      <c r="KK43" s="392">
        <v>0</v>
      </c>
      <c r="KL43" s="392">
        <v>0</v>
      </c>
      <c r="KM43" s="392">
        <f t="shared" si="455"/>
        <v>0</v>
      </c>
      <c r="KN43" s="392">
        <v>0</v>
      </c>
      <c r="KO43" s="392">
        <v>1</v>
      </c>
      <c r="KP43" s="392">
        <f t="shared" si="456"/>
        <v>1</v>
      </c>
      <c r="KQ43" s="392">
        <v>0</v>
      </c>
      <c r="KR43" s="392">
        <v>0</v>
      </c>
      <c r="KS43" s="392">
        <f t="shared" si="457"/>
        <v>0</v>
      </c>
      <c r="KT43" s="392">
        <v>0</v>
      </c>
      <c r="KU43" s="392">
        <v>0</v>
      </c>
      <c r="KV43" s="392">
        <f t="shared" si="458"/>
        <v>0</v>
      </c>
      <c r="KW43" s="392">
        <v>0</v>
      </c>
      <c r="KX43" s="392">
        <v>0</v>
      </c>
      <c r="KY43" s="392">
        <f t="shared" si="459"/>
        <v>0</v>
      </c>
      <c r="KZ43" s="392">
        <v>0</v>
      </c>
      <c r="LA43" s="392">
        <v>0</v>
      </c>
      <c r="LB43" s="392">
        <f t="shared" si="460"/>
        <v>0</v>
      </c>
      <c r="LC43" s="392">
        <v>0</v>
      </c>
      <c r="LD43" s="392">
        <v>0</v>
      </c>
      <c r="LE43" s="392">
        <f t="shared" si="461"/>
        <v>0</v>
      </c>
      <c r="LF43" s="392">
        <v>0</v>
      </c>
      <c r="LG43" s="392">
        <v>0</v>
      </c>
      <c r="LH43" s="392">
        <f t="shared" si="462"/>
        <v>0</v>
      </c>
      <c r="LI43" s="392">
        <v>0</v>
      </c>
      <c r="LJ43" s="392">
        <v>0</v>
      </c>
      <c r="LK43" s="392">
        <f t="shared" si="463"/>
        <v>0</v>
      </c>
      <c r="LL43" s="392">
        <v>0</v>
      </c>
      <c r="LM43" s="392">
        <v>0</v>
      </c>
      <c r="LN43" s="392">
        <f t="shared" si="464"/>
        <v>0</v>
      </c>
      <c r="LO43" s="392">
        <v>0</v>
      </c>
      <c r="LP43" s="392">
        <v>0</v>
      </c>
      <c r="LQ43" s="392">
        <f t="shared" si="465"/>
        <v>0</v>
      </c>
      <c r="LR43" s="392">
        <v>0</v>
      </c>
      <c r="LS43" s="392">
        <v>0</v>
      </c>
      <c r="LT43" s="392">
        <f t="shared" si="466"/>
        <v>0</v>
      </c>
      <c r="LU43" s="392">
        <v>0</v>
      </c>
      <c r="LV43" s="392">
        <v>0</v>
      </c>
      <c r="LW43" s="392">
        <f t="shared" si="467"/>
        <v>0</v>
      </c>
      <c r="LX43" s="392">
        <v>0</v>
      </c>
      <c r="LY43" s="392">
        <v>0</v>
      </c>
      <c r="LZ43" s="392">
        <f t="shared" si="468"/>
        <v>0</v>
      </c>
      <c r="MA43" s="392">
        <v>0</v>
      </c>
      <c r="MB43" s="392">
        <v>0</v>
      </c>
      <c r="MC43" s="392">
        <f t="shared" si="469"/>
        <v>0</v>
      </c>
      <c r="MD43" s="392">
        <v>0</v>
      </c>
      <c r="ME43" s="392">
        <v>0</v>
      </c>
      <c r="MF43" s="392">
        <f t="shared" si="470"/>
        <v>0</v>
      </c>
      <c r="MG43" s="392">
        <v>0</v>
      </c>
      <c r="MH43" s="392">
        <v>0</v>
      </c>
      <c r="MI43" s="392">
        <f t="shared" si="471"/>
        <v>0</v>
      </c>
      <c r="MJ43" s="392">
        <v>0</v>
      </c>
      <c r="MK43" s="392">
        <v>0</v>
      </c>
      <c r="ML43" s="392">
        <f t="shared" si="472"/>
        <v>0</v>
      </c>
      <c r="MM43" s="392">
        <v>0</v>
      </c>
      <c r="MN43" s="392">
        <v>0</v>
      </c>
      <c r="MO43" s="392">
        <f t="shared" si="473"/>
        <v>0</v>
      </c>
      <c r="MP43" s="392">
        <v>0</v>
      </c>
      <c r="MQ43" s="392">
        <v>0</v>
      </c>
      <c r="MR43" s="392">
        <f t="shared" si="474"/>
        <v>0</v>
      </c>
      <c r="MS43" s="392">
        <v>0</v>
      </c>
      <c r="MT43" s="392">
        <v>0</v>
      </c>
      <c r="MU43" s="392">
        <f t="shared" si="475"/>
        <v>0</v>
      </c>
      <c r="MV43" s="392">
        <v>0</v>
      </c>
      <c r="MW43" s="392">
        <v>0</v>
      </c>
      <c r="MX43" s="392">
        <f t="shared" si="476"/>
        <v>0</v>
      </c>
      <c r="MY43" s="392">
        <v>0</v>
      </c>
      <c r="MZ43" s="392">
        <v>0</v>
      </c>
      <c r="NA43" s="567">
        <f t="shared" si="477"/>
        <v>0</v>
      </c>
      <c r="NB43" s="392">
        <v>0</v>
      </c>
      <c r="NC43" s="392">
        <v>0</v>
      </c>
      <c r="ND43" s="565">
        <f t="shared" si="478"/>
        <v>0</v>
      </c>
      <c r="NE43" s="559">
        <f t="shared" si="486"/>
        <v>15731</v>
      </c>
      <c r="NF43" s="388">
        <f t="shared" si="486"/>
        <v>15318</v>
      </c>
      <c r="NG43" s="576">
        <f t="shared" si="480"/>
        <v>31049</v>
      </c>
      <c r="NH43" s="575">
        <f t="shared" si="481"/>
        <v>1222</v>
      </c>
      <c r="NI43" s="396">
        <f t="shared" si="481"/>
        <v>1106</v>
      </c>
      <c r="NJ43" s="576">
        <f t="shared" si="482"/>
        <v>2328</v>
      </c>
    </row>
    <row r="44" spans="1:374" x14ac:dyDescent="0.3">
      <c r="A44" s="587" t="s">
        <v>287</v>
      </c>
      <c r="B44" s="588" t="s">
        <v>89</v>
      </c>
      <c r="C44" s="538">
        <v>593</v>
      </c>
      <c r="D44" s="372">
        <v>602</v>
      </c>
      <c r="E44" s="372">
        <f t="shared" si="357"/>
        <v>1195</v>
      </c>
      <c r="F44" s="372">
        <v>776</v>
      </c>
      <c r="G44" s="372">
        <v>752</v>
      </c>
      <c r="H44" s="372">
        <f t="shared" si="358"/>
        <v>1528</v>
      </c>
      <c r="I44" s="372">
        <v>937</v>
      </c>
      <c r="J44" s="372">
        <v>815</v>
      </c>
      <c r="K44" s="372">
        <f t="shared" si="359"/>
        <v>1752</v>
      </c>
      <c r="L44" s="372">
        <v>1009</v>
      </c>
      <c r="M44" s="372">
        <v>913</v>
      </c>
      <c r="N44" s="372">
        <f t="shared" si="360"/>
        <v>1922</v>
      </c>
      <c r="O44" s="372">
        <v>1013</v>
      </c>
      <c r="P44" s="372">
        <v>1004</v>
      </c>
      <c r="Q44" s="372">
        <f t="shared" si="361"/>
        <v>2017</v>
      </c>
      <c r="R44" s="372">
        <v>1171</v>
      </c>
      <c r="S44" s="372">
        <v>1058</v>
      </c>
      <c r="T44" s="372">
        <f t="shared" si="362"/>
        <v>2229</v>
      </c>
      <c r="U44" s="372">
        <v>1211</v>
      </c>
      <c r="V44" s="372">
        <v>1198</v>
      </c>
      <c r="W44" s="372">
        <f t="shared" si="363"/>
        <v>2409</v>
      </c>
      <c r="X44" s="372">
        <v>1288</v>
      </c>
      <c r="Y44" s="372">
        <v>1186</v>
      </c>
      <c r="Z44" s="372">
        <f t="shared" si="364"/>
        <v>2474</v>
      </c>
      <c r="AA44" s="372">
        <v>1189</v>
      </c>
      <c r="AB44" s="372">
        <v>1086</v>
      </c>
      <c r="AC44" s="372">
        <f t="shared" si="365"/>
        <v>2275</v>
      </c>
      <c r="AD44" s="372">
        <v>1103</v>
      </c>
      <c r="AE44" s="372">
        <v>1069</v>
      </c>
      <c r="AF44" s="372">
        <f t="shared" si="366"/>
        <v>2172</v>
      </c>
      <c r="AG44" s="372">
        <v>1196</v>
      </c>
      <c r="AH44" s="372">
        <v>1034</v>
      </c>
      <c r="AI44" s="372">
        <f t="shared" si="367"/>
        <v>2230</v>
      </c>
      <c r="AJ44" s="372">
        <v>1130</v>
      </c>
      <c r="AK44" s="372">
        <v>1065</v>
      </c>
      <c r="AL44" s="372">
        <f t="shared" si="368"/>
        <v>2195</v>
      </c>
      <c r="AM44" s="372">
        <v>1149</v>
      </c>
      <c r="AN44" s="372">
        <v>1029</v>
      </c>
      <c r="AO44" s="372">
        <f t="shared" si="369"/>
        <v>2178</v>
      </c>
      <c r="AP44" s="372">
        <v>1099</v>
      </c>
      <c r="AQ44" s="372">
        <v>1029</v>
      </c>
      <c r="AR44" s="372">
        <f t="shared" si="370"/>
        <v>2128</v>
      </c>
      <c r="AS44" s="372">
        <v>1202</v>
      </c>
      <c r="AT44" s="372">
        <v>1106</v>
      </c>
      <c r="AU44" s="372">
        <f t="shared" si="371"/>
        <v>2308</v>
      </c>
      <c r="AV44" s="372">
        <v>1080</v>
      </c>
      <c r="AW44" s="372">
        <v>1024</v>
      </c>
      <c r="AX44" s="372">
        <f t="shared" si="372"/>
        <v>2104</v>
      </c>
      <c r="AY44" s="372">
        <v>1080</v>
      </c>
      <c r="AZ44" s="372">
        <v>1048</v>
      </c>
      <c r="BA44" s="372">
        <f t="shared" si="373"/>
        <v>2128</v>
      </c>
      <c r="BB44" s="372">
        <v>954</v>
      </c>
      <c r="BC44" s="372">
        <v>890</v>
      </c>
      <c r="BD44" s="372">
        <f t="shared" si="374"/>
        <v>1844</v>
      </c>
      <c r="BE44" s="372">
        <v>978</v>
      </c>
      <c r="BF44" s="372">
        <v>931</v>
      </c>
      <c r="BG44" s="372">
        <f t="shared" si="375"/>
        <v>1909</v>
      </c>
      <c r="BH44" s="372">
        <v>1043</v>
      </c>
      <c r="BI44" s="372">
        <v>885</v>
      </c>
      <c r="BJ44" s="372">
        <f t="shared" si="376"/>
        <v>1928</v>
      </c>
      <c r="BK44" s="372">
        <v>1000</v>
      </c>
      <c r="BL44" s="372">
        <v>909</v>
      </c>
      <c r="BM44" s="372">
        <f t="shared" si="377"/>
        <v>1909</v>
      </c>
      <c r="BN44" s="372">
        <v>980</v>
      </c>
      <c r="BO44" s="372">
        <v>854</v>
      </c>
      <c r="BP44" s="372">
        <f t="shared" si="378"/>
        <v>1834</v>
      </c>
      <c r="BQ44" s="372">
        <v>977</v>
      </c>
      <c r="BR44" s="372">
        <v>947</v>
      </c>
      <c r="BS44" s="372">
        <f t="shared" si="379"/>
        <v>1924</v>
      </c>
      <c r="BT44" s="372">
        <v>1028</v>
      </c>
      <c r="BU44" s="372">
        <v>961</v>
      </c>
      <c r="BV44" s="372">
        <f t="shared" si="380"/>
        <v>1989</v>
      </c>
      <c r="BW44" s="372">
        <v>997</v>
      </c>
      <c r="BX44" s="372">
        <v>967</v>
      </c>
      <c r="BY44" s="372">
        <f t="shared" si="381"/>
        <v>1964</v>
      </c>
      <c r="BZ44" s="372">
        <v>1053</v>
      </c>
      <c r="CA44" s="372">
        <v>1016</v>
      </c>
      <c r="CB44" s="372">
        <f t="shared" si="382"/>
        <v>2069</v>
      </c>
      <c r="CC44" s="372">
        <v>1033</v>
      </c>
      <c r="CD44" s="372">
        <v>1070</v>
      </c>
      <c r="CE44" s="372">
        <f t="shared" si="383"/>
        <v>2103</v>
      </c>
      <c r="CF44" s="372">
        <v>812</v>
      </c>
      <c r="CG44" s="372">
        <v>859</v>
      </c>
      <c r="CH44" s="372">
        <f t="shared" si="384"/>
        <v>1671</v>
      </c>
      <c r="CI44" s="372">
        <v>970</v>
      </c>
      <c r="CJ44" s="372">
        <v>960</v>
      </c>
      <c r="CK44" s="372">
        <f t="shared" si="385"/>
        <v>1930</v>
      </c>
      <c r="CL44" s="372">
        <v>922</v>
      </c>
      <c r="CM44" s="372">
        <v>946</v>
      </c>
      <c r="CN44" s="372">
        <f t="shared" si="386"/>
        <v>1868</v>
      </c>
      <c r="CO44" s="372">
        <v>950</v>
      </c>
      <c r="CP44" s="372">
        <v>1025</v>
      </c>
      <c r="CQ44" s="372">
        <f t="shared" si="387"/>
        <v>1975</v>
      </c>
      <c r="CR44" s="372">
        <v>970</v>
      </c>
      <c r="CS44" s="372">
        <v>1036</v>
      </c>
      <c r="CT44" s="372">
        <f t="shared" si="388"/>
        <v>2006</v>
      </c>
      <c r="CU44" s="372">
        <v>948</v>
      </c>
      <c r="CV44" s="372">
        <v>1001</v>
      </c>
      <c r="CW44" s="372">
        <f t="shared" si="389"/>
        <v>1949</v>
      </c>
      <c r="CX44" s="372">
        <v>1000</v>
      </c>
      <c r="CY44" s="372">
        <v>1028</v>
      </c>
      <c r="CZ44" s="372">
        <f t="shared" si="390"/>
        <v>2028</v>
      </c>
      <c r="DA44" s="372">
        <v>1016</v>
      </c>
      <c r="DB44" s="372">
        <v>986</v>
      </c>
      <c r="DC44" s="372">
        <f t="shared" si="391"/>
        <v>2002</v>
      </c>
      <c r="DD44" s="372">
        <v>986</v>
      </c>
      <c r="DE44" s="372">
        <v>1038</v>
      </c>
      <c r="DF44" s="372">
        <f t="shared" si="392"/>
        <v>2024</v>
      </c>
      <c r="DG44" s="372">
        <v>1021</v>
      </c>
      <c r="DH44" s="372">
        <v>1014</v>
      </c>
      <c r="DI44" s="372">
        <f t="shared" si="393"/>
        <v>2035</v>
      </c>
      <c r="DJ44" s="372">
        <v>980</v>
      </c>
      <c r="DK44" s="372">
        <v>902</v>
      </c>
      <c r="DL44" s="372">
        <f t="shared" si="394"/>
        <v>1882</v>
      </c>
      <c r="DM44" s="372">
        <v>917</v>
      </c>
      <c r="DN44" s="372">
        <v>953</v>
      </c>
      <c r="DO44" s="372">
        <f t="shared" si="395"/>
        <v>1870</v>
      </c>
      <c r="DP44" s="372">
        <v>932</v>
      </c>
      <c r="DQ44" s="372">
        <v>1009</v>
      </c>
      <c r="DR44" s="372">
        <f t="shared" si="396"/>
        <v>1941</v>
      </c>
      <c r="DS44" s="372">
        <v>1019</v>
      </c>
      <c r="DT44" s="372">
        <v>991</v>
      </c>
      <c r="DU44" s="372">
        <f t="shared" si="397"/>
        <v>2010</v>
      </c>
      <c r="DV44" s="372">
        <v>994</v>
      </c>
      <c r="DW44" s="372">
        <v>994</v>
      </c>
      <c r="DX44" s="372">
        <f t="shared" si="398"/>
        <v>1988</v>
      </c>
      <c r="DY44" s="372">
        <v>998</v>
      </c>
      <c r="DZ44" s="372">
        <v>957</v>
      </c>
      <c r="EA44" s="372">
        <f t="shared" si="399"/>
        <v>1955</v>
      </c>
      <c r="EB44" s="372">
        <v>1072</v>
      </c>
      <c r="EC44" s="372">
        <v>1142</v>
      </c>
      <c r="ED44" s="372">
        <f t="shared" si="400"/>
        <v>2214</v>
      </c>
      <c r="EE44" s="372">
        <v>1092</v>
      </c>
      <c r="EF44" s="372">
        <v>1034</v>
      </c>
      <c r="EG44" s="372">
        <f t="shared" si="401"/>
        <v>2126</v>
      </c>
      <c r="EH44" s="372">
        <v>1022</v>
      </c>
      <c r="EI44" s="372">
        <v>986</v>
      </c>
      <c r="EJ44" s="372">
        <f t="shared" si="402"/>
        <v>2008</v>
      </c>
      <c r="EK44" s="372">
        <v>1039</v>
      </c>
      <c r="EL44" s="372">
        <v>1062</v>
      </c>
      <c r="EM44" s="372">
        <f t="shared" si="403"/>
        <v>2101</v>
      </c>
      <c r="EN44" s="372">
        <v>975</v>
      </c>
      <c r="EO44" s="372">
        <v>1042</v>
      </c>
      <c r="EP44" s="372">
        <f t="shared" si="404"/>
        <v>2017</v>
      </c>
      <c r="EQ44" s="372">
        <v>942</v>
      </c>
      <c r="ER44" s="372">
        <v>1003</v>
      </c>
      <c r="ES44" s="372">
        <f t="shared" si="405"/>
        <v>1945</v>
      </c>
      <c r="ET44" s="372">
        <v>879</v>
      </c>
      <c r="EU44" s="372">
        <v>931</v>
      </c>
      <c r="EV44" s="372">
        <f t="shared" si="406"/>
        <v>1810</v>
      </c>
      <c r="EW44" s="372">
        <v>892</v>
      </c>
      <c r="EX44" s="372">
        <v>971</v>
      </c>
      <c r="EY44" s="372">
        <f t="shared" si="407"/>
        <v>1863</v>
      </c>
      <c r="EZ44" s="372">
        <v>880</v>
      </c>
      <c r="FA44" s="372">
        <v>910</v>
      </c>
      <c r="FB44" s="372">
        <f t="shared" si="408"/>
        <v>1790</v>
      </c>
      <c r="FC44" s="372">
        <v>790</v>
      </c>
      <c r="FD44" s="372">
        <v>758</v>
      </c>
      <c r="FE44" s="372">
        <f t="shared" si="409"/>
        <v>1548</v>
      </c>
      <c r="FF44" s="372">
        <v>815</v>
      </c>
      <c r="FG44" s="372">
        <v>816</v>
      </c>
      <c r="FH44" s="372">
        <f t="shared" si="410"/>
        <v>1631</v>
      </c>
      <c r="FI44" s="372">
        <v>757</v>
      </c>
      <c r="FJ44" s="372">
        <v>704</v>
      </c>
      <c r="FK44" s="372">
        <f t="shared" si="411"/>
        <v>1461</v>
      </c>
      <c r="FL44" s="372">
        <v>682</v>
      </c>
      <c r="FM44" s="372">
        <v>580</v>
      </c>
      <c r="FN44" s="372">
        <f t="shared" si="412"/>
        <v>1262</v>
      </c>
      <c r="FO44" s="372">
        <v>708</v>
      </c>
      <c r="FP44" s="372">
        <v>544</v>
      </c>
      <c r="FQ44" s="372">
        <f t="shared" si="413"/>
        <v>1252</v>
      </c>
      <c r="FR44" s="372">
        <v>589</v>
      </c>
      <c r="FS44" s="372">
        <v>464</v>
      </c>
      <c r="FT44" s="372">
        <f t="shared" si="414"/>
        <v>1053</v>
      </c>
      <c r="FU44" s="372">
        <v>493</v>
      </c>
      <c r="FV44" s="372">
        <v>445</v>
      </c>
      <c r="FW44" s="372">
        <f t="shared" si="415"/>
        <v>938</v>
      </c>
      <c r="FX44" s="372">
        <v>415</v>
      </c>
      <c r="FY44" s="372">
        <v>360</v>
      </c>
      <c r="FZ44" s="372">
        <f t="shared" si="416"/>
        <v>775</v>
      </c>
      <c r="GA44" s="372">
        <v>415</v>
      </c>
      <c r="GB44" s="372">
        <v>354</v>
      </c>
      <c r="GC44" s="372">
        <f t="shared" si="417"/>
        <v>769</v>
      </c>
      <c r="GD44" s="372">
        <v>358</v>
      </c>
      <c r="GE44" s="372">
        <v>336</v>
      </c>
      <c r="GF44" s="372">
        <f t="shared" si="418"/>
        <v>694</v>
      </c>
      <c r="GG44" s="372">
        <v>307</v>
      </c>
      <c r="GH44" s="372">
        <v>251</v>
      </c>
      <c r="GI44" s="372">
        <f t="shared" si="419"/>
        <v>558</v>
      </c>
      <c r="GJ44" s="372">
        <v>309</v>
      </c>
      <c r="GK44" s="372">
        <v>244</v>
      </c>
      <c r="GL44" s="372">
        <f t="shared" si="420"/>
        <v>553</v>
      </c>
      <c r="GM44" s="372">
        <v>268</v>
      </c>
      <c r="GN44" s="372">
        <v>213</v>
      </c>
      <c r="GO44" s="372">
        <f t="shared" si="421"/>
        <v>481</v>
      </c>
      <c r="GP44" s="372">
        <v>221</v>
      </c>
      <c r="GQ44" s="372">
        <v>251</v>
      </c>
      <c r="GR44" s="372">
        <f t="shared" si="422"/>
        <v>472</v>
      </c>
      <c r="GS44" s="372">
        <v>261</v>
      </c>
      <c r="GT44" s="372">
        <v>256</v>
      </c>
      <c r="GU44" s="372">
        <f t="shared" si="423"/>
        <v>517</v>
      </c>
      <c r="GV44" s="372">
        <v>176</v>
      </c>
      <c r="GW44" s="372">
        <v>187</v>
      </c>
      <c r="GX44" s="372">
        <f t="shared" si="424"/>
        <v>363</v>
      </c>
      <c r="GY44" s="372">
        <v>200</v>
      </c>
      <c r="GZ44" s="372">
        <v>162</v>
      </c>
      <c r="HA44" s="372">
        <f t="shared" si="425"/>
        <v>362</v>
      </c>
      <c r="HB44" s="372">
        <v>140</v>
      </c>
      <c r="HC44" s="372">
        <v>135</v>
      </c>
      <c r="HD44" s="372">
        <f t="shared" si="426"/>
        <v>275</v>
      </c>
      <c r="HE44" s="372">
        <v>148</v>
      </c>
      <c r="HF44" s="372">
        <v>137</v>
      </c>
      <c r="HG44" s="372">
        <f t="shared" si="427"/>
        <v>285</v>
      </c>
      <c r="HH44" s="372">
        <v>120</v>
      </c>
      <c r="HI44" s="372">
        <v>130</v>
      </c>
      <c r="HJ44" s="372">
        <f t="shared" si="428"/>
        <v>250</v>
      </c>
      <c r="HK44" s="372">
        <v>88</v>
      </c>
      <c r="HL44" s="372">
        <v>99</v>
      </c>
      <c r="HM44" s="372">
        <f t="shared" si="429"/>
        <v>187</v>
      </c>
      <c r="HN44" s="372">
        <v>92</v>
      </c>
      <c r="HO44" s="372">
        <v>84</v>
      </c>
      <c r="HP44" s="372">
        <f t="shared" si="430"/>
        <v>176</v>
      </c>
      <c r="HQ44" s="372">
        <v>78</v>
      </c>
      <c r="HR44" s="372">
        <v>70</v>
      </c>
      <c r="HS44" s="372">
        <f t="shared" si="431"/>
        <v>148</v>
      </c>
      <c r="HT44" s="372">
        <v>78</v>
      </c>
      <c r="HU44" s="372">
        <v>93</v>
      </c>
      <c r="HV44" s="372">
        <f t="shared" si="432"/>
        <v>171</v>
      </c>
      <c r="HW44" s="372">
        <v>87</v>
      </c>
      <c r="HX44" s="372">
        <v>93</v>
      </c>
      <c r="HY44" s="372">
        <f t="shared" si="433"/>
        <v>180</v>
      </c>
      <c r="HZ44" s="372">
        <v>41</v>
      </c>
      <c r="IA44" s="372">
        <v>50</v>
      </c>
      <c r="IB44" s="372">
        <f t="shared" si="434"/>
        <v>91</v>
      </c>
      <c r="IC44" s="372">
        <v>44</v>
      </c>
      <c r="ID44" s="372">
        <v>59</v>
      </c>
      <c r="IE44" s="372">
        <f t="shared" si="435"/>
        <v>103</v>
      </c>
      <c r="IF44" s="372">
        <v>26</v>
      </c>
      <c r="IG44" s="372">
        <v>28</v>
      </c>
      <c r="IH44" s="372">
        <f t="shared" si="436"/>
        <v>54</v>
      </c>
      <c r="II44" s="372">
        <v>29</v>
      </c>
      <c r="IJ44" s="372">
        <v>49</v>
      </c>
      <c r="IK44" s="372">
        <f t="shared" si="437"/>
        <v>78</v>
      </c>
      <c r="IL44" s="372">
        <v>38</v>
      </c>
      <c r="IM44" s="372">
        <v>51</v>
      </c>
      <c r="IN44" s="372">
        <f t="shared" si="438"/>
        <v>89</v>
      </c>
      <c r="IO44" s="372">
        <v>8</v>
      </c>
      <c r="IP44" s="372">
        <v>26</v>
      </c>
      <c r="IQ44" s="372">
        <f t="shared" si="439"/>
        <v>34</v>
      </c>
      <c r="IR44" s="372">
        <v>21</v>
      </c>
      <c r="IS44" s="372">
        <v>34</v>
      </c>
      <c r="IT44" s="372">
        <f t="shared" si="440"/>
        <v>55</v>
      </c>
      <c r="IU44" s="372">
        <v>14</v>
      </c>
      <c r="IV44" s="372">
        <v>28</v>
      </c>
      <c r="IW44" s="372">
        <f t="shared" si="441"/>
        <v>42</v>
      </c>
      <c r="IX44" s="372">
        <v>22</v>
      </c>
      <c r="IY44" s="372">
        <v>28</v>
      </c>
      <c r="IZ44" s="372">
        <f t="shared" si="442"/>
        <v>50</v>
      </c>
      <c r="JA44" s="372">
        <v>18</v>
      </c>
      <c r="JB44" s="372">
        <v>37</v>
      </c>
      <c r="JC44" s="372">
        <f t="shared" si="443"/>
        <v>55</v>
      </c>
      <c r="JD44" s="372">
        <v>10</v>
      </c>
      <c r="JE44" s="372">
        <v>15</v>
      </c>
      <c r="JF44" s="372">
        <f t="shared" si="444"/>
        <v>25</v>
      </c>
      <c r="JG44" s="372">
        <v>5</v>
      </c>
      <c r="JH44" s="372">
        <v>14</v>
      </c>
      <c r="JI44" s="372">
        <f t="shared" si="445"/>
        <v>19</v>
      </c>
      <c r="JJ44" s="372">
        <v>9</v>
      </c>
      <c r="JK44" s="372">
        <v>16</v>
      </c>
      <c r="JL44" s="372">
        <f t="shared" si="446"/>
        <v>25</v>
      </c>
      <c r="JM44" s="372">
        <v>6</v>
      </c>
      <c r="JN44" s="372">
        <v>14</v>
      </c>
      <c r="JO44" s="372">
        <f t="shared" si="447"/>
        <v>20</v>
      </c>
      <c r="JP44" s="372">
        <v>7</v>
      </c>
      <c r="JQ44" s="372">
        <v>14</v>
      </c>
      <c r="JR44" s="372">
        <f t="shared" si="448"/>
        <v>21</v>
      </c>
      <c r="JS44" s="372">
        <v>4</v>
      </c>
      <c r="JT44" s="372">
        <v>15</v>
      </c>
      <c r="JU44" s="372">
        <f t="shared" si="449"/>
        <v>19</v>
      </c>
      <c r="JV44" s="372">
        <v>10</v>
      </c>
      <c r="JW44" s="372">
        <v>7</v>
      </c>
      <c r="JX44" s="372">
        <f t="shared" si="450"/>
        <v>17</v>
      </c>
      <c r="JY44" s="372">
        <v>6</v>
      </c>
      <c r="JZ44" s="372">
        <v>1</v>
      </c>
      <c r="KA44" s="372">
        <f t="shared" si="451"/>
        <v>7</v>
      </c>
      <c r="KB44" s="372">
        <v>3</v>
      </c>
      <c r="KC44" s="372">
        <v>1</v>
      </c>
      <c r="KD44" s="372">
        <f t="shared" si="452"/>
        <v>4</v>
      </c>
      <c r="KE44" s="372">
        <v>1</v>
      </c>
      <c r="KF44" s="372">
        <v>3</v>
      </c>
      <c r="KG44" s="372">
        <f t="shared" si="453"/>
        <v>4</v>
      </c>
      <c r="KH44" s="372">
        <v>1</v>
      </c>
      <c r="KI44" s="372">
        <v>4</v>
      </c>
      <c r="KJ44" s="372">
        <f t="shared" si="454"/>
        <v>5</v>
      </c>
      <c r="KK44" s="372">
        <v>1</v>
      </c>
      <c r="KL44" s="372">
        <v>1</v>
      </c>
      <c r="KM44" s="372">
        <f t="shared" si="455"/>
        <v>2</v>
      </c>
      <c r="KN44" s="372">
        <v>1</v>
      </c>
      <c r="KO44" s="372">
        <v>1</v>
      </c>
      <c r="KP44" s="372">
        <f t="shared" si="456"/>
        <v>2</v>
      </c>
      <c r="KQ44" s="372">
        <v>0</v>
      </c>
      <c r="KR44" s="372">
        <v>0</v>
      </c>
      <c r="KS44" s="372">
        <f t="shared" si="457"/>
        <v>0</v>
      </c>
      <c r="KT44" s="372">
        <v>0</v>
      </c>
      <c r="KU44" s="372">
        <v>2</v>
      </c>
      <c r="KV44" s="372">
        <f t="shared" si="458"/>
        <v>2</v>
      </c>
      <c r="KW44" s="372">
        <v>0</v>
      </c>
      <c r="KX44" s="372">
        <v>0</v>
      </c>
      <c r="KY44" s="372">
        <f t="shared" si="459"/>
        <v>0</v>
      </c>
      <c r="KZ44" s="372">
        <v>0</v>
      </c>
      <c r="LA44" s="372">
        <v>0</v>
      </c>
      <c r="LB44" s="372">
        <f t="shared" si="460"/>
        <v>0</v>
      </c>
      <c r="LC44" s="372">
        <v>0</v>
      </c>
      <c r="LD44" s="372">
        <v>0</v>
      </c>
      <c r="LE44" s="372">
        <f t="shared" si="461"/>
        <v>0</v>
      </c>
      <c r="LF44" s="372">
        <v>0</v>
      </c>
      <c r="LG44" s="372">
        <v>0</v>
      </c>
      <c r="LH44" s="372">
        <f t="shared" si="462"/>
        <v>0</v>
      </c>
      <c r="LI44" s="372">
        <v>0</v>
      </c>
      <c r="LJ44" s="372">
        <v>0</v>
      </c>
      <c r="LK44" s="372">
        <f t="shared" si="463"/>
        <v>0</v>
      </c>
      <c r="LL44" s="372">
        <v>0</v>
      </c>
      <c r="LM44" s="372">
        <v>0</v>
      </c>
      <c r="LN44" s="372">
        <f t="shared" si="464"/>
        <v>0</v>
      </c>
      <c r="LO44" s="372">
        <v>0</v>
      </c>
      <c r="LP44" s="372">
        <v>0</v>
      </c>
      <c r="LQ44" s="372">
        <f t="shared" si="465"/>
        <v>0</v>
      </c>
      <c r="LR44" s="372">
        <v>0</v>
      </c>
      <c r="LS44" s="372">
        <v>0</v>
      </c>
      <c r="LT44" s="372">
        <f t="shared" si="466"/>
        <v>0</v>
      </c>
      <c r="LU44" s="372">
        <v>0</v>
      </c>
      <c r="LV44" s="372">
        <v>0</v>
      </c>
      <c r="LW44" s="372">
        <f t="shared" si="467"/>
        <v>0</v>
      </c>
      <c r="LX44" s="372">
        <v>0</v>
      </c>
      <c r="LY44" s="372">
        <v>0</v>
      </c>
      <c r="LZ44" s="372">
        <f t="shared" si="468"/>
        <v>0</v>
      </c>
      <c r="MA44" s="372">
        <v>0</v>
      </c>
      <c r="MB44" s="372">
        <v>0</v>
      </c>
      <c r="MC44" s="372">
        <f t="shared" si="469"/>
        <v>0</v>
      </c>
      <c r="MD44" s="372">
        <v>0</v>
      </c>
      <c r="ME44" s="372">
        <v>0</v>
      </c>
      <c r="MF44" s="372">
        <f t="shared" si="470"/>
        <v>0</v>
      </c>
      <c r="MG44" s="372">
        <v>0</v>
      </c>
      <c r="MH44" s="372">
        <v>0</v>
      </c>
      <c r="MI44" s="372">
        <f t="shared" si="471"/>
        <v>0</v>
      </c>
      <c r="MJ44" s="372">
        <v>0</v>
      </c>
      <c r="MK44" s="372">
        <v>0</v>
      </c>
      <c r="ML44" s="372">
        <f t="shared" si="472"/>
        <v>0</v>
      </c>
      <c r="MM44" s="372">
        <v>0</v>
      </c>
      <c r="MN44" s="372">
        <v>0</v>
      </c>
      <c r="MO44" s="372">
        <f t="shared" si="473"/>
        <v>0</v>
      </c>
      <c r="MP44" s="372">
        <v>0</v>
      </c>
      <c r="MQ44" s="372">
        <v>0</v>
      </c>
      <c r="MR44" s="372">
        <f t="shared" si="474"/>
        <v>0</v>
      </c>
      <c r="MS44" s="372">
        <v>0</v>
      </c>
      <c r="MT44" s="372">
        <v>0</v>
      </c>
      <c r="MU44" s="372">
        <f t="shared" si="475"/>
        <v>0</v>
      </c>
      <c r="MV44" s="372">
        <v>0</v>
      </c>
      <c r="MW44" s="372">
        <v>0</v>
      </c>
      <c r="MX44" s="372">
        <f t="shared" si="476"/>
        <v>0</v>
      </c>
      <c r="MY44" s="372">
        <v>0</v>
      </c>
      <c r="MZ44" s="372">
        <v>0</v>
      </c>
      <c r="NA44" s="539">
        <f t="shared" si="477"/>
        <v>0</v>
      </c>
      <c r="NB44" s="372">
        <v>0</v>
      </c>
      <c r="NC44" s="372">
        <v>0</v>
      </c>
      <c r="ND44" s="537">
        <f t="shared" si="478"/>
        <v>0</v>
      </c>
      <c r="NE44" s="536">
        <f>SUM(C44,F44,I44,L44,O44,R44,U44,X44,AA44,AD44,AG44,AJ44,AM44,AP44,AS44,AV44,AY44,BB44,BE44,BH44,BK44,BN44,BQ44,BT44,BW44,BZ44,CC44,CF44,CI44,CL44,CO44,CR44,CU44,CX44,DA44,DD44,DG44,DJ44,DM44,DP44,DS44,DV44,DY44,EB44,EE44,EH44,EK44,EN44,EQ44,ET44,EW44,EZ44,FC44,FF44,FI44,FL44,FO44,FR44,FU44,FX44,GA44,GD44,GG44,GJ44,GM44,GP44,GS44,GV44,GY44,HB44,HE44,HH44,HK44,HN44,HQ44,HT44,HW44,HZ44,IC44,IF44,II44,IL44,IO44,IR44,IU44,IX44,JA44,JD44,JG44,JJ44,JM44,JP44,JS44,JV44,JY44,KB44,KE44,KH44,KK44,KN44,KQ44,KT44,KW44,KZ44,LC44,LF44,LI44,LL44,LO44,LR44,LU44,LX44,MA44,MD44,MG44,MJ44,MM44,MP44,MS44,MV44,MY44)</f>
        <v>61417</v>
      </c>
      <c r="NF44" s="372">
        <f>SUM(D44,G44,J44,M44,P44,S44,V44,Y44,AB44,AE44,AH44,AK44,AN44,AQ44,AT44,AW44,AZ44,BC44,BF44,BI44,BL44,BO44,BR44,BU44,BX44,CA44,CD44,CG44,CJ44,CM44,CP44,CS44,CV44,CY44,DB44,DE44,DH44,DK44,DN44,DQ44,DT44,DW44,DZ44,EC44,EF44,EI44,EL44,EO44,ER44,EU44,EX44,FA44,FD44,FG44,FJ44,FM44,FP44,FS44,FV44,FY44,GB44,GE44,GH44,GK44,GN44,GQ44,GT44,GW44,GZ44,HC44,HF44,HI44,HL44,HO44,HR44,HU44,HX44,IA44,ID44,IG44,IJ44,IM44,IP44,IS44,IV44,IY44,JB44,JE44,JH44,JK44,JN44,JQ44,JT44,JW44,JZ44,KC44,KF44,KI44,KL44,KO44,KR44,KU44,KX44,LA44,LD44,LG44,LJ44,LM44,LP44,LS44,LV44,LY44,MB44,ME44,MH44,MK44,MN44,MQ44,MT44,MW44,MZ44)</f>
        <v>59492</v>
      </c>
      <c r="NG44" s="595">
        <f t="shared" si="480"/>
        <v>120909</v>
      </c>
      <c r="NH44" s="596">
        <f t="shared" si="481"/>
        <v>5499</v>
      </c>
      <c r="NI44" s="597">
        <f t="shared" si="481"/>
        <v>5144</v>
      </c>
      <c r="NJ44" s="595">
        <f t="shared" si="482"/>
        <v>10643</v>
      </c>
    </row>
    <row r="45" spans="1:374" x14ac:dyDescent="0.3">
      <c r="A45" s="541" t="s">
        <v>288</v>
      </c>
      <c r="B45" s="589" t="s">
        <v>89</v>
      </c>
      <c r="C45" s="544">
        <v>163</v>
      </c>
      <c r="D45" s="376">
        <v>161</v>
      </c>
      <c r="E45" s="376">
        <f t="shared" si="357"/>
        <v>324</v>
      </c>
      <c r="F45" s="376">
        <v>220</v>
      </c>
      <c r="G45" s="376">
        <v>182</v>
      </c>
      <c r="H45" s="376">
        <f t="shared" si="358"/>
        <v>402</v>
      </c>
      <c r="I45" s="376">
        <v>246</v>
      </c>
      <c r="J45" s="376">
        <v>197</v>
      </c>
      <c r="K45" s="376">
        <f t="shared" si="359"/>
        <v>443</v>
      </c>
      <c r="L45" s="376">
        <v>271</v>
      </c>
      <c r="M45" s="376">
        <v>262</v>
      </c>
      <c r="N45" s="376">
        <f t="shared" si="360"/>
        <v>533</v>
      </c>
      <c r="O45" s="376">
        <v>266</v>
      </c>
      <c r="P45" s="376">
        <v>255</v>
      </c>
      <c r="Q45" s="376">
        <f t="shared" si="361"/>
        <v>521</v>
      </c>
      <c r="R45" s="376">
        <v>295</v>
      </c>
      <c r="S45" s="376">
        <v>295</v>
      </c>
      <c r="T45" s="376">
        <f t="shared" si="362"/>
        <v>590</v>
      </c>
      <c r="U45" s="376">
        <v>286</v>
      </c>
      <c r="V45" s="376">
        <v>314</v>
      </c>
      <c r="W45" s="376">
        <f t="shared" si="363"/>
        <v>600</v>
      </c>
      <c r="X45" s="376">
        <v>352</v>
      </c>
      <c r="Y45" s="376">
        <v>316</v>
      </c>
      <c r="Z45" s="376">
        <f t="shared" si="364"/>
        <v>668</v>
      </c>
      <c r="AA45" s="376">
        <v>319</v>
      </c>
      <c r="AB45" s="376">
        <v>313</v>
      </c>
      <c r="AC45" s="376">
        <f t="shared" si="365"/>
        <v>632</v>
      </c>
      <c r="AD45" s="376">
        <v>292</v>
      </c>
      <c r="AE45" s="376">
        <v>298</v>
      </c>
      <c r="AF45" s="376">
        <f t="shared" si="366"/>
        <v>590</v>
      </c>
      <c r="AG45" s="376">
        <v>339</v>
      </c>
      <c r="AH45" s="376">
        <v>305</v>
      </c>
      <c r="AI45" s="376">
        <f t="shared" si="367"/>
        <v>644</v>
      </c>
      <c r="AJ45" s="376">
        <v>322</v>
      </c>
      <c r="AK45" s="376">
        <v>320</v>
      </c>
      <c r="AL45" s="376">
        <f t="shared" si="368"/>
        <v>642</v>
      </c>
      <c r="AM45" s="376">
        <v>342</v>
      </c>
      <c r="AN45" s="376">
        <v>299</v>
      </c>
      <c r="AO45" s="376">
        <f t="shared" si="369"/>
        <v>641</v>
      </c>
      <c r="AP45" s="376">
        <v>305</v>
      </c>
      <c r="AQ45" s="376">
        <v>300</v>
      </c>
      <c r="AR45" s="376">
        <f t="shared" si="370"/>
        <v>605</v>
      </c>
      <c r="AS45" s="376">
        <v>332</v>
      </c>
      <c r="AT45" s="376">
        <v>327</v>
      </c>
      <c r="AU45" s="376">
        <f t="shared" si="371"/>
        <v>659</v>
      </c>
      <c r="AV45" s="376">
        <v>311</v>
      </c>
      <c r="AW45" s="376">
        <v>297</v>
      </c>
      <c r="AX45" s="376">
        <f t="shared" si="372"/>
        <v>608</v>
      </c>
      <c r="AY45" s="376">
        <v>384</v>
      </c>
      <c r="AZ45" s="376">
        <v>309</v>
      </c>
      <c r="BA45" s="376">
        <f t="shared" si="373"/>
        <v>693</v>
      </c>
      <c r="BB45" s="376">
        <v>315</v>
      </c>
      <c r="BC45" s="376">
        <v>252</v>
      </c>
      <c r="BD45" s="376">
        <f t="shared" si="374"/>
        <v>567</v>
      </c>
      <c r="BE45" s="376">
        <v>320</v>
      </c>
      <c r="BF45" s="376">
        <v>281</v>
      </c>
      <c r="BG45" s="376">
        <f t="shared" si="375"/>
        <v>601</v>
      </c>
      <c r="BH45" s="376">
        <v>304</v>
      </c>
      <c r="BI45" s="376">
        <v>258</v>
      </c>
      <c r="BJ45" s="376">
        <f t="shared" si="376"/>
        <v>562</v>
      </c>
      <c r="BK45" s="376">
        <v>311</v>
      </c>
      <c r="BL45" s="376">
        <v>290</v>
      </c>
      <c r="BM45" s="376">
        <f t="shared" si="377"/>
        <v>601</v>
      </c>
      <c r="BN45" s="376">
        <v>301</v>
      </c>
      <c r="BO45" s="376">
        <v>248</v>
      </c>
      <c r="BP45" s="376">
        <f t="shared" si="378"/>
        <v>549</v>
      </c>
      <c r="BQ45" s="376">
        <v>269</v>
      </c>
      <c r="BR45" s="376">
        <v>261</v>
      </c>
      <c r="BS45" s="376">
        <f t="shared" si="379"/>
        <v>530</v>
      </c>
      <c r="BT45" s="376">
        <v>314</v>
      </c>
      <c r="BU45" s="376">
        <v>298</v>
      </c>
      <c r="BV45" s="376">
        <f t="shared" si="380"/>
        <v>612</v>
      </c>
      <c r="BW45" s="376">
        <v>303</v>
      </c>
      <c r="BX45" s="376">
        <v>271</v>
      </c>
      <c r="BY45" s="376">
        <f t="shared" si="381"/>
        <v>574</v>
      </c>
      <c r="BZ45" s="376">
        <v>289</v>
      </c>
      <c r="CA45" s="376">
        <v>265</v>
      </c>
      <c r="CB45" s="376">
        <f t="shared" si="382"/>
        <v>554</v>
      </c>
      <c r="CC45" s="376">
        <v>267</v>
      </c>
      <c r="CD45" s="376">
        <v>294</v>
      </c>
      <c r="CE45" s="376">
        <f t="shared" si="383"/>
        <v>561</v>
      </c>
      <c r="CF45" s="376">
        <v>234</v>
      </c>
      <c r="CG45" s="376">
        <v>243</v>
      </c>
      <c r="CH45" s="376">
        <f t="shared" si="384"/>
        <v>477</v>
      </c>
      <c r="CI45" s="376">
        <v>285</v>
      </c>
      <c r="CJ45" s="376">
        <v>250</v>
      </c>
      <c r="CK45" s="376">
        <f t="shared" si="385"/>
        <v>535</v>
      </c>
      <c r="CL45" s="376">
        <v>265</v>
      </c>
      <c r="CM45" s="376">
        <v>256</v>
      </c>
      <c r="CN45" s="376">
        <f t="shared" si="386"/>
        <v>521</v>
      </c>
      <c r="CO45" s="376">
        <v>248</v>
      </c>
      <c r="CP45" s="376">
        <v>267</v>
      </c>
      <c r="CQ45" s="376">
        <f t="shared" si="387"/>
        <v>515</v>
      </c>
      <c r="CR45" s="376">
        <v>254</v>
      </c>
      <c r="CS45" s="376">
        <v>247</v>
      </c>
      <c r="CT45" s="376">
        <f t="shared" si="388"/>
        <v>501</v>
      </c>
      <c r="CU45" s="376">
        <v>271</v>
      </c>
      <c r="CV45" s="376">
        <v>295</v>
      </c>
      <c r="CW45" s="376">
        <f t="shared" si="389"/>
        <v>566</v>
      </c>
      <c r="CX45" s="376">
        <v>276</v>
      </c>
      <c r="CY45" s="376">
        <v>269</v>
      </c>
      <c r="CZ45" s="376">
        <f t="shared" si="390"/>
        <v>545</v>
      </c>
      <c r="DA45" s="376">
        <v>262</v>
      </c>
      <c r="DB45" s="376">
        <v>228</v>
      </c>
      <c r="DC45" s="376">
        <f t="shared" si="391"/>
        <v>490</v>
      </c>
      <c r="DD45" s="376">
        <v>276</v>
      </c>
      <c r="DE45" s="376">
        <v>297</v>
      </c>
      <c r="DF45" s="376">
        <f t="shared" si="392"/>
        <v>573</v>
      </c>
      <c r="DG45" s="376">
        <v>266</v>
      </c>
      <c r="DH45" s="376">
        <v>260</v>
      </c>
      <c r="DI45" s="376">
        <f t="shared" si="393"/>
        <v>526</v>
      </c>
      <c r="DJ45" s="376">
        <v>237</v>
      </c>
      <c r="DK45" s="376">
        <v>260</v>
      </c>
      <c r="DL45" s="376">
        <f t="shared" si="394"/>
        <v>497</v>
      </c>
      <c r="DM45" s="376">
        <v>249</v>
      </c>
      <c r="DN45" s="376">
        <v>250</v>
      </c>
      <c r="DO45" s="376">
        <f t="shared" si="395"/>
        <v>499</v>
      </c>
      <c r="DP45" s="376">
        <v>248</v>
      </c>
      <c r="DQ45" s="376">
        <v>282</v>
      </c>
      <c r="DR45" s="376">
        <f t="shared" si="396"/>
        <v>530</v>
      </c>
      <c r="DS45" s="376">
        <v>287</v>
      </c>
      <c r="DT45" s="376">
        <v>311</v>
      </c>
      <c r="DU45" s="376">
        <f t="shared" si="397"/>
        <v>598</v>
      </c>
      <c r="DV45" s="376">
        <v>303</v>
      </c>
      <c r="DW45" s="376">
        <v>280</v>
      </c>
      <c r="DX45" s="376">
        <f t="shared" si="398"/>
        <v>583</v>
      </c>
      <c r="DY45" s="376">
        <v>292</v>
      </c>
      <c r="DZ45" s="376">
        <v>310</v>
      </c>
      <c r="EA45" s="376">
        <f t="shared" si="399"/>
        <v>602</v>
      </c>
      <c r="EB45" s="376">
        <v>345</v>
      </c>
      <c r="EC45" s="376">
        <v>367</v>
      </c>
      <c r="ED45" s="376">
        <f t="shared" si="400"/>
        <v>712</v>
      </c>
      <c r="EE45" s="376">
        <v>335</v>
      </c>
      <c r="EF45" s="376">
        <v>334</v>
      </c>
      <c r="EG45" s="376">
        <f t="shared" si="401"/>
        <v>669</v>
      </c>
      <c r="EH45" s="376">
        <v>347</v>
      </c>
      <c r="EI45" s="376">
        <v>317</v>
      </c>
      <c r="EJ45" s="376">
        <f t="shared" si="402"/>
        <v>664</v>
      </c>
      <c r="EK45" s="376">
        <v>339</v>
      </c>
      <c r="EL45" s="376">
        <v>346</v>
      </c>
      <c r="EM45" s="376">
        <f t="shared" si="403"/>
        <v>685</v>
      </c>
      <c r="EN45" s="376">
        <v>297</v>
      </c>
      <c r="EO45" s="376">
        <v>351</v>
      </c>
      <c r="EP45" s="376">
        <f t="shared" si="404"/>
        <v>648</v>
      </c>
      <c r="EQ45" s="376">
        <v>307</v>
      </c>
      <c r="ER45" s="376">
        <v>323</v>
      </c>
      <c r="ES45" s="376">
        <f t="shared" si="405"/>
        <v>630</v>
      </c>
      <c r="ET45" s="376">
        <v>276</v>
      </c>
      <c r="EU45" s="376">
        <v>288</v>
      </c>
      <c r="EV45" s="376">
        <f t="shared" si="406"/>
        <v>564</v>
      </c>
      <c r="EW45" s="376">
        <v>271</v>
      </c>
      <c r="EX45" s="376">
        <v>310</v>
      </c>
      <c r="EY45" s="376">
        <f t="shared" si="407"/>
        <v>581</v>
      </c>
      <c r="EZ45" s="376">
        <v>278</v>
      </c>
      <c r="FA45" s="376">
        <v>282</v>
      </c>
      <c r="FB45" s="376">
        <f t="shared" si="408"/>
        <v>560</v>
      </c>
      <c r="FC45" s="376">
        <v>230</v>
      </c>
      <c r="FD45" s="376">
        <v>261</v>
      </c>
      <c r="FE45" s="376">
        <f t="shared" si="409"/>
        <v>491</v>
      </c>
      <c r="FF45" s="376">
        <v>275</v>
      </c>
      <c r="FG45" s="376">
        <v>238</v>
      </c>
      <c r="FH45" s="376">
        <f t="shared" si="410"/>
        <v>513</v>
      </c>
      <c r="FI45" s="376">
        <v>250</v>
      </c>
      <c r="FJ45" s="376">
        <v>235</v>
      </c>
      <c r="FK45" s="376">
        <f t="shared" si="411"/>
        <v>485</v>
      </c>
      <c r="FL45" s="376">
        <v>218</v>
      </c>
      <c r="FM45" s="376">
        <v>193</v>
      </c>
      <c r="FN45" s="376">
        <f t="shared" si="412"/>
        <v>411</v>
      </c>
      <c r="FO45" s="376">
        <v>249</v>
      </c>
      <c r="FP45" s="376">
        <v>175</v>
      </c>
      <c r="FQ45" s="376">
        <f t="shared" si="413"/>
        <v>424</v>
      </c>
      <c r="FR45" s="376">
        <v>186</v>
      </c>
      <c r="FS45" s="376">
        <v>151</v>
      </c>
      <c r="FT45" s="376">
        <f t="shared" si="414"/>
        <v>337</v>
      </c>
      <c r="FU45" s="376">
        <v>150</v>
      </c>
      <c r="FV45" s="376">
        <v>126</v>
      </c>
      <c r="FW45" s="376">
        <f t="shared" si="415"/>
        <v>276</v>
      </c>
      <c r="FX45" s="376">
        <v>127</v>
      </c>
      <c r="FY45" s="376">
        <v>112</v>
      </c>
      <c r="FZ45" s="376">
        <f t="shared" si="416"/>
        <v>239</v>
      </c>
      <c r="GA45" s="376">
        <v>139</v>
      </c>
      <c r="GB45" s="376">
        <v>125</v>
      </c>
      <c r="GC45" s="376">
        <f t="shared" si="417"/>
        <v>264</v>
      </c>
      <c r="GD45" s="376">
        <v>104</v>
      </c>
      <c r="GE45" s="376">
        <v>115</v>
      </c>
      <c r="GF45" s="376">
        <f t="shared" si="418"/>
        <v>219</v>
      </c>
      <c r="GG45" s="376">
        <v>89</v>
      </c>
      <c r="GH45" s="376">
        <v>88</v>
      </c>
      <c r="GI45" s="376">
        <f t="shared" si="419"/>
        <v>177</v>
      </c>
      <c r="GJ45" s="376">
        <v>93</v>
      </c>
      <c r="GK45" s="376">
        <v>92</v>
      </c>
      <c r="GL45" s="376">
        <f t="shared" si="420"/>
        <v>185</v>
      </c>
      <c r="GM45" s="376">
        <v>99</v>
      </c>
      <c r="GN45" s="376">
        <v>73</v>
      </c>
      <c r="GO45" s="376">
        <f t="shared" si="421"/>
        <v>172</v>
      </c>
      <c r="GP45" s="376">
        <v>64</v>
      </c>
      <c r="GQ45" s="376">
        <v>76</v>
      </c>
      <c r="GR45" s="376">
        <f t="shared" si="422"/>
        <v>140</v>
      </c>
      <c r="GS45" s="376">
        <v>96</v>
      </c>
      <c r="GT45" s="376">
        <v>99</v>
      </c>
      <c r="GU45" s="376">
        <f t="shared" si="423"/>
        <v>195</v>
      </c>
      <c r="GV45" s="376">
        <v>63</v>
      </c>
      <c r="GW45" s="376">
        <v>53</v>
      </c>
      <c r="GX45" s="376">
        <f t="shared" si="424"/>
        <v>116</v>
      </c>
      <c r="GY45" s="376">
        <v>68</v>
      </c>
      <c r="GZ45" s="376">
        <v>51</v>
      </c>
      <c r="HA45" s="376">
        <f t="shared" si="425"/>
        <v>119</v>
      </c>
      <c r="HB45" s="376">
        <v>57</v>
      </c>
      <c r="HC45" s="376">
        <v>52</v>
      </c>
      <c r="HD45" s="376">
        <f t="shared" si="426"/>
        <v>109</v>
      </c>
      <c r="HE45" s="376">
        <v>53</v>
      </c>
      <c r="HF45" s="376">
        <v>43</v>
      </c>
      <c r="HG45" s="376">
        <f t="shared" si="427"/>
        <v>96</v>
      </c>
      <c r="HH45" s="376">
        <v>45</v>
      </c>
      <c r="HI45" s="376">
        <v>41</v>
      </c>
      <c r="HJ45" s="376">
        <f t="shared" si="428"/>
        <v>86</v>
      </c>
      <c r="HK45" s="376">
        <v>29</v>
      </c>
      <c r="HL45" s="376">
        <v>36</v>
      </c>
      <c r="HM45" s="376">
        <f t="shared" si="429"/>
        <v>65</v>
      </c>
      <c r="HN45" s="376">
        <v>37</v>
      </c>
      <c r="HO45" s="376">
        <v>23</v>
      </c>
      <c r="HP45" s="376">
        <f t="shared" si="430"/>
        <v>60</v>
      </c>
      <c r="HQ45" s="376">
        <v>25</v>
      </c>
      <c r="HR45" s="376">
        <v>27</v>
      </c>
      <c r="HS45" s="376">
        <f t="shared" si="431"/>
        <v>52</v>
      </c>
      <c r="HT45" s="376">
        <v>30</v>
      </c>
      <c r="HU45" s="376">
        <v>23</v>
      </c>
      <c r="HV45" s="376">
        <f t="shared" si="432"/>
        <v>53</v>
      </c>
      <c r="HW45" s="376">
        <v>21</v>
      </c>
      <c r="HX45" s="376">
        <v>29</v>
      </c>
      <c r="HY45" s="376">
        <f t="shared" si="433"/>
        <v>50</v>
      </c>
      <c r="HZ45" s="376">
        <v>18</v>
      </c>
      <c r="IA45" s="376">
        <v>15</v>
      </c>
      <c r="IB45" s="376">
        <f t="shared" si="434"/>
        <v>33</v>
      </c>
      <c r="IC45" s="376">
        <v>8</v>
      </c>
      <c r="ID45" s="376">
        <v>19</v>
      </c>
      <c r="IE45" s="376">
        <f t="shared" si="435"/>
        <v>27</v>
      </c>
      <c r="IF45" s="376">
        <v>8</v>
      </c>
      <c r="IG45" s="376">
        <v>5</v>
      </c>
      <c r="IH45" s="376">
        <f t="shared" si="436"/>
        <v>13</v>
      </c>
      <c r="II45" s="376">
        <v>2</v>
      </c>
      <c r="IJ45" s="376">
        <v>12</v>
      </c>
      <c r="IK45" s="376">
        <f t="shared" si="437"/>
        <v>14</v>
      </c>
      <c r="IL45" s="376">
        <v>18</v>
      </c>
      <c r="IM45" s="376">
        <v>17</v>
      </c>
      <c r="IN45" s="376">
        <f t="shared" si="438"/>
        <v>35</v>
      </c>
      <c r="IO45" s="376">
        <v>4</v>
      </c>
      <c r="IP45" s="376">
        <v>7</v>
      </c>
      <c r="IQ45" s="376">
        <f t="shared" si="439"/>
        <v>11</v>
      </c>
      <c r="IR45" s="376">
        <v>9</v>
      </c>
      <c r="IS45" s="376">
        <v>8</v>
      </c>
      <c r="IT45" s="376">
        <f t="shared" si="440"/>
        <v>17</v>
      </c>
      <c r="IU45" s="376">
        <v>3</v>
      </c>
      <c r="IV45" s="376">
        <v>8</v>
      </c>
      <c r="IW45" s="376">
        <f t="shared" si="441"/>
        <v>11</v>
      </c>
      <c r="IX45" s="376">
        <v>4</v>
      </c>
      <c r="IY45" s="376">
        <v>5</v>
      </c>
      <c r="IZ45" s="376">
        <f t="shared" si="442"/>
        <v>9</v>
      </c>
      <c r="JA45" s="376">
        <v>5</v>
      </c>
      <c r="JB45" s="376">
        <v>11</v>
      </c>
      <c r="JC45" s="376">
        <f t="shared" si="443"/>
        <v>16</v>
      </c>
      <c r="JD45" s="376">
        <v>3</v>
      </c>
      <c r="JE45" s="376">
        <v>5</v>
      </c>
      <c r="JF45" s="376">
        <f t="shared" si="444"/>
        <v>8</v>
      </c>
      <c r="JG45" s="376">
        <v>1</v>
      </c>
      <c r="JH45" s="376">
        <v>3</v>
      </c>
      <c r="JI45" s="376">
        <f t="shared" si="445"/>
        <v>4</v>
      </c>
      <c r="JJ45" s="376">
        <v>3</v>
      </c>
      <c r="JK45" s="376">
        <v>3</v>
      </c>
      <c r="JL45" s="376">
        <f t="shared" si="446"/>
        <v>6</v>
      </c>
      <c r="JM45" s="376">
        <v>0</v>
      </c>
      <c r="JN45" s="376">
        <v>1</v>
      </c>
      <c r="JO45" s="376">
        <f t="shared" si="447"/>
        <v>1</v>
      </c>
      <c r="JP45" s="376">
        <v>1</v>
      </c>
      <c r="JQ45" s="376">
        <v>1</v>
      </c>
      <c r="JR45" s="376">
        <f t="shared" si="448"/>
        <v>2</v>
      </c>
      <c r="JS45" s="376">
        <v>0</v>
      </c>
      <c r="JT45" s="376">
        <v>2</v>
      </c>
      <c r="JU45" s="376">
        <f t="shared" si="449"/>
        <v>2</v>
      </c>
      <c r="JV45" s="376">
        <v>5</v>
      </c>
      <c r="JW45" s="376">
        <v>1</v>
      </c>
      <c r="JX45" s="376">
        <f t="shared" si="450"/>
        <v>6</v>
      </c>
      <c r="JY45" s="376">
        <v>2</v>
      </c>
      <c r="JZ45" s="376">
        <v>1</v>
      </c>
      <c r="KA45" s="376">
        <f t="shared" si="451"/>
        <v>3</v>
      </c>
      <c r="KB45" s="376">
        <v>0</v>
      </c>
      <c r="KC45" s="376">
        <v>0</v>
      </c>
      <c r="KD45" s="376">
        <f t="shared" si="452"/>
        <v>0</v>
      </c>
      <c r="KE45" s="376">
        <v>0</v>
      </c>
      <c r="KF45" s="376">
        <v>0</v>
      </c>
      <c r="KG45" s="376">
        <f t="shared" si="453"/>
        <v>0</v>
      </c>
      <c r="KH45" s="376">
        <v>0</v>
      </c>
      <c r="KI45" s="376">
        <v>0</v>
      </c>
      <c r="KJ45" s="376">
        <f t="shared" si="454"/>
        <v>0</v>
      </c>
      <c r="KK45" s="376">
        <v>0</v>
      </c>
      <c r="KL45" s="376">
        <v>0</v>
      </c>
      <c r="KM45" s="376">
        <f t="shared" si="455"/>
        <v>0</v>
      </c>
      <c r="KN45" s="376">
        <v>1</v>
      </c>
      <c r="KO45" s="376">
        <v>1</v>
      </c>
      <c r="KP45" s="376">
        <f t="shared" si="456"/>
        <v>2</v>
      </c>
      <c r="KQ45" s="376">
        <v>0</v>
      </c>
      <c r="KR45" s="376">
        <v>0</v>
      </c>
      <c r="KS45" s="376">
        <f t="shared" si="457"/>
        <v>0</v>
      </c>
      <c r="KT45" s="376">
        <v>0</v>
      </c>
      <c r="KU45" s="376">
        <v>1</v>
      </c>
      <c r="KV45" s="376">
        <f t="shared" si="458"/>
        <v>1</v>
      </c>
      <c r="KW45" s="376">
        <v>0</v>
      </c>
      <c r="KX45" s="376">
        <v>0</v>
      </c>
      <c r="KY45" s="376">
        <f t="shared" si="459"/>
        <v>0</v>
      </c>
      <c r="KZ45" s="376">
        <v>0</v>
      </c>
      <c r="LA45" s="376">
        <v>0</v>
      </c>
      <c r="LB45" s="376">
        <f t="shared" si="460"/>
        <v>0</v>
      </c>
      <c r="LC45" s="376">
        <v>0</v>
      </c>
      <c r="LD45" s="376">
        <v>0</v>
      </c>
      <c r="LE45" s="376">
        <f t="shared" si="461"/>
        <v>0</v>
      </c>
      <c r="LF45" s="376">
        <v>0</v>
      </c>
      <c r="LG45" s="376">
        <v>0</v>
      </c>
      <c r="LH45" s="376">
        <f t="shared" si="462"/>
        <v>0</v>
      </c>
      <c r="LI45" s="376">
        <v>0</v>
      </c>
      <c r="LJ45" s="376">
        <v>0</v>
      </c>
      <c r="LK45" s="376">
        <f t="shared" si="463"/>
        <v>0</v>
      </c>
      <c r="LL45" s="376">
        <v>0</v>
      </c>
      <c r="LM45" s="376">
        <v>0</v>
      </c>
      <c r="LN45" s="376">
        <f t="shared" si="464"/>
        <v>0</v>
      </c>
      <c r="LO45" s="376">
        <v>0</v>
      </c>
      <c r="LP45" s="376">
        <v>0</v>
      </c>
      <c r="LQ45" s="376">
        <f t="shared" si="465"/>
        <v>0</v>
      </c>
      <c r="LR45" s="376">
        <v>0</v>
      </c>
      <c r="LS45" s="376">
        <v>0</v>
      </c>
      <c r="LT45" s="376">
        <f t="shared" si="466"/>
        <v>0</v>
      </c>
      <c r="LU45" s="376">
        <v>0</v>
      </c>
      <c r="LV45" s="376">
        <v>0</v>
      </c>
      <c r="LW45" s="376">
        <f t="shared" si="467"/>
        <v>0</v>
      </c>
      <c r="LX45" s="376">
        <v>0</v>
      </c>
      <c r="LY45" s="376">
        <v>0</v>
      </c>
      <c r="LZ45" s="376">
        <f t="shared" si="468"/>
        <v>0</v>
      </c>
      <c r="MA45" s="376">
        <v>0</v>
      </c>
      <c r="MB45" s="376">
        <v>0</v>
      </c>
      <c r="MC45" s="376">
        <f t="shared" si="469"/>
        <v>0</v>
      </c>
      <c r="MD45" s="376">
        <v>0</v>
      </c>
      <c r="ME45" s="376">
        <v>0</v>
      </c>
      <c r="MF45" s="376">
        <f t="shared" si="470"/>
        <v>0</v>
      </c>
      <c r="MG45" s="376">
        <v>0</v>
      </c>
      <c r="MH45" s="376">
        <v>0</v>
      </c>
      <c r="MI45" s="376">
        <f t="shared" si="471"/>
        <v>0</v>
      </c>
      <c r="MJ45" s="376">
        <v>0</v>
      </c>
      <c r="MK45" s="376">
        <v>0</v>
      </c>
      <c r="ML45" s="376">
        <f t="shared" si="472"/>
        <v>0</v>
      </c>
      <c r="MM45" s="376">
        <v>0</v>
      </c>
      <c r="MN45" s="376">
        <v>0</v>
      </c>
      <c r="MO45" s="376">
        <f t="shared" si="473"/>
        <v>0</v>
      </c>
      <c r="MP45" s="376">
        <v>0</v>
      </c>
      <c r="MQ45" s="376">
        <v>0</v>
      </c>
      <c r="MR45" s="376">
        <f t="shared" si="474"/>
        <v>0</v>
      </c>
      <c r="MS45" s="376">
        <v>0</v>
      </c>
      <c r="MT45" s="376">
        <v>0</v>
      </c>
      <c r="MU45" s="376">
        <f t="shared" si="475"/>
        <v>0</v>
      </c>
      <c r="MV45" s="376">
        <v>0</v>
      </c>
      <c r="MW45" s="376">
        <v>0</v>
      </c>
      <c r="MX45" s="376">
        <f t="shared" si="476"/>
        <v>0</v>
      </c>
      <c r="MY45" s="376">
        <v>0</v>
      </c>
      <c r="MZ45" s="376">
        <v>0</v>
      </c>
      <c r="NA45" s="545">
        <f t="shared" si="477"/>
        <v>0</v>
      </c>
      <c r="NB45" s="376">
        <v>0</v>
      </c>
      <c r="NC45" s="376">
        <v>0</v>
      </c>
      <c r="ND45" s="543">
        <f t="shared" si="478"/>
        <v>0</v>
      </c>
      <c r="NE45" s="542">
        <f>SUM(C45,F45,I45,L45,O45,R45,U45,X45,AA45,AD45,AG45,AJ45,AM45,AP45,AS45,AV45,AY45,BB45,BE45,BH45,BK45,BN45,BQ45,BT45,BW45,BZ45,CC45,CF45,CI45,CL45,CO45,CR45,CU45,CX45,DA45,DD45,DG45,DJ45,DM45,DP45,DS45,DV45,DY45,EB45,EE45,EH45,EK45,EN45,EQ45,ET45,EW45,EZ45,FC45,FF45,FI45,FL45,FO45,FR45,FU45,FX45,GA45,GD45,GG45,GJ45,GM45,GP45,GS45,GV45,GY45,HB45,HE45,HH45,HK45,HN45,HQ45,HT45,HW45,HZ45,IC45,IF45,II45,IL45,IO45,IR45,IU45,IX45,JA45,JD45,JG45,JJ45,JM45,JP45,JS45,JV45,JY45,KB45,KE45,KH45,KK45,KN45,KQ45,KT45,KW45,KZ45,LC45,LF45,LI45,LL45,LO45,LR45,LU45,LX45,MA45,MD45,MG45,MJ45,MM45,MP45,MS45,MV45,MY45)</f>
        <v>17978</v>
      </c>
      <c r="NF45" s="376">
        <f>SUM(D45,G45,J45,M45,P45,S45,V45,Y45,AB45,AE45,AH45,AK45,AN45,AQ45,AT45,AW45,AZ45,BC45,BF45,BI45,BL45,BO45,BR45,BU45,BX45,CA45,CD45,CG45,CJ45,CM45,CP45,CS45,CV45,CY45,DB45,DE45,DH45,DK45,DN45,DQ45,DT45,DW45,DZ45,EC45,EF45,EI45,EL45,EO45,ER45,EU45,EX45,FA45,FD45,FG45,FJ45,FM45,FP45,FS45,FV45,FY45,GB45,GE45,GH45,GK45,GN45,GQ45,GT45,GW45,GZ45,HC45,HF45,HI45,HL45,HO45,HR45,HU45,HX45,IA45,ID45,IG45,IJ45,IM45,IP45,IS45,IV45,IY45,JB45,JE45,JH45,JK45,JN45,JQ45,JT45,JW45,JZ45,KC45,KF45,KI45,KL45,KO45,KR45,KU45,KX45,LA45,LD45,LG45,LJ45,LM45,LP45,LS45,LV45,LY45,MB45,ME45,MH45,MK45,MN45,MQ45,MT45,MW45,MZ45)</f>
        <v>17354</v>
      </c>
      <c r="NG45" s="543">
        <f t="shared" si="480"/>
        <v>35332</v>
      </c>
      <c r="NH45" s="542">
        <f t="shared" si="481"/>
        <v>1461</v>
      </c>
      <c r="NI45" s="376">
        <f t="shared" si="481"/>
        <v>1352</v>
      </c>
      <c r="NJ45" s="543">
        <f t="shared" si="482"/>
        <v>2813</v>
      </c>
    </row>
    <row r="46" spans="1:374" x14ac:dyDescent="0.3">
      <c r="A46" s="541" t="s">
        <v>289</v>
      </c>
      <c r="B46" s="589" t="s">
        <v>91</v>
      </c>
      <c r="C46" s="544">
        <v>135</v>
      </c>
      <c r="D46" s="376">
        <v>151</v>
      </c>
      <c r="E46" s="376">
        <f t="shared" si="357"/>
        <v>286</v>
      </c>
      <c r="F46" s="376">
        <v>170</v>
      </c>
      <c r="G46" s="376">
        <v>212</v>
      </c>
      <c r="H46" s="376">
        <f t="shared" si="358"/>
        <v>382</v>
      </c>
      <c r="I46" s="376">
        <v>251</v>
      </c>
      <c r="J46" s="376">
        <v>199</v>
      </c>
      <c r="K46" s="376">
        <f t="shared" si="359"/>
        <v>450</v>
      </c>
      <c r="L46" s="376">
        <v>254</v>
      </c>
      <c r="M46" s="376">
        <v>218</v>
      </c>
      <c r="N46" s="376">
        <f t="shared" si="360"/>
        <v>472</v>
      </c>
      <c r="O46" s="376">
        <v>246</v>
      </c>
      <c r="P46" s="376">
        <v>240</v>
      </c>
      <c r="Q46" s="376">
        <f t="shared" si="361"/>
        <v>486</v>
      </c>
      <c r="R46" s="376">
        <v>286</v>
      </c>
      <c r="S46" s="376">
        <v>266</v>
      </c>
      <c r="T46" s="376">
        <f t="shared" si="362"/>
        <v>552</v>
      </c>
      <c r="U46" s="376">
        <v>268</v>
      </c>
      <c r="V46" s="376">
        <v>294</v>
      </c>
      <c r="W46" s="376">
        <f t="shared" si="363"/>
        <v>562</v>
      </c>
      <c r="X46" s="376">
        <v>326</v>
      </c>
      <c r="Y46" s="376">
        <v>282</v>
      </c>
      <c r="Z46" s="376">
        <f t="shared" si="364"/>
        <v>608</v>
      </c>
      <c r="AA46" s="376">
        <v>313</v>
      </c>
      <c r="AB46" s="376">
        <v>234</v>
      </c>
      <c r="AC46" s="376">
        <f t="shared" si="365"/>
        <v>547</v>
      </c>
      <c r="AD46" s="376">
        <v>291</v>
      </c>
      <c r="AE46" s="376">
        <v>260</v>
      </c>
      <c r="AF46" s="376">
        <f t="shared" si="366"/>
        <v>551</v>
      </c>
      <c r="AG46" s="376">
        <v>278</v>
      </c>
      <c r="AH46" s="376">
        <v>247</v>
      </c>
      <c r="AI46" s="376">
        <f t="shared" si="367"/>
        <v>525</v>
      </c>
      <c r="AJ46" s="376">
        <v>290</v>
      </c>
      <c r="AK46" s="376">
        <v>254</v>
      </c>
      <c r="AL46" s="376">
        <f t="shared" si="368"/>
        <v>544</v>
      </c>
      <c r="AM46" s="376">
        <v>271</v>
      </c>
      <c r="AN46" s="376">
        <v>263</v>
      </c>
      <c r="AO46" s="376">
        <f t="shared" si="369"/>
        <v>534</v>
      </c>
      <c r="AP46" s="376">
        <v>259</v>
      </c>
      <c r="AQ46" s="376">
        <v>231</v>
      </c>
      <c r="AR46" s="376">
        <f t="shared" si="370"/>
        <v>490</v>
      </c>
      <c r="AS46" s="376">
        <v>298</v>
      </c>
      <c r="AT46" s="376">
        <v>251</v>
      </c>
      <c r="AU46" s="376">
        <f t="shared" si="371"/>
        <v>549</v>
      </c>
      <c r="AV46" s="376">
        <v>273</v>
      </c>
      <c r="AW46" s="376">
        <v>265</v>
      </c>
      <c r="AX46" s="376">
        <f t="shared" si="372"/>
        <v>538</v>
      </c>
      <c r="AY46" s="376">
        <v>247</v>
      </c>
      <c r="AZ46" s="376">
        <v>239</v>
      </c>
      <c r="BA46" s="376">
        <f t="shared" si="373"/>
        <v>486</v>
      </c>
      <c r="BB46" s="376">
        <v>229</v>
      </c>
      <c r="BC46" s="376">
        <v>217</v>
      </c>
      <c r="BD46" s="376">
        <f t="shared" si="374"/>
        <v>446</v>
      </c>
      <c r="BE46" s="376">
        <v>233</v>
      </c>
      <c r="BF46" s="376">
        <v>238</v>
      </c>
      <c r="BG46" s="376">
        <f t="shared" si="375"/>
        <v>471</v>
      </c>
      <c r="BH46" s="376">
        <v>291</v>
      </c>
      <c r="BI46" s="376">
        <v>224</v>
      </c>
      <c r="BJ46" s="376">
        <f t="shared" si="376"/>
        <v>515</v>
      </c>
      <c r="BK46" s="376">
        <v>247</v>
      </c>
      <c r="BL46" s="376">
        <v>195</v>
      </c>
      <c r="BM46" s="376">
        <f t="shared" si="377"/>
        <v>442</v>
      </c>
      <c r="BN46" s="376">
        <v>263</v>
      </c>
      <c r="BO46" s="376">
        <v>206</v>
      </c>
      <c r="BP46" s="376">
        <f t="shared" si="378"/>
        <v>469</v>
      </c>
      <c r="BQ46" s="376">
        <v>267</v>
      </c>
      <c r="BR46" s="376">
        <v>246</v>
      </c>
      <c r="BS46" s="376">
        <f t="shared" si="379"/>
        <v>513</v>
      </c>
      <c r="BT46" s="376">
        <v>268</v>
      </c>
      <c r="BU46" s="376">
        <v>231</v>
      </c>
      <c r="BV46" s="376">
        <f t="shared" si="380"/>
        <v>499</v>
      </c>
      <c r="BW46" s="376">
        <v>271</v>
      </c>
      <c r="BX46" s="376">
        <v>248</v>
      </c>
      <c r="BY46" s="376">
        <f t="shared" si="381"/>
        <v>519</v>
      </c>
      <c r="BZ46" s="376">
        <v>289</v>
      </c>
      <c r="CA46" s="376">
        <v>267</v>
      </c>
      <c r="CB46" s="376">
        <f t="shared" si="382"/>
        <v>556</v>
      </c>
      <c r="CC46" s="376">
        <v>274</v>
      </c>
      <c r="CD46" s="376">
        <v>276</v>
      </c>
      <c r="CE46" s="376">
        <f t="shared" si="383"/>
        <v>550</v>
      </c>
      <c r="CF46" s="376">
        <v>214</v>
      </c>
      <c r="CG46" s="376">
        <v>206</v>
      </c>
      <c r="CH46" s="376">
        <f t="shared" si="384"/>
        <v>420</v>
      </c>
      <c r="CI46" s="376">
        <v>249</v>
      </c>
      <c r="CJ46" s="376">
        <v>235</v>
      </c>
      <c r="CK46" s="376">
        <f t="shared" si="385"/>
        <v>484</v>
      </c>
      <c r="CL46" s="376">
        <v>239</v>
      </c>
      <c r="CM46" s="376">
        <v>237</v>
      </c>
      <c r="CN46" s="376">
        <f t="shared" si="386"/>
        <v>476</v>
      </c>
      <c r="CO46" s="376">
        <v>235</v>
      </c>
      <c r="CP46" s="376">
        <v>226</v>
      </c>
      <c r="CQ46" s="376">
        <f t="shared" si="387"/>
        <v>461</v>
      </c>
      <c r="CR46" s="376">
        <v>239</v>
      </c>
      <c r="CS46" s="376">
        <v>270</v>
      </c>
      <c r="CT46" s="376">
        <f t="shared" si="388"/>
        <v>509</v>
      </c>
      <c r="CU46" s="376">
        <v>234</v>
      </c>
      <c r="CV46" s="376">
        <v>243</v>
      </c>
      <c r="CW46" s="376">
        <f t="shared" si="389"/>
        <v>477</v>
      </c>
      <c r="CX46" s="376">
        <v>244</v>
      </c>
      <c r="CY46" s="376">
        <v>251</v>
      </c>
      <c r="CZ46" s="376">
        <f t="shared" si="390"/>
        <v>495</v>
      </c>
      <c r="DA46" s="376">
        <v>248</v>
      </c>
      <c r="DB46" s="376">
        <v>254</v>
      </c>
      <c r="DC46" s="376">
        <f t="shared" si="391"/>
        <v>502</v>
      </c>
      <c r="DD46" s="376">
        <v>249</v>
      </c>
      <c r="DE46" s="376">
        <v>249</v>
      </c>
      <c r="DF46" s="376">
        <f t="shared" si="392"/>
        <v>498</v>
      </c>
      <c r="DG46" s="376">
        <v>232</v>
      </c>
      <c r="DH46" s="376">
        <v>240</v>
      </c>
      <c r="DI46" s="376">
        <f t="shared" si="393"/>
        <v>472</v>
      </c>
      <c r="DJ46" s="376">
        <v>254</v>
      </c>
      <c r="DK46" s="376">
        <v>214</v>
      </c>
      <c r="DL46" s="376">
        <f t="shared" si="394"/>
        <v>468</v>
      </c>
      <c r="DM46" s="376">
        <v>213</v>
      </c>
      <c r="DN46" s="376">
        <v>224</v>
      </c>
      <c r="DO46" s="376">
        <f t="shared" si="395"/>
        <v>437</v>
      </c>
      <c r="DP46" s="376">
        <v>214</v>
      </c>
      <c r="DQ46" s="376">
        <v>223</v>
      </c>
      <c r="DR46" s="376">
        <f t="shared" si="396"/>
        <v>437</v>
      </c>
      <c r="DS46" s="376">
        <v>223</v>
      </c>
      <c r="DT46" s="376">
        <v>226</v>
      </c>
      <c r="DU46" s="376">
        <f t="shared" si="397"/>
        <v>449</v>
      </c>
      <c r="DV46" s="376">
        <v>215</v>
      </c>
      <c r="DW46" s="376">
        <v>269</v>
      </c>
      <c r="DX46" s="376">
        <f t="shared" si="398"/>
        <v>484</v>
      </c>
      <c r="DY46" s="376">
        <v>252</v>
      </c>
      <c r="DZ46" s="376">
        <v>255</v>
      </c>
      <c r="EA46" s="376">
        <f t="shared" si="399"/>
        <v>507</v>
      </c>
      <c r="EB46" s="376">
        <v>261</v>
      </c>
      <c r="EC46" s="376">
        <v>290</v>
      </c>
      <c r="ED46" s="376">
        <f t="shared" si="400"/>
        <v>551</v>
      </c>
      <c r="EE46" s="376">
        <v>283</v>
      </c>
      <c r="EF46" s="376">
        <v>273</v>
      </c>
      <c r="EG46" s="376">
        <f t="shared" si="401"/>
        <v>556</v>
      </c>
      <c r="EH46" s="376">
        <v>266</v>
      </c>
      <c r="EI46" s="376">
        <v>253</v>
      </c>
      <c r="EJ46" s="376">
        <f t="shared" si="402"/>
        <v>519</v>
      </c>
      <c r="EK46" s="376">
        <v>283</v>
      </c>
      <c r="EL46" s="376">
        <v>287</v>
      </c>
      <c r="EM46" s="376">
        <f t="shared" si="403"/>
        <v>570</v>
      </c>
      <c r="EN46" s="376">
        <v>276</v>
      </c>
      <c r="EO46" s="376">
        <v>276</v>
      </c>
      <c r="EP46" s="376">
        <f t="shared" si="404"/>
        <v>552</v>
      </c>
      <c r="EQ46" s="376">
        <v>226</v>
      </c>
      <c r="ER46" s="376">
        <v>274</v>
      </c>
      <c r="ES46" s="376">
        <f t="shared" si="405"/>
        <v>500</v>
      </c>
      <c r="ET46" s="376">
        <v>231</v>
      </c>
      <c r="EU46" s="376">
        <v>245</v>
      </c>
      <c r="EV46" s="376">
        <f t="shared" si="406"/>
        <v>476</v>
      </c>
      <c r="EW46" s="376">
        <v>245</v>
      </c>
      <c r="EX46" s="376">
        <v>252</v>
      </c>
      <c r="EY46" s="376">
        <f t="shared" si="407"/>
        <v>497</v>
      </c>
      <c r="EZ46" s="376">
        <v>217</v>
      </c>
      <c r="FA46" s="376">
        <v>251</v>
      </c>
      <c r="FB46" s="376">
        <f t="shared" si="408"/>
        <v>468</v>
      </c>
      <c r="FC46" s="376">
        <v>214</v>
      </c>
      <c r="FD46" s="376">
        <v>201</v>
      </c>
      <c r="FE46" s="376">
        <f t="shared" si="409"/>
        <v>415</v>
      </c>
      <c r="FF46" s="376">
        <v>231</v>
      </c>
      <c r="FG46" s="376">
        <v>215</v>
      </c>
      <c r="FH46" s="376">
        <f t="shared" si="410"/>
        <v>446</v>
      </c>
      <c r="FI46" s="376">
        <v>203</v>
      </c>
      <c r="FJ46" s="376">
        <v>146</v>
      </c>
      <c r="FK46" s="376">
        <f t="shared" si="411"/>
        <v>349</v>
      </c>
      <c r="FL46" s="376">
        <v>163</v>
      </c>
      <c r="FM46" s="376">
        <v>139</v>
      </c>
      <c r="FN46" s="376">
        <f t="shared" si="412"/>
        <v>302</v>
      </c>
      <c r="FO46" s="376">
        <v>182</v>
      </c>
      <c r="FP46" s="376">
        <v>114</v>
      </c>
      <c r="FQ46" s="376">
        <f t="shared" si="413"/>
        <v>296</v>
      </c>
      <c r="FR46" s="376">
        <v>148</v>
      </c>
      <c r="FS46" s="376">
        <v>109</v>
      </c>
      <c r="FT46" s="376">
        <f t="shared" si="414"/>
        <v>257</v>
      </c>
      <c r="FU46" s="376">
        <v>111</v>
      </c>
      <c r="FV46" s="376">
        <v>110</v>
      </c>
      <c r="FW46" s="376">
        <f t="shared" si="415"/>
        <v>221</v>
      </c>
      <c r="FX46" s="376">
        <v>86</v>
      </c>
      <c r="FY46" s="376">
        <v>82</v>
      </c>
      <c r="FZ46" s="376">
        <f t="shared" si="416"/>
        <v>168</v>
      </c>
      <c r="GA46" s="376">
        <v>91</v>
      </c>
      <c r="GB46" s="376">
        <v>72</v>
      </c>
      <c r="GC46" s="376">
        <f t="shared" si="417"/>
        <v>163</v>
      </c>
      <c r="GD46" s="376">
        <v>81</v>
      </c>
      <c r="GE46" s="376">
        <v>87</v>
      </c>
      <c r="GF46" s="376">
        <f t="shared" si="418"/>
        <v>168</v>
      </c>
      <c r="GG46" s="376">
        <v>74</v>
      </c>
      <c r="GH46" s="376">
        <v>65</v>
      </c>
      <c r="GI46" s="376">
        <f t="shared" si="419"/>
        <v>139</v>
      </c>
      <c r="GJ46" s="376">
        <v>72</v>
      </c>
      <c r="GK46" s="376">
        <v>55</v>
      </c>
      <c r="GL46" s="376">
        <f t="shared" si="420"/>
        <v>127</v>
      </c>
      <c r="GM46" s="376">
        <v>58</v>
      </c>
      <c r="GN46" s="376">
        <v>44</v>
      </c>
      <c r="GO46" s="376">
        <f t="shared" si="421"/>
        <v>102</v>
      </c>
      <c r="GP46" s="376">
        <v>48</v>
      </c>
      <c r="GQ46" s="376">
        <v>41</v>
      </c>
      <c r="GR46" s="376">
        <f t="shared" si="422"/>
        <v>89</v>
      </c>
      <c r="GS46" s="376">
        <v>56</v>
      </c>
      <c r="GT46" s="376">
        <v>52</v>
      </c>
      <c r="GU46" s="376">
        <f t="shared" si="423"/>
        <v>108</v>
      </c>
      <c r="GV46" s="376">
        <v>40</v>
      </c>
      <c r="GW46" s="376">
        <v>43</v>
      </c>
      <c r="GX46" s="376">
        <f t="shared" si="424"/>
        <v>83</v>
      </c>
      <c r="GY46" s="376">
        <v>42</v>
      </c>
      <c r="GZ46" s="376">
        <v>32</v>
      </c>
      <c r="HA46" s="376">
        <f t="shared" si="425"/>
        <v>74</v>
      </c>
      <c r="HB46" s="376">
        <v>27</v>
      </c>
      <c r="HC46" s="376">
        <v>22</v>
      </c>
      <c r="HD46" s="376">
        <f t="shared" si="426"/>
        <v>49</v>
      </c>
      <c r="HE46" s="376">
        <v>25</v>
      </c>
      <c r="HF46" s="376">
        <v>29</v>
      </c>
      <c r="HG46" s="376">
        <f t="shared" si="427"/>
        <v>54</v>
      </c>
      <c r="HH46" s="376">
        <v>27</v>
      </c>
      <c r="HI46" s="376">
        <v>28</v>
      </c>
      <c r="HJ46" s="376">
        <f t="shared" si="428"/>
        <v>55</v>
      </c>
      <c r="HK46" s="376">
        <v>14</v>
      </c>
      <c r="HL46" s="376">
        <v>19</v>
      </c>
      <c r="HM46" s="376">
        <f t="shared" si="429"/>
        <v>33</v>
      </c>
      <c r="HN46" s="376">
        <v>17</v>
      </c>
      <c r="HO46" s="376">
        <v>18</v>
      </c>
      <c r="HP46" s="376">
        <f t="shared" si="430"/>
        <v>35</v>
      </c>
      <c r="HQ46" s="376">
        <v>12</v>
      </c>
      <c r="HR46" s="376">
        <v>9</v>
      </c>
      <c r="HS46" s="376">
        <f t="shared" si="431"/>
        <v>21</v>
      </c>
      <c r="HT46" s="376">
        <v>10</v>
      </c>
      <c r="HU46" s="376">
        <v>20</v>
      </c>
      <c r="HV46" s="376">
        <f t="shared" si="432"/>
        <v>30</v>
      </c>
      <c r="HW46" s="376">
        <v>23</v>
      </c>
      <c r="HX46" s="376">
        <v>22</v>
      </c>
      <c r="HY46" s="376">
        <f t="shared" si="433"/>
        <v>45</v>
      </c>
      <c r="HZ46" s="376">
        <v>8</v>
      </c>
      <c r="IA46" s="376">
        <v>13</v>
      </c>
      <c r="IB46" s="376">
        <f t="shared" si="434"/>
        <v>21</v>
      </c>
      <c r="IC46" s="376">
        <v>10</v>
      </c>
      <c r="ID46" s="376">
        <v>10</v>
      </c>
      <c r="IE46" s="376">
        <f t="shared" si="435"/>
        <v>20</v>
      </c>
      <c r="IF46" s="376">
        <v>5</v>
      </c>
      <c r="IG46" s="376">
        <v>9</v>
      </c>
      <c r="IH46" s="376">
        <f t="shared" si="436"/>
        <v>14</v>
      </c>
      <c r="II46" s="376">
        <v>9</v>
      </c>
      <c r="IJ46" s="376">
        <v>15</v>
      </c>
      <c r="IK46" s="376">
        <f t="shared" si="437"/>
        <v>24</v>
      </c>
      <c r="IL46" s="376">
        <v>9</v>
      </c>
      <c r="IM46" s="376">
        <v>11</v>
      </c>
      <c r="IN46" s="376">
        <f t="shared" si="438"/>
        <v>20</v>
      </c>
      <c r="IO46" s="376">
        <v>2</v>
      </c>
      <c r="IP46" s="376">
        <v>8</v>
      </c>
      <c r="IQ46" s="376">
        <f t="shared" si="439"/>
        <v>10</v>
      </c>
      <c r="IR46" s="376">
        <v>3</v>
      </c>
      <c r="IS46" s="376">
        <v>8</v>
      </c>
      <c r="IT46" s="376">
        <f t="shared" si="440"/>
        <v>11</v>
      </c>
      <c r="IU46" s="376">
        <v>5</v>
      </c>
      <c r="IV46" s="376">
        <v>7</v>
      </c>
      <c r="IW46" s="376">
        <f t="shared" si="441"/>
        <v>12</v>
      </c>
      <c r="IX46" s="376">
        <v>5</v>
      </c>
      <c r="IY46" s="376">
        <v>5</v>
      </c>
      <c r="IZ46" s="376">
        <f t="shared" si="442"/>
        <v>10</v>
      </c>
      <c r="JA46" s="376">
        <v>4</v>
      </c>
      <c r="JB46" s="376">
        <v>11</v>
      </c>
      <c r="JC46" s="376">
        <f t="shared" si="443"/>
        <v>15</v>
      </c>
      <c r="JD46" s="376">
        <v>2</v>
      </c>
      <c r="JE46" s="376">
        <v>5</v>
      </c>
      <c r="JF46" s="376">
        <f t="shared" si="444"/>
        <v>7</v>
      </c>
      <c r="JG46" s="376">
        <v>1</v>
      </c>
      <c r="JH46" s="376">
        <v>2</v>
      </c>
      <c r="JI46" s="376">
        <f t="shared" si="445"/>
        <v>3</v>
      </c>
      <c r="JJ46" s="376">
        <v>3</v>
      </c>
      <c r="JK46" s="376">
        <v>1</v>
      </c>
      <c r="JL46" s="376">
        <f t="shared" si="446"/>
        <v>4</v>
      </c>
      <c r="JM46" s="376">
        <v>3</v>
      </c>
      <c r="JN46" s="376">
        <v>5</v>
      </c>
      <c r="JO46" s="376">
        <f t="shared" si="447"/>
        <v>8</v>
      </c>
      <c r="JP46" s="376">
        <v>1</v>
      </c>
      <c r="JQ46" s="376">
        <v>3</v>
      </c>
      <c r="JR46" s="376">
        <f t="shared" si="448"/>
        <v>4</v>
      </c>
      <c r="JS46" s="376">
        <v>2</v>
      </c>
      <c r="JT46" s="376">
        <v>5</v>
      </c>
      <c r="JU46" s="376">
        <f t="shared" si="449"/>
        <v>7</v>
      </c>
      <c r="JV46" s="376">
        <v>3</v>
      </c>
      <c r="JW46" s="376">
        <v>4</v>
      </c>
      <c r="JX46" s="376">
        <f t="shared" si="450"/>
        <v>7</v>
      </c>
      <c r="JY46" s="376">
        <v>1</v>
      </c>
      <c r="JZ46" s="376">
        <v>0</v>
      </c>
      <c r="KA46" s="376">
        <f t="shared" si="451"/>
        <v>1</v>
      </c>
      <c r="KB46" s="376">
        <v>1</v>
      </c>
      <c r="KC46" s="376">
        <v>0</v>
      </c>
      <c r="KD46" s="376">
        <f t="shared" si="452"/>
        <v>1</v>
      </c>
      <c r="KE46" s="376">
        <v>1</v>
      </c>
      <c r="KF46" s="376">
        <v>1</v>
      </c>
      <c r="KG46" s="376">
        <f t="shared" si="453"/>
        <v>2</v>
      </c>
      <c r="KH46" s="376">
        <v>1</v>
      </c>
      <c r="KI46" s="376">
        <v>2</v>
      </c>
      <c r="KJ46" s="376">
        <f t="shared" si="454"/>
        <v>3</v>
      </c>
      <c r="KK46" s="376">
        <v>1</v>
      </c>
      <c r="KL46" s="376">
        <v>1</v>
      </c>
      <c r="KM46" s="376">
        <f t="shared" si="455"/>
        <v>2</v>
      </c>
      <c r="KN46" s="376">
        <v>0</v>
      </c>
      <c r="KO46" s="376">
        <v>0</v>
      </c>
      <c r="KP46" s="376">
        <f t="shared" si="456"/>
        <v>0</v>
      </c>
      <c r="KQ46" s="376">
        <v>0</v>
      </c>
      <c r="KR46" s="376">
        <v>0</v>
      </c>
      <c r="KS46" s="376">
        <f t="shared" si="457"/>
        <v>0</v>
      </c>
      <c r="KT46" s="376">
        <v>0</v>
      </c>
      <c r="KU46" s="376">
        <v>0</v>
      </c>
      <c r="KV46" s="376">
        <f t="shared" si="458"/>
        <v>0</v>
      </c>
      <c r="KW46" s="376">
        <v>0</v>
      </c>
      <c r="KX46" s="376">
        <v>0</v>
      </c>
      <c r="KY46" s="376">
        <f t="shared" si="459"/>
        <v>0</v>
      </c>
      <c r="KZ46" s="376">
        <v>0</v>
      </c>
      <c r="LA46" s="376">
        <v>0</v>
      </c>
      <c r="LB46" s="376">
        <f t="shared" si="460"/>
        <v>0</v>
      </c>
      <c r="LC46" s="376">
        <v>0</v>
      </c>
      <c r="LD46" s="376">
        <v>0</v>
      </c>
      <c r="LE46" s="376">
        <f t="shared" si="461"/>
        <v>0</v>
      </c>
      <c r="LF46" s="376">
        <v>0</v>
      </c>
      <c r="LG46" s="376">
        <v>0</v>
      </c>
      <c r="LH46" s="376">
        <f t="shared" si="462"/>
        <v>0</v>
      </c>
      <c r="LI46" s="376">
        <v>0</v>
      </c>
      <c r="LJ46" s="376">
        <v>0</v>
      </c>
      <c r="LK46" s="376">
        <f t="shared" si="463"/>
        <v>0</v>
      </c>
      <c r="LL46" s="376">
        <v>0</v>
      </c>
      <c r="LM46" s="376">
        <v>0</v>
      </c>
      <c r="LN46" s="376">
        <f t="shared" si="464"/>
        <v>0</v>
      </c>
      <c r="LO46" s="376">
        <v>0</v>
      </c>
      <c r="LP46" s="376">
        <v>0</v>
      </c>
      <c r="LQ46" s="376">
        <f t="shared" si="465"/>
        <v>0</v>
      </c>
      <c r="LR46" s="376">
        <v>0</v>
      </c>
      <c r="LS46" s="376">
        <v>0</v>
      </c>
      <c r="LT46" s="376">
        <f t="shared" si="466"/>
        <v>0</v>
      </c>
      <c r="LU46" s="376">
        <v>0</v>
      </c>
      <c r="LV46" s="376">
        <v>0</v>
      </c>
      <c r="LW46" s="376">
        <f t="shared" si="467"/>
        <v>0</v>
      </c>
      <c r="LX46" s="376">
        <v>0</v>
      </c>
      <c r="LY46" s="376">
        <v>0</v>
      </c>
      <c r="LZ46" s="376">
        <f t="shared" si="468"/>
        <v>0</v>
      </c>
      <c r="MA46" s="376">
        <v>0</v>
      </c>
      <c r="MB46" s="376">
        <v>0</v>
      </c>
      <c r="MC46" s="376">
        <f t="shared" si="469"/>
        <v>0</v>
      </c>
      <c r="MD46" s="376">
        <v>0</v>
      </c>
      <c r="ME46" s="376">
        <v>0</v>
      </c>
      <c r="MF46" s="376">
        <f t="shared" si="470"/>
        <v>0</v>
      </c>
      <c r="MG46" s="376">
        <v>0</v>
      </c>
      <c r="MH46" s="376">
        <v>0</v>
      </c>
      <c r="MI46" s="376">
        <f t="shared" si="471"/>
        <v>0</v>
      </c>
      <c r="MJ46" s="376">
        <v>0</v>
      </c>
      <c r="MK46" s="376">
        <v>0</v>
      </c>
      <c r="ML46" s="376">
        <f t="shared" si="472"/>
        <v>0</v>
      </c>
      <c r="MM46" s="376">
        <v>0</v>
      </c>
      <c r="MN46" s="376">
        <v>0</v>
      </c>
      <c r="MO46" s="376">
        <f t="shared" si="473"/>
        <v>0</v>
      </c>
      <c r="MP46" s="376">
        <v>0</v>
      </c>
      <c r="MQ46" s="376">
        <v>0</v>
      </c>
      <c r="MR46" s="376">
        <f t="shared" si="474"/>
        <v>0</v>
      </c>
      <c r="MS46" s="376">
        <v>0</v>
      </c>
      <c r="MT46" s="376">
        <v>0</v>
      </c>
      <c r="MU46" s="376">
        <f t="shared" si="475"/>
        <v>0</v>
      </c>
      <c r="MV46" s="376">
        <v>0</v>
      </c>
      <c r="MW46" s="376">
        <v>0</v>
      </c>
      <c r="MX46" s="376">
        <f t="shared" si="476"/>
        <v>0</v>
      </c>
      <c r="MY46" s="376">
        <v>0</v>
      </c>
      <c r="MZ46" s="376">
        <v>0</v>
      </c>
      <c r="NA46" s="545">
        <f t="shared" si="477"/>
        <v>0</v>
      </c>
      <c r="NB46" s="376">
        <v>0</v>
      </c>
      <c r="NC46" s="376">
        <v>0</v>
      </c>
      <c r="ND46" s="543">
        <f t="shared" si="478"/>
        <v>0</v>
      </c>
      <c r="NE46" s="542">
        <f t="shared" ref="NE46:NF48" si="487">SUM(C46,F46,I46,L46,O46,R46,U46,X46,AA46,AD46,AG46,AJ46,AM46,AP46,AS46,AV46,AY46,BB46,BE46,BH46,BK46,BN46,BQ46,BT46,BW46,BZ46,CC46,CF46,CI46,CL46,CO46,CR46,CU46,CX46,DA46,DD46,DG46,DJ46,DM46,DP46,DS46,DV46,DY46,EB46,EE46,EH46,EK46,EN46,EQ46,ET46,EW46,EZ46,FC46,FF46,FI46,FL46,FO46,FR46,FU46,FX46,GA46,GD46,GG46,GJ46,GM46,GP46,GS46,GV46,GY46,HB46,HE46,HH46,HK46,HN46,HQ46,HT46,HW46,HZ46,IC46,IF46,II46,IL46,IO46,IR46,IU46,IX46,JA46,JD46,JG46,JJ46,JM46,JP46,JS46,JV46,JY46,KB46,KE46,KH46,KK46,KN46,KQ46,KT46,KW46,KZ46,LC46,LF46,LI46,LL46,LO46,LR46,LU46,LX46,MA46,MD46,MG46,MJ46,MM46,MP46,MS46,MV46,MY46)</f>
        <v>15265</v>
      </c>
      <c r="NF46" s="376">
        <f t="shared" si="487"/>
        <v>14577</v>
      </c>
      <c r="NG46" s="543">
        <f t="shared" si="480"/>
        <v>29842</v>
      </c>
      <c r="NH46" s="542">
        <f t="shared" si="481"/>
        <v>1342</v>
      </c>
      <c r="NI46" s="376">
        <f t="shared" si="481"/>
        <v>1286</v>
      </c>
      <c r="NJ46" s="543">
        <f t="shared" si="482"/>
        <v>2628</v>
      </c>
    </row>
    <row r="47" spans="1:374" x14ac:dyDescent="0.3">
      <c r="A47" s="541" t="s">
        <v>290</v>
      </c>
      <c r="B47" s="589" t="s">
        <v>93</v>
      </c>
      <c r="C47" s="544">
        <v>133</v>
      </c>
      <c r="D47" s="376">
        <v>126</v>
      </c>
      <c r="E47" s="376">
        <f t="shared" si="357"/>
        <v>259</v>
      </c>
      <c r="F47" s="376">
        <v>170</v>
      </c>
      <c r="G47" s="376">
        <v>179</v>
      </c>
      <c r="H47" s="376">
        <f t="shared" si="358"/>
        <v>349</v>
      </c>
      <c r="I47" s="376">
        <v>202</v>
      </c>
      <c r="J47" s="376">
        <v>174</v>
      </c>
      <c r="K47" s="376">
        <f t="shared" si="359"/>
        <v>376</v>
      </c>
      <c r="L47" s="376">
        <v>233</v>
      </c>
      <c r="M47" s="376">
        <v>187</v>
      </c>
      <c r="N47" s="376">
        <f t="shared" si="360"/>
        <v>420</v>
      </c>
      <c r="O47" s="376">
        <v>227</v>
      </c>
      <c r="P47" s="376">
        <v>213</v>
      </c>
      <c r="Q47" s="376">
        <f t="shared" si="361"/>
        <v>440</v>
      </c>
      <c r="R47" s="376">
        <v>284</v>
      </c>
      <c r="S47" s="376">
        <v>207</v>
      </c>
      <c r="T47" s="376">
        <f t="shared" si="362"/>
        <v>491</v>
      </c>
      <c r="U47" s="376">
        <v>276</v>
      </c>
      <c r="V47" s="376">
        <v>279</v>
      </c>
      <c r="W47" s="376">
        <f t="shared" si="363"/>
        <v>555</v>
      </c>
      <c r="X47" s="376">
        <v>245</v>
      </c>
      <c r="Y47" s="376">
        <v>266</v>
      </c>
      <c r="Z47" s="376">
        <f t="shared" si="364"/>
        <v>511</v>
      </c>
      <c r="AA47" s="376">
        <v>216</v>
      </c>
      <c r="AB47" s="376">
        <v>233</v>
      </c>
      <c r="AC47" s="376">
        <f t="shared" si="365"/>
        <v>449</v>
      </c>
      <c r="AD47" s="376">
        <v>237</v>
      </c>
      <c r="AE47" s="376">
        <v>222</v>
      </c>
      <c r="AF47" s="376">
        <f t="shared" si="366"/>
        <v>459</v>
      </c>
      <c r="AG47" s="376">
        <v>266</v>
      </c>
      <c r="AH47" s="376">
        <v>203</v>
      </c>
      <c r="AI47" s="376">
        <f t="shared" si="367"/>
        <v>469</v>
      </c>
      <c r="AJ47" s="376">
        <v>208</v>
      </c>
      <c r="AK47" s="376">
        <v>195</v>
      </c>
      <c r="AL47" s="376">
        <f t="shared" si="368"/>
        <v>403</v>
      </c>
      <c r="AM47" s="376">
        <v>249</v>
      </c>
      <c r="AN47" s="376">
        <v>213</v>
      </c>
      <c r="AO47" s="376">
        <f t="shared" si="369"/>
        <v>462</v>
      </c>
      <c r="AP47" s="376">
        <v>244</v>
      </c>
      <c r="AQ47" s="376">
        <v>246</v>
      </c>
      <c r="AR47" s="376">
        <f t="shared" si="370"/>
        <v>490</v>
      </c>
      <c r="AS47" s="376">
        <v>275</v>
      </c>
      <c r="AT47" s="376">
        <v>242</v>
      </c>
      <c r="AU47" s="376">
        <f t="shared" si="371"/>
        <v>517</v>
      </c>
      <c r="AV47" s="376">
        <v>233</v>
      </c>
      <c r="AW47" s="376">
        <v>218</v>
      </c>
      <c r="AX47" s="376">
        <f t="shared" si="372"/>
        <v>451</v>
      </c>
      <c r="AY47" s="376">
        <v>232</v>
      </c>
      <c r="AZ47" s="376">
        <v>251</v>
      </c>
      <c r="BA47" s="376">
        <f t="shared" si="373"/>
        <v>483</v>
      </c>
      <c r="BB47" s="376">
        <v>205</v>
      </c>
      <c r="BC47" s="376">
        <v>214</v>
      </c>
      <c r="BD47" s="376">
        <f t="shared" si="374"/>
        <v>419</v>
      </c>
      <c r="BE47" s="376">
        <v>220</v>
      </c>
      <c r="BF47" s="376">
        <v>219</v>
      </c>
      <c r="BG47" s="376">
        <f t="shared" si="375"/>
        <v>439</v>
      </c>
      <c r="BH47" s="376">
        <v>260</v>
      </c>
      <c r="BI47" s="376">
        <v>215</v>
      </c>
      <c r="BJ47" s="376">
        <f t="shared" si="376"/>
        <v>475</v>
      </c>
      <c r="BK47" s="376">
        <v>223</v>
      </c>
      <c r="BL47" s="376">
        <v>214</v>
      </c>
      <c r="BM47" s="376">
        <f t="shared" si="377"/>
        <v>437</v>
      </c>
      <c r="BN47" s="376">
        <v>232</v>
      </c>
      <c r="BO47" s="376">
        <v>232</v>
      </c>
      <c r="BP47" s="376">
        <f t="shared" si="378"/>
        <v>464</v>
      </c>
      <c r="BQ47" s="376">
        <v>253</v>
      </c>
      <c r="BR47" s="376">
        <v>232</v>
      </c>
      <c r="BS47" s="376">
        <f t="shared" si="379"/>
        <v>485</v>
      </c>
      <c r="BT47" s="376">
        <v>259</v>
      </c>
      <c r="BU47" s="376">
        <v>213</v>
      </c>
      <c r="BV47" s="376">
        <f t="shared" si="380"/>
        <v>472</v>
      </c>
      <c r="BW47" s="376">
        <v>229</v>
      </c>
      <c r="BX47" s="376">
        <v>243</v>
      </c>
      <c r="BY47" s="376">
        <f t="shared" si="381"/>
        <v>472</v>
      </c>
      <c r="BZ47" s="376">
        <v>258</v>
      </c>
      <c r="CA47" s="376">
        <v>270</v>
      </c>
      <c r="CB47" s="376">
        <f t="shared" si="382"/>
        <v>528</v>
      </c>
      <c r="CC47" s="376">
        <v>251</v>
      </c>
      <c r="CD47" s="376">
        <v>271</v>
      </c>
      <c r="CE47" s="376">
        <f t="shared" si="383"/>
        <v>522</v>
      </c>
      <c r="CF47" s="376">
        <v>214</v>
      </c>
      <c r="CG47" s="376">
        <v>227</v>
      </c>
      <c r="CH47" s="376">
        <f t="shared" si="384"/>
        <v>441</v>
      </c>
      <c r="CI47" s="376">
        <v>245</v>
      </c>
      <c r="CJ47" s="376">
        <v>268</v>
      </c>
      <c r="CK47" s="376">
        <f t="shared" si="385"/>
        <v>513</v>
      </c>
      <c r="CL47" s="376">
        <v>227</v>
      </c>
      <c r="CM47" s="376">
        <v>237</v>
      </c>
      <c r="CN47" s="376">
        <f t="shared" si="386"/>
        <v>464</v>
      </c>
      <c r="CO47" s="376">
        <v>254</v>
      </c>
      <c r="CP47" s="376">
        <v>253</v>
      </c>
      <c r="CQ47" s="376">
        <f t="shared" si="387"/>
        <v>507</v>
      </c>
      <c r="CR47" s="376">
        <v>260</v>
      </c>
      <c r="CS47" s="376">
        <v>254</v>
      </c>
      <c r="CT47" s="376">
        <f t="shared" si="388"/>
        <v>514</v>
      </c>
      <c r="CU47" s="376">
        <v>241</v>
      </c>
      <c r="CV47" s="376">
        <v>216</v>
      </c>
      <c r="CW47" s="376">
        <f t="shared" si="389"/>
        <v>457</v>
      </c>
      <c r="CX47" s="376">
        <v>214</v>
      </c>
      <c r="CY47" s="376">
        <v>215</v>
      </c>
      <c r="CZ47" s="376">
        <f t="shared" si="390"/>
        <v>429</v>
      </c>
      <c r="DA47" s="376">
        <v>224</v>
      </c>
      <c r="DB47" s="376">
        <v>232</v>
      </c>
      <c r="DC47" s="376">
        <f t="shared" si="391"/>
        <v>456</v>
      </c>
      <c r="DD47" s="376">
        <v>213</v>
      </c>
      <c r="DE47" s="376">
        <v>204</v>
      </c>
      <c r="DF47" s="376">
        <f t="shared" si="392"/>
        <v>417</v>
      </c>
      <c r="DG47" s="376">
        <v>227</v>
      </c>
      <c r="DH47" s="376">
        <v>214</v>
      </c>
      <c r="DI47" s="376">
        <f t="shared" si="393"/>
        <v>441</v>
      </c>
      <c r="DJ47" s="376">
        <v>216</v>
      </c>
      <c r="DK47" s="376">
        <v>158</v>
      </c>
      <c r="DL47" s="376">
        <f t="shared" si="394"/>
        <v>374</v>
      </c>
      <c r="DM47" s="376">
        <v>190</v>
      </c>
      <c r="DN47" s="376">
        <v>206</v>
      </c>
      <c r="DO47" s="376">
        <f t="shared" si="395"/>
        <v>396</v>
      </c>
      <c r="DP47" s="376">
        <v>205</v>
      </c>
      <c r="DQ47" s="376">
        <v>223</v>
      </c>
      <c r="DR47" s="376">
        <f t="shared" si="396"/>
        <v>428</v>
      </c>
      <c r="DS47" s="376">
        <v>217</v>
      </c>
      <c r="DT47" s="376">
        <v>190</v>
      </c>
      <c r="DU47" s="376">
        <f t="shared" si="397"/>
        <v>407</v>
      </c>
      <c r="DV47" s="376">
        <v>200</v>
      </c>
      <c r="DW47" s="376">
        <v>201</v>
      </c>
      <c r="DX47" s="376">
        <f t="shared" si="398"/>
        <v>401</v>
      </c>
      <c r="DY47" s="376">
        <v>188</v>
      </c>
      <c r="DZ47" s="376">
        <v>188</v>
      </c>
      <c r="EA47" s="376">
        <f t="shared" si="399"/>
        <v>376</v>
      </c>
      <c r="EB47" s="376">
        <v>199</v>
      </c>
      <c r="EC47" s="376">
        <v>220</v>
      </c>
      <c r="ED47" s="376">
        <f t="shared" si="400"/>
        <v>419</v>
      </c>
      <c r="EE47" s="376">
        <v>221</v>
      </c>
      <c r="EF47" s="376">
        <v>223</v>
      </c>
      <c r="EG47" s="376">
        <f t="shared" si="401"/>
        <v>444</v>
      </c>
      <c r="EH47" s="376">
        <v>176</v>
      </c>
      <c r="EI47" s="376">
        <v>220</v>
      </c>
      <c r="EJ47" s="376">
        <f t="shared" si="402"/>
        <v>396</v>
      </c>
      <c r="EK47" s="376">
        <v>227</v>
      </c>
      <c r="EL47" s="376">
        <v>238</v>
      </c>
      <c r="EM47" s="376">
        <f t="shared" si="403"/>
        <v>465</v>
      </c>
      <c r="EN47" s="376">
        <v>201</v>
      </c>
      <c r="EO47" s="376">
        <v>230</v>
      </c>
      <c r="EP47" s="376">
        <f t="shared" si="404"/>
        <v>431</v>
      </c>
      <c r="EQ47" s="376">
        <v>224</v>
      </c>
      <c r="ER47" s="376">
        <v>229</v>
      </c>
      <c r="ES47" s="376">
        <f t="shared" si="405"/>
        <v>453</v>
      </c>
      <c r="ET47" s="376">
        <v>193</v>
      </c>
      <c r="EU47" s="376">
        <v>232</v>
      </c>
      <c r="EV47" s="376">
        <f t="shared" si="406"/>
        <v>425</v>
      </c>
      <c r="EW47" s="376">
        <v>208</v>
      </c>
      <c r="EX47" s="376">
        <v>242</v>
      </c>
      <c r="EY47" s="376">
        <f t="shared" si="407"/>
        <v>450</v>
      </c>
      <c r="EZ47" s="376">
        <v>225</v>
      </c>
      <c r="FA47" s="376">
        <v>245</v>
      </c>
      <c r="FB47" s="376">
        <f t="shared" si="408"/>
        <v>470</v>
      </c>
      <c r="FC47" s="376">
        <v>193</v>
      </c>
      <c r="FD47" s="376">
        <v>171</v>
      </c>
      <c r="FE47" s="376">
        <f t="shared" si="409"/>
        <v>364</v>
      </c>
      <c r="FF47" s="376">
        <v>171</v>
      </c>
      <c r="FG47" s="376">
        <v>207</v>
      </c>
      <c r="FH47" s="376">
        <f t="shared" si="410"/>
        <v>378</v>
      </c>
      <c r="FI47" s="376">
        <v>179</v>
      </c>
      <c r="FJ47" s="376">
        <v>190</v>
      </c>
      <c r="FK47" s="376">
        <f t="shared" si="411"/>
        <v>369</v>
      </c>
      <c r="FL47" s="376">
        <v>203</v>
      </c>
      <c r="FM47" s="376">
        <v>147</v>
      </c>
      <c r="FN47" s="376">
        <f t="shared" si="412"/>
        <v>350</v>
      </c>
      <c r="FO47" s="376">
        <v>178</v>
      </c>
      <c r="FP47" s="376">
        <v>136</v>
      </c>
      <c r="FQ47" s="376">
        <f t="shared" si="413"/>
        <v>314</v>
      </c>
      <c r="FR47" s="376">
        <v>138</v>
      </c>
      <c r="FS47" s="376">
        <v>118</v>
      </c>
      <c r="FT47" s="376">
        <f t="shared" si="414"/>
        <v>256</v>
      </c>
      <c r="FU47" s="376">
        <v>152</v>
      </c>
      <c r="FV47" s="376">
        <v>111</v>
      </c>
      <c r="FW47" s="376">
        <f t="shared" si="415"/>
        <v>263</v>
      </c>
      <c r="FX47" s="376">
        <v>113</v>
      </c>
      <c r="FY47" s="376">
        <v>82</v>
      </c>
      <c r="FZ47" s="376">
        <f t="shared" si="416"/>
        <v>195</v>
      </c>
      <c r="GA47" s="376">
        <v>105</v>
      </c>
      <c r="GB47" s="376">
        <v>82</v>
      </c>
      <c r="GC47" s="376">
        <f t="shared" si="417"/>
        <v>187</v>
      </c>
      <c r="GD47" s="376">
        <v>90</v>
      </c>
      <c r="GE47" s="376">
        <v>67</v>
      </c>
      <c r="GF47" s="376">
        <f t="shared" si="418"/>
        <v>157</v>
      </c>
      <c r="GG47" s="376">
        <v>85</v>
      </c>
      <c r="GH47" s="376">
        <v>43</v>
      </c>
      <c r="GI47" s="376">
        <f t="shared" si="419"/>
        <v>128</v>
      </c>
      <c r="GJ47" s="376">
        <v>83</v>
      </c>
      <c r="GK47" s="376">
        <v>47</v>
      </c>
      <c r="GL47" s="376">
        <f t="shared" si="420"/>
        <v>130</v>
      </c>
      <c r="GM47" s="376">
        <v>49</v>
      </c>
      <c r="GN47" s="376">
        <v>46</v>
      </c>
      <c r="GO47" s="376">
        <f t="shared" si="421"/>
        <v>95</v>
      </c>
      <c r="GP47" s="376">
        <v>52</v>
      </c>
      <c r="GQ47" s="376">
        <v>44</v>
      </c>
      <c r="GR47" s="376">
        <f t="shared" si="422"/>
        <v>96</v>
      </c>
      <c r="GS47" s="376">
        <v>55</v>
      </c>
      <c r="GT47" s="376">
        <v>39</v>
      </c>
      <c r="GU47" s="376">
        <f t="shared" si="423"/>
        <v>94</v>
      </c>
      <c r="GV47" s="376">
        <v>34</v>
      </c>
      <c r="GW47" s="376">
        <v>41</v>
      </c>
      <c r="GX47" s="376">
        <f t="shared" si="424"/>
        <v>75</v>
      </c>
      <c r="GY47" s="376">
        <v>40</v>
      </c>
      <c r="GZ47" s="376">
        <v>32</v>
      </c>
      <c r="HA47" s="376">
        <f t="shared" si="425"/>
        <v>72</v>
      </c>
      <c r="HB47" s="376">
        <v>20</v>
      </c>
      <c r="HC47" s="376">
        <v>22</v>
      </c>
      <c r="HD47" s="376">
        <f t="shared" si="426"/>
        <v>42</v>
      </c>
      <c r="HE47" s="376">
        <v>23</v>
      </c>
      <c r="HF47" s="376">
        <v>23</v>
      </c>
      <c r="HG47" s="376">
        <f t="shared" si="427"/>
        <v>46</v>
      </c>
      <c r="HH47" s="376">
        <v>21</v>
      </c>
      <c r="HI47" s="376">
        <v>18</v>
      </c>
      <c r="HJ47" s="376">
        <f t="shared" si="428"/>
        <v>39</v>
      </c>
      <c r="HK47" s="376">
        <v>19</v>
      </c>
      <c r="HL47" s="376">
        <v>15</v>
      </c>
      <c r="HM47" s="376">
        <f t="shared" si="429"/>
        <v>34</v>
      </c>
      <c r="HN47" s="376">
        <v>12</v>
      </c>
      <c r="HO47" s="376">
        <v>18</v>
      </c>
      <c r="HP47" s="376">
        <f t="shared" si="430"/>
        <v>30</v>
      </c>
      <c r="HQ47" s="376">
        <v>13</v>
      </c>
      <c r="HR47" s="376">
        <v>14</v>
      </c>
      <c r="HS47" s="376">
        <f t="shared" si="431"/>
        <v>27</v>
      </c>
      <c r="HT47" s="376">
        <v>13</v>
      </c>
      <c r="HU47" s="376">
        <v>23</v>
      </c>
      <c r="HV47" s="376">
        <f t="shared" si="432"/>
        <v>36</v>
      </c>
      <c r="HW47" s="376">
        <v>15</v>
      </c>
      <c r="HX47" s="376">
        <v>21</v>
      </c>
      <c r="HY47" s="376">
        <f t="shared" si="433"/>
        <v>36</v>
      </c>
      <c r="HZ47" s="376">
        <v>9</v>
      </c>
      <c r="IA47" s="376">
        <v>11</v>
      </c>
      <c r="IB47" s="376">
        <f t="shared" si="434"/>
        <v>20</v>
      </c>
      <c r="IC47" s="376">
        <v>9</v>
      </c>
      <c r="ID47" s="376">
        <v>16</v>
      </c>
      <c r="IE47" s="376">
        <f t="shared" si="435"/>
        <v>25</v>
      </c>
      <c r="IF47" s="376">
        <v>6</v>
      </c>
      <c r="IG47" s="376">
        <v>6</v>
      </c>
      <c r="IH47" s="376">
        <f t="shared" si="436"/>
        <v>12</v>
      </c>
      <c r="II47" s="376">
        <v>9</v>
      </c>
      <c r="IJ47" s="376">
        <v>14</v>
      </c>
      <c r="IK47" s="376">
        <f t="shared" si="437"/>
        <v>23</v>
      </c>
      <c r="IL47" s="376">
        <v>5</v>
      </c>
      <c r="IM47" s="376">
        <v>10</v>
      </c>
      <c r="IN47" s="376">
        <f t="shared" si="438"/>
        <v>15</v>
      </c>
      <c r="IO47" s="376">
        <v>0</v>
      </c>
      <c r="IP47" s="376">
        <v>5</v>
      </c>
      <c r="IQ47" s="376">
        <f t="shared" si="439"/>
        <v>5</v>
      </c>
      <c r="IR47" s="376">
        <v>3</v>
      </c>
      <c r="IS47" s="376">
        <v>9</v>
      </c>
      <c r="IT47" s="376">
        <f t="shared" si="440"/>
        <v>12</v>
      </c>
      <c r="IU47" s="376">
        <v>3</v>
      </c>
      <c r="IV47" s="376">
        <v>6</v>
      </c>
      <c r="IW47" s="376">
        <f t="shared" si="441"/>
        <v>9</v>
      </c>
      <c r="IX47" s="376">
        <v>3</v>
      </c>
      <c r="IY47" s="376">
        <v>9</v>
      </c>
      <c r="IZ47" s="376">
        <f t="shared" si="442"/>
        <v>12</v>
      </c>
      <c r="JA47" s="376">
        <v>4</v>
      </c>
      <c r="JB47" s="376">
        <v>7</v>
      </c>
      <c r="JC47" s="376">
        <f t="shared" si="443"/>
        <v>11</v>
      </c>
      <c r="JD47" s="376">
        <v>3</v>
      </c>
      <c r="JE47" s="376">
        <v>1</v>
      </c>
      <c r="JF47" s="376">
        <f t="shared" si="444"/>
        <v>4</v>
      </c>
      <c r="JG47" s="376">
        <v>2</v>
      </c>
      <c r="JH47" s="376">
        <v>6</v>
      </c>
      <c r="JI47" s="376">
        <f t="shared" si="445"/>
        <v>8</v>
      </c>
      <c r="JJ47" s="376">
        <v>1</v>
      </c>
      <c r="JK47" s="376">
        <v>1</v>
      </c>
      <c r="JL47" s="376">
        <f t="shared" si="446"/>
        <v>2</v>
      </c>
      <c r="JM47" s="376">
        <v>3</v>
      </c>
      <c r="JN47" s="376">
        <v>4</v>
      </c>
      <c r="JO47" s="376">
        <f t="shared" si="447"/>
        <v>7</v>
      </c>
      <c r="JP47" s="376">
        <v>2</v>
      </c>
      <c r="JQ47" s="376">
        <v>6</v>
      </c>
      <c r="JR47" s="376">
        <f t="shared" si="448"/>
        <v>8</v>
      </c>
      <c r="JS47" s="376">
        <v>0</v>
      </c>
      <c r="JT47" s="376">
        <v>2</v>
      </c>
      <c r="JU47" s="376">
        <f t="shared" si="449"/>
        <v>2</v>
      </c>
      <c r="JV47" s="376">
        <v>0</v>
      </c>
      <c r="JW47" s="376">
        <v>1</v>
      </c>
      <c r="JX47" s="376">
        <f t="shared" si="450"/>
        <v>1</v>
      </c>
      <c r="JY47" s="376">
        <v>1</v>
      </c>
      <c r="JZ47" s="376">
        <v>0</v>
      </c>
      <c r="KA47" s="376">
        <f t="shared" si="451"/>
        <v>1</v>
      </c>
      <c r="KB47" s="376">
        <v>2</v>
      </c>
      <c r="KC47" s="376">
        <v>0</v>
      </c>
      <c r="KD47" s="376">
        <f t="shared" si="452"/>
        <v>2</v>
      </c>
      <c r="KE47" s="376">
        <v>0</v>
      </c>
      <c r="KF47" s="376">
        <v>0</v>
      </c>
      <c r="KG47" s="376">
        <f t="shared" si="453"/>
        <v>0</v>
      </c>
      <c r="KH47" s="376">
        <v>0</v>
      </c>
      <c r="KI47" s="376">
        <v>0</v>
      </c>
      <c r="KJ47" s="376">
        <f t="shared" si="454"/>
        <v>0</v>
      </c>
      <c r="KK47" s="376">
        <v>0</v>
      </c>
      <c r="KL47" s="376">
        <v>0</v>
      </c>
      <c r="KM47" s="376">
        <f t="shared" si="455"/>
        <v>0</v>
      </c>
      <c r="KN47" s="376">
        <v>0</v>
      </c>
      <c r="KO47" s="376">
        <v>0</v>
      </c>
      <c r="KP47" s="376">
        <f t="shared" si="456"/>
        <v>0</v>
      </c>
      <c r="KQ47" s="376">
        <v>0</v>
      </c>
      <c r="KR47" s="376">
        <v>0</v>
      </c>
      <c r="KS47" s="376">
        <f t="shared" si="457"/>
        <v>0</v>
      </c>
      <c r="KT47" s="376">
        <v>0</v>
      </c>
      <c r="KU47" s="376">
        <v>0</v>
      </c>
      <c r="KV47" s="376">
        <f t="shared" si="458"/>
        <v>0</v>
      </c>
      <c r="KW47" s="376">
        <v>0</v>
      </c>
      <c r="KX47" s="376">
        <v>0</v>
      </c>
      <c r="KY47" s="376">
        <f t="shared" si="459"/>
        <v>0</v>
      </c>
      <c r="KZ47" s="376">
        <v>0</v>
      </c>
      <c r="LA47" s="376">
        <v>0</v>
      </c>
      <c r="LB47" s="376">
        <f t="shared" si="460"/>
        <v>0</v>
      </c>
      <c r="LC47" s="376">
        <v>0</v>
      </c>
      <c r="LD47" s="376">
        <v>0</v>
      </c>
      <c r="LE47" s="376">
        <f t="shared" si="461"/>
        <v>0</v>
      </c>
      <c r="LF47" s="376">
        <v>0</v>
      </c>
      <c r="LG47" s="376">
        <v>0</v>
      </c>
      <c r="LH47" s="376">
        <f t="shared" si="462"/>
        <v>0</v>
      </c>
      <c r="LI47" s="376">
        <v>0</v>
      </c>
      <c r="LJ47" s="376">
        <v>0</v>
      </c>
      <c r="LK47" s="376">
        <f t="shared" si="463"/>
        <v>0</v>
      </c>
      <c r="LL47" s="376">
        <v>0</v>
      </c>
      <c r="LM47" s="376">
        <v>0</v>
      </c>
      <c r="LN47" s="376">
        <f t="shared" si="464"/>
        <v>0</v>
      </c>
      <c r="LO47" s="376">
        <v>0</v>
      </c>
      <c r="LP47" s="376">
        <v>0</v>
      </c>
      <c r="LQ47" s="376">
        <f t="shared" si="465"/>
        <v>0</v>
      </c>
      <c r="LR47" s="376">
        <v>0</v>
      </c>
      <c r="LS47" s="376">
        <v>0</v>
      </c>
      <c r="LT47" s="376">
        <f t="shared" si="466"/>
        <v>0</v>
      </c>
      <c r="LU47" s="376">
        <v>0</v>
      </c>
      <c r="LV47" s="376">
        <v>0</v>
      </c>
      <c r="LW47" s="376">
        <f t="shared" si="467"/>
        <v>0</v>
      </c>
      <c r="LX47" s="376">
        <v>0</v>
      </c>
      <c r="LY47" s="376">
        <v>0</v>
      </c>
      <c r="LZ47" s="376">
        <f t="shared" si="468"/>
        <v>0</v>
      </c>
      <c r="MA47" s="376">
        <v>0</v>
      </c>
      <c r="MB47" s="376">
        <v>0</v>
      </c>
      <c r="MC47" s="376">
        <f t="shared" si="469"/>
        <v>0</v>
      </c>
      <c r="MD47" s="376">
        <v>0</v>
      </c>
      <c r="ME47" s="376">
        <v>0</v>
      </c>
      <c r="MF47" s="376">
        <f t="shared" si="470"/>
        <v>0</v>
      </c>
      <c r="MG47" s="376">
        <v>0</v>
      </c>
      <c r="MH47" s="376">
        <v>0</v>
      </c>
      <c r="MI47" s="376">
        <f t="shared" si="471"/>
        <v>0</v>
      </c>
      <c r="MJ47" s="376">
        <v>0</v>
      </c>
      <c r="MK47" s="376">
        <v>0</v>
      </c>
      <c r="ML47" s="376">
        <f t="shared" si="472"/>
        <v>0</v>
      </c>
      <c r="MM47" s="376">
        <v>0</v>
      </c>
      <c r="MN47" s="376">
        <v>0</v>
      </c>
      <c r="MO47" s="376">
        <f t="shared" si="473"/>
        <v>0</v>
      </c>
      <c r="MP47" s="376">
        <v>0</v>
      </c>
      <c r="MQ47" s="376">
        <v>0</v>
      </c>
      <c r="MR47" s="376">
        <f t="shared" si="474"/>
        <v>0</v>
      </c>
      <c r="MS47" s="376">
        <v>0</v>
      </c>
      <c r="MT47" s="376">
        <v>0</v>
      </c>
      <c r="MU47" s="376">
        <f t="shared" si="475"/>
        <v>0</v>
      </c>
      <c r="MV47" s="376">
        <v>0</v>
      </c>
      <c r="MW47" s="376">
        <v>0</v>
      </c>
      <c r="MX47" s="376">
        <f t="shared" si="476"/>
        <v>0</v>
      </c>
      <c r="MY47" s="376">
        <v>0</v>
      </c>
      <c r="MZ47" s="376">
        <v>0</v>
      </c>
      <c r="NA47" s="545">
        <f t="shared" si="477"/>
        <v>0</v>
      </c>
      <c r="NB47" s="376">
        <v>0</v>
      </c>
      <c r="NC47" s="376">
        <v>0</v>
      </c>
      <c r="ND47" s="543">
        <f t="shared" si="478"/>
        <v>0</v>
      </c>
      <c r="NE47" s="542">
        <f t="shared" si="487"/>
        <v>13850</v>
      </c>
      <c r="NF47" s="376">
        <f t="shared" si="487"/>
        <v>13413</v>
      </c>
      <c r="NG47" s="543">
        <f t="shared" si="480"/>
        <v>27263</v>
      </c>
      <c r="NH47" s="542">
        <f t="shared" si="481"/>
        <v>1249</v>
      </c>
      <c r="NI47" s="376">
        <f t="shared" si="481"/>
        <v>1086</v>
      </c>
      <c r="NJ47" s="543">
        <f t="shared" si="482"/>
        <v>2335</v>
      </c>
    </row>
    <row r="48" spans="1:374" ht="14.5" thickBot="1" x14ac:dyDescent="0.35">
      <c r="A48" s="568" t="s">
        <v>291</v>
      </c>
      <c r="B48" s="590" t="s">
        <v>95</v>
      </c>
      <c r="C48" s="550">
        <v>162</v>
      </c>
      <c r="D48" s="380">
        <v>164</v>
      </c>
      <c r="E48" s="380">
        <f t="shared" si="357"/>
        <v>326</v>
      </c>
      <c r="F48" s="380">
        <v>216</v>
      </c>
      <c r="G48" s="380">
        <v>179</v>
      </c>
      <c r="H48" s="380">
        <f t="shared" si="358"/>
        <v>395</v>
      </c>
      <c r="I48" s="380">
        <v>238</v>
      </c>
      <c r="J48" s="380">
        <v>245</v>
      </c>
      <c r="K48" s="380">
        <f t="shared" si="359"/>
        <v>483</v>
      </c>
      <c r="L48" s="380">
        <v>251</v>
      </c>
      <c r="M48" s="380">
        <v>246</v>
      </c>
      <c r="N48" s="380">
        <f t="shared" si="360"/>
        <v>497</v>
      </c>
      <c r="O48" s="380">
        <v>274</v>
      </c>
      <c r="P48" s="380">
        <v>296</v>
      </c>
      <c r="Q48" s="380">
        <f t="shared" si="361"/>
        <v>570</v>
      </c>
      <c r="R48" s="380">
        <v>306</v>
      </c>
      <c r="S48" s="380">
        <v>290</v>
      </c>
      <c r="T48" s="380">
        <f t="shared" si="362"/>
        <v>596</v>
      </c>
      <c r="U48" s="380">
        <v>381</v>
      </c>
      <c r="V48" s="380">
        <v>311</v>
      </c>
      <c r="W48" s="380">
        <f t="shared" si="363"/>
        <v>692</v>
      </c>
      <c r="X48" s="380">
        <v>365</v>
      </c>
      <c r="Y48" s="380">
        <v>322</v>
      </c>
      <c r="Z48" s="380">
        <f t="shared" si="364"/>
        <v>687</v>
      </c>
      <c r="AA48" s="380">
        <v>341</v>
      </c>
      <c r="AB48" s="380">
        <v>306</v>
      </c>
      <c r="AC48" s="380">
        <f t="shared" si="365"/>
        <v>647</v>
      </c>
      <c r="AD48" s="380">
        <v>283</v>
      </c>
      <c r="AE48" s="380">
        <v>289</v>
      </c>
      <c r="AF48" s="380">
        <f t="shared" si="366"/>
        <v>572</v>
      </c>
      <c r="AG48" s="380">
        <v>313</v>
      </c>
      <c r="AH48" s="380">
        <v>279</v>
      </c>
      <c r="AI48" s="380">
        <f t="shared" si="367"/>
        <v>592</v>
      </c>
      <c r="AJ48" s="380">
        <v>310</v>
      </c>
      <c r="AK48" s="380">
        <v>296</v>
      </c>
      <c r="AL48" s="380">
        <f t="shared" si="368"/>
        <v>606</v>
      </c>
      <c r="AM48" s="380">
        <v>287</v>
      </c>
      <c r="AN48" s="380">
        <v>254</v>
      </c>
      <c r="AO48" s="380">
        <f t="shared" si="369"/>
        <v>541</v>
      </c>
      <c r="AP48" s="380">
        <v>291</v>
      </c>
      <c r="AQ48" s="380">
        <v>252</v>
      </c>
      <c r="AR48" s="380">
        <f t="shared" si="370"/>
        <v>543</v>
      </c>
      <c r="AS48" s="380">
        <v>297</v>
      </c>
      <c r="AT48" s="380">
        <v>286</v>
      </c>
      <c r="AU48" s="380">
        <f t="shared" si="371"/>
        <v>583</v>
      </c>
      <c r="AV48" s="380">
        <v>263</v>
      </c>
      <c r="AW48" s="380">
        <v>244</v>
      </c>
      <c r="AX48" s="380">
        <f t="shared" si="372"/>
        <v>507</v>
      </c>
      <c r="AY48" s="380">
        <v>217</v>
      </c>
      <c r="AZ48" s="380">
        <v>249</v>
      </c>
      <c r="BA48" s="380">
        <f t="shared" si="373"/>
        <v>466</v>
      </c>
      <c r="BB48" s="380">
        <v>205</v>
      </c>
      <c r="BC48" s="380">
        <v>207</v>
      </c>
      <c r="BD48" s="380">
        <f t="shared" si="374"/>
        <v>412</v>
      </c>
      <c r="BE48" s="380">
        <v>205</v>
      </c>
      <c r="BF48" s="380">
        <v>193</v>
      </c>
      <c r="BG48" s="380">
        <f t="shared" si="375"/>
        <v>398</v>
      </c>
      <c r="BH48" s="380">
        <v>188</v>
      </c>
      <c r="BI48" s="380">
        <v>188</v>
      </c>
      <c r="BJ48" s="380">
        <f t="shared" si="376"/>
        <v>376</v>
      </c>
      <c r="BK48" s="380">
        <v>219</v>
      </c>
      <c r="BL48" s="380">
        <v>210</v>
      </c>
      <c r="BM48" s="380">
        <f t="shared" si="377"/>
        <v>429</v>
      </c>
      <c r="BN48" s="380">
        <v>184</v>
      </c>
      <c r="BO48" s="380">
        <v>168</v>
      </c>
      <c r="BP48" s="380">
        <f t="shared" si="378"/>
        <v>352</v>
      </c>
      <c r="BQ48" s="380">
        <v>188</v>
      </c>
      <c r="BR48" s="380">
        <v>208</v>
      </c>
      <c r="BS48" s="380">
        <f t="shared" si="379"/>
        <v>396</v>
      </c>
      <c r="BT48" s="380">
        <v>187</v>
      </c>
      <c r="BU48" s="380">
        <v>219</v>
      </c>
      <c r="BV48" s="380">
        <f t="shared" si="380"/>
        <v>406</v>
      </c>
      <c r="BW48" s="380">
        <v>194</v>
      </c>
      <c r="BX48" s="380">
        <v>205</v>
      </c>
      <c r="BY48" s="380">
        <f t="shared" si="381"/>
        <v>399</v>
      </c>
      <c r="BZ48" s="380">
        <v>217</v>
      </c>
      <c r="CA48" s="380">
        <v>214</v>
      </c>
      <c r="CB48" s="380">
        <f t="shared" si="382"/>
        <v>431</v>
      </c>
      <c r="CC48" s="380">
        <v>241</v>
      </c>
      <c r="CD48" s="380">
        <v>229</v>
      </c>
      <c r="CE48" s="380">
        <f t="shared" si="383"/>
        <v>470</v>
      </c>
      <c r="CF48" s="380">
        <v>150</v>
      </c>
      <c r="CG48" s="380">
        <v>183</v>
      </c>
      <c r="CH48" s="380">
        <f t="shared" si="384"/>
        <v>333</v>
      </c>
      <c r="CI48" s="380">
        <v>191</v>
      </c>
      <c r="CJ48" s="380">
        <v>207</v>
      </c>
      <c r="CK48" s="380">
        <f t="shared" si="385"/>
        <v>398</v>
      </c>
      <c r="CL48" s="380">
        <v>191</v>
      </c>
      <c r="CM48" s="380">
        <v>216</v>
      </c>
      <c r="CN48" s="380">
        <f t="shared" si="386"/>
        <v>407</v>
      </c>
      <c r="CO48" s="380">
        <v>213</v>
      </c>
      <c r="CP48" s="380">
        <v>279</v>
      </c>
      <c r="CQ48" s="380">
        <f t="shared" si="387"/>
        <v>492</v>
      </c>
      <c r="CR48" s="380">
        <v>217</v>
      </c>
      <c r="CS48" s="380">
        <v>265</v>
      </c>
      <c r="CT48" s="380">
        <f t="shared" si="388"/>
        <v>482</v>
      </c>
      <c r="CU48" s="380">
        <v>202</v>
      </c>
      <c r="CV48" s="380">
        <v>247</v>
      </c>
      <c r="CW48" s="380">
        <f t="shared" si="389"/>
        <v>449</v>
      </c>
      <c r="CX48" s="380">
        <v>266</v>
      </c>
      <c r="CY48" s="380">
        <v>293</v>
      </c>
      <c r="CZ48" s="380">
        <f t="shared" si="390"/>
        <v>559</v>
      </c>
      <c r="DA48" s="380">
        <v>282</v>
      </c>
      <c r="DB48" s="380">
        <v>272</v>
      </c>
      <c r="DC48" s="380">
        <f t="shared" si="391"/>
        <v>554</v>
      </c>
      <c r="DD48" s="380">
        <v>248</v>
      </c>
      <c r="DE48" s="380">
        <v>288</v>
      </c>
      <c r="DF48" s="380">
        <f t="shared" si="392"/>
        <v>536</v>
      </c>
      <c r="DG48" s="380">
        <v>296</v>
      </c>
      <c r="DH48" s="380">
        <v>300</v>
      </c>
      <c r="DI48" s="380">
        <f t="shared" si="393"/>
        <v>596</v>
      </c>
      <c r="DJ48" s="380">
        <v>273</v>
      </c>
      <c r="DK48" s="380">
        <v>270</v>
      </c>
      <c r="DL48" s="380">
        <f t="shared" si="394"/>
        <v>543</v>
      </c>
      <c r="DM48" s="380">
        <v>265</v>
      </c>
      <c r="DN48" s="380">
        <v>273</v>
      </c>
      <c r="DO48" s="380">
        <f t="shared" si="395"/>
        <v>538</v>
      </c>
      <c r="DP48" s="380">
        <v>265</v>
      </c>
      <c r="DQ48" s="380">
        <v>281</v>
      </c>
      <c r="DR48" s="380">
        <f t="shared" si="396"/>
        <v>546</v>
      </c>
      <c r="DS48" s="380">
        <v>292</v>
      </c>
      <c r="DT48" s="380">
        <v>264</v>
      </c>
      <c r="DU48" s="380">
        <f t="shared" si="397"/>
        <v>556</v>
      </c>
      <c r="DV48" s="380">
        <v>276</v>
      </c>
      <c r="DW48" s="380">
        <v>244</v>
      </c>
      <c r="DX48" s="380">
        <f t="shared" si="398"/>
        <v>520</v>
      </c>
      <c r="DY48" s="380">
        <v>266</v>
      </c>
      <c r="DZ48" s="380">
        <v>204</v>
      </c>
      <c r="EA48" s="380">
        <f t="shared" si="399"/>
        <v>470</v>
      </c>
      <c r="EB48" s="380">
        <v>267</v>
      </c>
      <c r="EC48" s="380">
        <v>265</v>
      </c>
      <c r="ED48" s="380">
        <f t="shared" si="400"/>
        <v>532</v>
      </c>
      <c r="EE48" s="380">
        <v>253</v>
      </c>
      <c r="EF48" s="380">
        <v>204</v>
      </c>
      <c r="EG48" s="380">
        <f t="shared" si="401"/>
        <v>457</v>
      </c>
      <c r="EH48" s="380">
        <v>233</v>
      </c>
      <c r="EI48" s="380">
        <v>196</v>
      </c>
      <c r="EJ48" s="380">
        <f t="shared" si="402"/>
        <v>429</v>
      </c>
      <c r="EK48" s="380">
        <v>190</v>
      </c>
      <c r="EL48" s="380">
        <v>191</v>
      </c>
      <c r="EM48" s="380">
        <f t="shared" si="403"/>
        <v>381</v>
      </c>
      <c r="EN48" s="380">
        <v>201</v>
      </c>
      <c r="EO48" s="380">
        <v>185</v>
      </c>
      <c r="EP48" s="380">
        <f t="shared" si="404"/>
        <v>386</v>
      </c>
      <c r="EQ48" s="380">
        <v>185</v>
      </c>
      <c r="ER48" s="380">
        <v>177</v>
      </c>
      <c r="ES48" s="380">
        <f t="shared" si="405"/>
        <v>362</v>
      </c>
      <c r="ET48" s="380">
        <v>179</v>
      </c>
      <c r="EU48" s="380">
        <v>166</v>
      </c>
      <c r="EV48" s="380">
        <f t="shared" si="406"/>
        <v>345</v>
      </c>
      <c r="EW48" s="380">
        <v>168</v>
      </c>
      <c r="EX48" s="380">
        <v>167</v>
      </c>
      <c r="EY48" s="380">
        <f t="shared" si="407"/>
        <v>335</v>
      </c>
      <c r="EZ48" s="380">
        <v>160</v>
      </c>
      <c r="FA48" s="380">
        <v>132</v>
      </c>
      <c r="FB48" s="380">
        <f t="shared" si="408"/>
        <v>292</v>
      </c>
      <c r="FC48" s="380">
        <v>153</v>
      </c>
      <c r="FD48" s="380">
        <v>125</v>
      </c>
      <c r="FE48" s="380">
        <f t="shared" si="409"/>
        <v>278</v>
      </c>
      <c r="FF48" s="380">
        <v>138</v>
      </c>
      <c r="FG48" s="380">
        <v>156</v>
      </c>
      <c r="FH48" s="380">
        <f t="shared" si="410"/>
        <v>294</v>
      </c>
      <c r="FI48" s="380">
        <v>125</v>
      </c>
      <c r="FJ48" s="380">
        <v>133</v>
      </c>
      <c r="FK48" s="380">
        <f t="shared" si="411"/>
        <v>258</v>
      </c>
      <c r="FL48" s="380">
        <v>98</v>
      </c>
      <c r="FM48" s="380">
        <v>101</v>
      </c>
      <c r="FN48" s="380">
        <f t="shared" si="412"/>
        <v>199</v>
      </c>
      <c r="FO48" s="380">
        <v>99</v>
      </c>
      <c r="FP48" s="380">
        <v>119</v>
      </c>
      <c r="FQ48" s="380">
        <f t="shared" si="413"/>
        <v>218</v>
      </c>
      <c r="FR48" s="380">
        <v>117</v>
      </c>
      <c r="FS48" s="380">
        <v>86</v>
      </c>
      <c r="FT48" s="380">
        <f t="shared" si="414"/>
        <v>203</v>
      </c>
      <c r="FU48" s="380">
        <v>80</v>
      </c>
      <c r="FV48" s="380">
        <v>98</v>
      </c>
      <c r="FW48" s="380">
        <f t="shared" si="415"/>
        <v>178</v>
      </c>
      <c r="FX48" s="380">
        <v>89</v>
      </c>
      <c r="FY48" s="380">
        <v>84</v>
      </c>
      <c r="FZ48" s="380">
        <f t="shared" si="416"/>
        <v>173</v>
      </c>
      <c r="GA48" s="380">
        <v>80</v>
      </c>
      <c r="GB48" s="380">
        <v>75</v>
      </c>
      <c r="GC48" s="380">
        <f t="shared" si="417"/>
        <v>155</v>
      </c>
      <c r="GD48" s="380">
        <v>83</v>
      </c>
      <c r="GE48" s="380">
        <v>67</v>
      </c>
      <c r="GF48" s="380">
        <f t="shared" si="418"/>
        <v>150</v>
      </c>
      <c r="GG48" s="380">
        <v>59</v>
      </c>
      <c r="GH48" s="380">
        <v>55</v>
      </c>
      <c r="GI48" s="380">
        <f t="shared" si="419"/>
        <v>114</v>
      </c>
      <c r="GJ48" s="380">
        <v>61</v>
      </c>
      <c r="GK48" s="380">
        <v>50</v>
      </c>
      <c r="GL48" s="380">
        <f t="shared" si="420"/>
        <v>111</v>
      </c>
      <c r="GM48" s="380">
        <v>62</v>
      </c>
      <c r="GN48" s="380">
        <v>50</v>
      </c>
      <c r="GO48" s="380">
        <f t="shared" si="421"/>
        <v>112</v>
      </c>
      <c r="GP48" s="380">
        <v>57</v>
      </c>
      <c r="GQ48" s="380">
        <v>90</v>
      </c>
      <c r="GR48" s="380">
        <f t="shared" si="422"/>
        <v>147</v>
      </c>
      <c r="GS48" s="380">
        <v>54</v>
      </c>
      <c r="GT48" s="380">
        <v>66</v>
      </c>
      <c r="GU48" s="380">
        <f t="shared" si="423"/>
        <v>120</v>
      </c>
      <c r="GV48" s="380">
        <v>39</v>
      </c>
      <c r="GW48" s="380">
        <v>50</v>
      </c>
      <c r="GX48" s="380">
        <f t="shared" si="424"/>
        <v>89</v>
      </c>
      <c r="GY48" s="380">
        <v>50</v>
      </c>
      <c r="GZ48" s="380">
        <v>47</v>
      </c>
      <c r="HA48" s="380">
        <f t="shared" si="425"/>
        <v>97</v>
      </c>
      <c r="HB48" s="380">
        <v>36</v>
      </c>
      <c r="HC48" s="380">
        <v>39</v>
      </c>
      <c r="HD48" s="380">
        <f t="shared" si="426"/>
        <v>75</v>
      </c>
      <c r="HE48" s="380">
        <v>47</v>
      </c>
      <c r="HF48" s="380">
        <v>42</v>
      </c>
      <c r="HG48" s="380">
        <f t="shared" si="427"/>
        <v>89</v>
      </c>
      <c r="HH48" s="380">
        <v>27</v>
      </c>
      <c r="HI48" s="380">
        <v>43</v>
      </c>
      <c r="HJ48" s="380">
        <f t="shared" si="428"/>
        <v>70</v>
      </c>
      <c r="HK48" s="380">
        <v>26</v>
      </c>
      <c r="HL48" s="380">
        <v>29</v>
      </c>
      <c r="HM48" s="380">
        <f t="shared" si="429"/>
        <v>55</v>
      </c>
      <c r="HN48" s="380">
        <v>26</v>
      </c>
      <c r="HO48" s="380">
        <v>25</v>
      </c>
      <c r="HP48" s="380">
        <f t="shared" si="430"/>
        <v>51</v>
      </c>
      <c r="HQ48" s="380">
        <v>28</v>
      </c>
      <c r="HR48" s="380">
        <v>20</v>
      </c>
      <c r="HS48" s="380">
        <f t="shared" si="431"/>
        <v>48</v>
      </c>
      <c r="HT48" s="380">
        <v>25</v>
      </c>
      <c r="HU48" s="380">
        <v>27</v>
      </c>
      <c r="HV48" s="380">
        <f t="shared" si="432"/>
        <v>52</v>
      </c>
      <c r="HW48" s="380">
        <v>28</v>
      </c>
      <c r="HX48" s="380">
        <v>21</v>
      </c>
      <c r="HY48" s="380">
        <f t="shared" si="433"/>
        <v>49</v>
      </c>
      <c r="HZ48" s="380">
        <v>6</v>
      </c>
      <c r="IA48" s="380">
        <v>11</v>
      </c>
      <c r="IB48" s="380">
        <f t="shared" si="434"/>
        <v>17</v>
      </c>
      <c r="IC48" s="380">
        <v>17</v>
      </c>
      <c r="ID48" s="380">
        <v>14</v>
      </c>
      <c r="IE48" s="380">
        <f t="shared" si="435"/>
        <v>31</v>
      </c>
      <c r="IF48" s="380">
        <v>7</v>
      </c>
      <c r="IG48" s="380">
        <v>8</v>
      </c>
      <c r="IH48" s="380">
        <f t="shared" si="436"/>
        <v>15</v>
      </c>
      <c r="II48" s="380">
        <v>9</v>
      </c>
      <c r="IJ48" s="380">
        <v>8</v>
      </c>
      <c r="IK48" s="380">
        <f t="shared" si="437"/>
        <v>17</v>
      </c>
      <c r="IL48" s="380">
        <v>6</v>
      </c>
      <c r="IM48" s="380">
        <v>13</v>
      </c>
      <c r="IN48" s="380">
        <f t="shared" si="438"/>
        <v>19</v>
      </c>
      <c r="IO48" s="380">
        <v>2</v>
      </c>
      <c r="IP48" s="380">
        <v>6</v>
      </c>
      <c r="IQ48" s="380">
        <f t="shared" si="439"/>
        <v>8</v>
      </c>
      <c r="IR48" s="380">
        <v>6</v>
      </c>
      <c r="IS48" s="380">
        <v>9</v>
      </c>
      <c r="IT48" s="380">
        <f t="shared" si="440"/>
        <v>15</v>
      </c>
      <c r="IU48" s="380">
        <v>3</v>
      </c>
      <c r="IV48" s="380">
        <v>7</v>
      </c>
      <c r="IW48" s="380">
        <f t="shared" si="441"/>
        <v>10</v>
      </c>
      <c r="IX48" s="380">
        <v>10</v>
      </c>
      <c r="IY48" s="380">
        <v>9</v>
      </c>
      <c r="IZ48" s="380">
        <f t="shared" si="442"/>
        <v>19</v>
      </c>
      <c r="JA48" s="380">
        <v>5</v>
      </c>
      <c r="JB48" s="380">
        <v>8</v>
      </c>
      <c r="JC48" s="380">
        <f t="shared" si="443"/>
        <v>13</v>
      </c>
      <c r="JD48" s="380">
        <v>2</v>
      </c>
      <c r="JE48" s="380">
        <v>4</v>
      </c>
      <c r="JF48" s="380">
        <f t="shared" si="444"/>
        <v>6</v>
      </c>
      <c r="JG48" s="380">
        <v>1</v>
      </c>
      <c r="JH48" s="380">
        <v>3</v>
      </c>
      <c r="JI48" s="380">
        <f t="shared" si="445"/>
        <v>4</v>
      </c>
      <c r="JJ48" s="380">
        <v>2</v>
      </c>
      <c r="JK48" s="380">
        <v>11</v>
      </c>
      <c r="JL48" s="380">
        <f t="shared" si="446"/>
        <v>13</v>
      </c>
      <c r="JM48" s="380">
        <v>0</v>
      </c>
      <c r="JN48" s="380">
        <v>4</v>
      </c>
      <c r="JO48" s="380">
        <f t="shared" si="447"/>
        <v>4</v>
      </c>
      <c r="JP48" s="380">
        <v>3</v>
      </c>
      <c r="JQ48" s="380">
        <v>4</v>
      </c>
      <c r="JR48" s="380">
        <f t="shared" si="448"/>
        <v>7</v>
      </c>
      <c r="JS48" s="380">
        <v>2</v>
      </c>
      <c r="JT48" s="380">
        <v>6</v>
      </c>
      <c r="JU48" s="380">
        <f t="shared" si="449"/>
        <v>8</v>
      </c>
      <c r="JV48" s="380">
        <v>2</v>
      </c>
      <c r="JW48" s="380">
        <v>1</v>
      </c>
      <c r="JX48" s="380">
        <f t="shared" si="450"/>
        <v>3</v>
      </c>
      <c r="JY48" s="380">
        <v>2</v>
      </c>
      <c r="JZ48" s="380">
        <v>0</v>
      </c>
      <c r="KA48" s="380">
        <f t="shared" si="451"/>
        <v>2</v>
      </c>
      <c r="KB48" s="380">
        <v>0</v>
      </c>
      <c r="KC48" s="380">
        <v>1</v>
      </c>
      <c r="KD48" s="380">
        <f t="shared" si="452"/>
        <v>1</v>
      </c>
      <c r="KE48" s="380">
        <v>0</v>
      </c>
      <c r="KF48" s="380">
        <v>2</v>
      </c>
      <c r="KG48" s="380">
        <f t="shared" si="453"/>
        <v>2</v>
      </c>
      <c r="KH48" s="380">
        <v>0</v>
      </c>
      <c r="KI48" s="380">
        <v>2</v>
      </c>
      <c r="KJ48" s="380">
        <f t="shared" si="454"/>
        <v>2</v>
      </c>
      <c r="KK48" s="380">
        <v>0</v>
      </c>
      <c r="KL48" s="380">
        <v>0</v>
      </c>
      <c r="KM48" s="380">
        <f t="shared" si="455"/>
        <v>0</v>
      </c>
      <c r="KN48" s="380">
        <v>0</v>
      </c>
      <c r="KO48" s="380">
        <v>0</v>
      </c>
      <c r="KP48" s="380">
        <f t="shared" si="456"/>
        <v>0</v>
      </c>
      <c r="KQ48" s="380">
        <v>0</v>
      </c>
      <c r="KR48" s="380">
        <v>0</v>
      </c>
      <c r="KS48" s="380">
        <f t="shared" si="457"/>
        <v>0</v>
      </c>
      <c r="KT48" s="380">
        <v>0</v>
      </c>
      <c r="KU48" s="380">
        <v>1</v>
      </c>
      <c r="KV48" s="380">
        <f t="shared" si="458"/>
        <v>1</v>
      </c>
      <c r="KW48" s="380">
        <v>0</v>
      </c>
      <c r="KX48" s="380">
        <v>0</v>
      </c>
      <c r="KY48" s="380">
        <f t="shared" si="459"/>
        <v>0</v>
      </c>
      <c r="KZ48" s="380">
        <v>0</v>
      </c>
      <c r="LA48" s="380">
        <v>0</v>
      </c>
      <c r="LB48" s="380">
        <f t="shared" si="460"/>
        <v>0</v>
      </c>
      <c r="LC48" s="380">
        <v>0</v>
      </c>
      <c r="LD48" s="380">
        <v>0</v>
      </c>
      <c r="LE48" s="380">
        <f t="shared" si="461"/>
        <v>0</v>
      </c>
      <c r="LF48" s="380">
        <v>0</v>
      </c>
      <c r="LG48" s="380">
        <v>0</v>
      </c>
      <c r="LH48" s="380">
        <f t="shared" si="462"/>
        <v>0</v>
      </c>
      <c r="LI48" s="380">
        <v>0</v>
      </c>
      <c r="LJ48" s="380">
        <v>0</v>
      </c>
      <c r="LK48" s="380">
        <f t="shared" si="463"/>
        <v>0</v>
      </c>
      <c r="LL48" s="380">
        <v>0</v>
      </c>
      <c r="LM48" s="380">
        <v>0</v>
      </c>
      <c r="LN48" s="380">
        <f t="shared" si="464"/>
        <v>0</v>
      </c>
      <c r="LO48" s="380">
        <v>0</v>
      </c>
      <c r="LP48" s="380">
        <v>0</v>
      </c>
      <c r="LQ48" s="380">
        <f t="shared" si="465"/>
        <v>0</v>
      </c>
      <c r="LR48" s="380">
        <v>0</v>
      </c>
      <c r="LS48" s="380">
        <v>0</v>
      </c>
      <c r="LT48" s="380">
        <f t="shared" si="466"/>
        <v>0</v>
      </c>
      <c r="LU48" s="380">
        <v>0</v>
      </c>
      <c r="LV48" s="380">
        <v>0</v>
      </c>
      <c r="LW48" s="380">
        <f t="shared" si="467"/>
        <v>0</v>
      </c>
      <c r="LX48" s="380">
        <v>0</v>
      </c>
      <c r="LY48" s="380">
        <v>0</v>
      </c>
      <c r="LZ48" s="380">
        <f t="shared" si="468"/>
        <v>0</v>
      </c>
      <c r="MA48" s="380">
        <v>0</v>
      </c>
      <c r="MB48" s="380">
        <v>0</v>
      </c>
      <c r="MC48" s="380">
        <f t="shared" si="469"/>
        <v>0</v>
      </c>
      <c r="MD48" s="380">
        <v>0</v>
      </c>
      <c r="ME48" s="380">
        <v>0</v>
      </c>
      <c r="MF48" s="380">
        <f t="shared" si="470"/>
        <v>0</v>
      </c>
      <c r="MG48" s="380">
        <v>0</v>
      </c>
      <c r="MH48" s="380">
        <v>0</v>
      </c>
      <c r="MI48" s="380">
        <f t="shared" si="471"/>
        <v>0</v>
      </c>
      <c r="MJ48" s="380">
        <v>0</v>
      </c>
      <c r="MK48" s="380">
        <v>0</v>
      </c>
      <c r="ML48" s="380">
        <f t="shared" si="472"/>
        <v>0</v>
      </c>
      <c r="MM48" s="380">
        <v>0</v>
      </c>
      <c r="MN48" s="380">
        <v>0</v>
      </c>
      <c r="MO48" s="380">
        <f t="shared" si="473"/>
        <v>0</v>
      </c>
      <c r="MP48" s="380">
        <v>0</v>
      </c>
      <c r="MQ48" s="380">
        <v>0</v>
      </c>
      <c r="MR48" s="380">
        <f t="shared" si="474"/>
        <v>0</v>
      </c>
      <c r="MS48" s="380">
        <v>0</v>
      </c>
      <c r="MT48" s="380">
        <v>0</v>
      </c>
      <c r="MU48" s="380">
        <f t="shared" si="475"/>
        <v>0</v>
      </c>
      <c r="MV48" s="380">
        <v>0</v>
      </c>
      <c r="MW48" s="380">
        <v>0</v>
      </c>
      <c r="MX48" s="380">
        <f t="shared" si="476"/>
        <v>0</v>
      </c>
      <c r="MY48" s="380">
        <v>0</v>
      </c>
      <c r="MZ48" s="380">
        <v>0</v>
      </c>
      <c r="NA48" s="551">
        <f t="shared" si="477"/>
        <v>0</v>
      </c>
      <c r="NB48" s="380">
        <v>0</v>
      </c>
      <c r="NC48" s="380">
        <v>0</v>
      </c>
      <c r="ND48" s="549">
        <f t="shared" si="478"/>
        <v>0</v>
      </c>
      <c r="NE48" s="542">
        <f t="shared" si="487"/>
        <v>14324</v>
      </c>
      <c r="NF48" s="376">
        <f t="shared" si="487"/>
        <v>14148</v>
      </c>
      <c r="NG48" s="598">
        <f t="shared" si="480"/>
        <v>28472</v>
      </c>
      <c r="NH48" s="599">
        <f t="shared" si="481"/>
        <v>1447</v>
      </c>
      <c r="NI48" s="600">
        <f t="shared" si="481"/>
        <v>1420</v>
      </c>
      <c r="NJ48" s="598">
        <f t="shared" si="482"/>
        <v>2867</v>
      </c>
    </row>
    <row r="49" spans="1:374" x14ac:dyDescent="0.3">
      <c r="A49" s="552" t="s">
        <v>292</v>
      </c>
      <c r="B49" s="601" t="s">
        <v>102</v>
      </c>
      <c r="C49" s="556">
        <v>905</v>
      </c>
      <c r="D49" s="384">
        <v>835</v>
      </c>
      <c r="E49" s="384">
        <f t="shared" si="357"/>
        <v>1740</v>
      </c>
      <c r="F49" s="384">
        <v>1140</v>
      </c>
      <c r="G49" s="384">
        <v>1074</v>
      </c>
      <c r="H49" s="384">
        <f t="shared" si="358"/>
        <v>2214</v>
      </c>
      <c r="I49" s="384">
        <v>1389</v>
      </c>
      <c r="J49" s="384">
        <v>1289</v>
      </c>
      <c r="K49" s="384">
        <f t="shared" si="359"/>
        <v>2678</v>
      </c>
      <c r="L49" s="384">
        <v>1490</v>
      </c>
      <c r="M49" s="384">
        <v>1471</v>
      </c>
      <c r="N49" s="384">
        <f t="shared" si="360"/>
        <v>2961</v>
      </c>
      <c r="O49" s="384">
        <v>1628</v>
      </c>
      <c r="P49" s="384">
        <v>1647</v>
      </c>
      <c r="Q49" s="384">
        <f t="shared" si="361"/>
        <v>3275</v>
      </c>
      <c r="R49" s="384">
        <v>1853</v>
      </c>
      <c r="S49" s="384">
        <v>1619</v>
      </c>
      <c r="T49" s="384">
        <f t="shared" si="362"/>
        <v>3472</v>
      </c>
      <c r="U49" s="384">
        <v>2034</v>
      </c>
      <c r="V49" s="384">
        <v>1844</v>
      </c>
      <c r="W49" s="384">
        <f t="shared" si="363"/>
        <v>3878</v>
      </c>
      <c r="X49" s="384">
        <v>2045</v>
      </c>
      <c r="Y49" s="384">
        <v>1907</v>
      </c>
      <c r="Z49" s="384">
        <f t="shared" si="364"/>
        <v>3952</v>
      </c>
      <c r="AA49" s="384">
        <v>2038</v>
      </c>
      <c r="AB49" s="384">
        <v>1842</v>
      </c>
      <c r="AC49" s="384">
        <f t="shared" si="365"/>
        <v>3880</v>
      </c>
      <c r="AD49" s="384">
        <v>1900</v>
      </c>
      <c r="AE49" s="384">
        <v>1741</v>
      </c>
      <c r="AF49" s="384">
        <f t="shared" si="366"/>
        <v>3641</v>
      </c>
      <c r="AG49" s="384">
        <v>1973</v>
      </c>
      <c r="AH49" s="384">
        <v>1756</v>
      </c>
      <c r="AI49" s="384">
        <f t="shared" si="367"/>
        <v>3729</v>
      </c>
      <c r="AJ49" s="384">
        <v>1965</v>
      </c>
      <c r="AK49" s="384">
        <v>1753</v>
      </c>
      <c r="AL49" s="384">
        <f t="shared" si="368"/>
        <v>3718</v>
      </c>
      <c r="AM49" s="384">
        <v>1918</v>
      </c>
      <c r="AN49" s="384">
        <v>1711</v>
      </c>
      <c r="AO49" s="384">
        <f t="shared" si="369"/>
        <v>3629</v>
      </c>
      <c r="AP49" s="384">
        <v>1957</v>
      </c>
      <c r="AQ49" s="384">
        <v>1832</v>
      </c>
      <c r="AR49" s="384">
        <f t="shared" si="370"/>
        <v>3789</v>
      </c>
      <c r="AS49" s="384">
        <v>1989</v>
      </c>
      <c r="AT49" s="384">
        <v>1898</v>
      </c>
      <c r="AU49" s="384">
        <f t="shared" si="371"/>
        <v>3887</v>
      </c>
      <c r="AV49" s="384">
        <v>1915</v>
      </c>
      <c r="AW49" s="384">
        <v>1835</v>
      </c>
      <c r="AX49" s="384">
        <f t="shared" si="372"/>
        <v>3750</v>
      </c>
      <c r="AY49" s="384">
        <v>1839</v>
      </c>
      <c r="AZ49" s="384">
        <v>1795</v>
      </c>
      <c r="BA49" s="384">
        <f t="shared" si="373"/>
        <v>3634</v>
      </c>
      <c r="BB49" s="384">
        <v>1731</v>
      </c>
      <c r="BC49" s="384">
        <v>1665</v>
      </c>
      <c r="BD49" s="384">
        <f t="shared" si="374"/>
        <v>3396</v>
      </c>
      <c r="BE49" s="384">
        <v>1794</v>
      </c>
      <c r="BF49" s="384">
        <v>1741</v>
      </c>
      <c r="BG49" s="384">
        <f t="shared" si="375"/>
        <v>3535</v>
      </c>
      <c r="BH49" s="384">
        <v>1857</v>
      </c>
      <c r="BI49" s="384">
        <v>1770</v>
      </c>
      <c r="BJ49" s="384">
        <f t="shared" si="376"/>
        <v>3627</v>
      </c>
      <c r="BK49" s="384">
        <v>1779</v>
      </c>
      <c r="BL49" s="384">
        <v>1635</v>
      </c>
      <c r="BM49" s="384">
        <f t="shared" si="377"/>
        <v>3414</v>
      </c>
      <c r="BN49" s="384">
        <v>1772</v>
      </c>
      <c r="BO49" s="384">
        <v>1631</v>
      </c>
      <c r="BP49" s="384">
        <f t="shared" si="378"/>
        <v>3403</v>
      </c>
      <c r="BQ49" s="384">
        <v>1854</v>
      </c>
      <c r="BR49" s="384">
        <v>1707</v>
      </c>
      <c r="BS49" s="384">
        <f t="shared" si="379"/>
        <v>3561</v>
      </c>
      <c r="BT49" s="384">
        <v>1899</v>
      </c>
      <c r="BU49" s="384">
        <v>1824</v>
      </c>
      <c r="BV49" s="384">
        <f t="shared" si="380"/>
        <v>3723</v>
      </c>
      <c r="BW49" s="384">
        <v>1827</v>
      </c>
      <c r="BX49" s="384">
        <v>1737</v>
      </c>
      <c r="BY49" s="384">
        <f t="shared" si="381"/>
        <v>3564</v>
      </c>
      <c r="BZ49" s="384">
        <v>1912</v>
      </c>
      <c r="CA49" s="384">
        <v>1818</v>
      </c>
      <c r="CB49" s="384">
        <f t="shared" si="382"/>
        <v>3730</v>
      </c>
      <c r="CC49" s="384">
        <v>1835</v>
      </c>
      <c r="CD49" s="384">
        <v>1899</v>
      </c>
      <c r="CE49" s="384">
        <f t="shared" si="383"/>
        <v>3734</v>
      </c>
      <c r="CF49" s="384">
        <v>1696</v>
      </c>
      <c r="CG49" s="384">
        <v>1665</v>
      </c>
      <c r="CH49" s="384">
        <f t="shared" si="384"/>
        <v>3361</v>
      </c>
      <c r="CI49" s="384">
        <v>1877</v>
      </c>
      <c r="CJ49" s="384">
        <v>1790</v>
      </c>
      <c r="CK49" s="384">
        <f t="shared" si="385"/>
        <v>3667</v>
      </c>
      <c r="CL49" s="384">
        <v>1850</v>
      </c>
      <c r="CM49" s="384">
        <v>1775</v>
      </c>
      <c r="CN49" s="384">
        <f t="shared" si="386"/>
        <v>3625</v>
      </c>
      <c r="CO49" s="384">
        <v>1781</v>
      </c>
      <c r="CP49" s="384">
        <v>1909</v>
      </c>
      <c r="CQ49" s="384">
        <f t="shared" si="387"/>
        <v>3690</v>
      </c>
      <c r="CR49" s="384">
        <v>1890</v>
      </c>
      <c r="CS49" s="384">
        <v>1992</v>
      </c>
      <c r="CT49" s="384">
        <f t="shared" si="388"/>
        <v>3882</v>
      </c>
      <c r="CU49" s="384">
        <v>1791</v>
      </c>
      <c r="CV49" s="384">
        <v>1893</v>
      </c>
      <c r="CW49" s="384">
        <f t="shared" si="389"/>
        <v>3684</v>
      </c>
      <c r="CX49" s="384">
        <v>1817</v>
      </c>
      <c r="CY49" s="384">
        <v>1851</v>
      </c>
      <c r="CZ49" s="384">
        <f t="shared" si="390"/>
        <v>3668</v>
      </c>
      <c r="DA49" s="384">
        <v>1807</v>
      </c>
      <c r="DB49" s="384">
        <v>1895</v>
      </c>
      <c r="DC49" s="384">
        <f t="shared" si="391"/>
        <v>3702</v>
      </c>
      <c r="DD49" s="384">
        <v>1821</v>
      </c>
      <c r="DE49" s="384">
        <v>1774</v>
      </c>
      <c r="DF49" s="384">
        <f t="shared" si="392"/>
        <v>3595</v>
      </c>
      <c r="DG49" s="384">
        <v>1709</v>
      </c>
      <c r="DH49" s="384">
        <v>1804</v>
      </c>
      <c r="DI49" s="384">
        <f t="shared" si="393"/>
        <v>3513</v>
      </c>
      <c r="DJ49" s="384">
        <v>1723</v>
      </c>
      <c r="DK49" s="384">
        <v>1841</v>
      </c>
      <c r="DL49" s="384">
        <f t="shared" si="394"/>
        <v>3564</v>
      </c>
      <c r="DM49" s="384">
        <v>1748</v>
      </c>
      <c r="DN49" s="384">
        <v>1785</v>
      </c>
      <c r="DO49" s="384">
        <f t="shared" si="395"/>
        <v>3533</v>
      </c>
      <c r="DP49" s="384">
        <v>1819</v>
      </c>
      <c r="DQ49" s="384">
        <v>1851</v>
      </c>
      <c r="DR49" s="384">
        <f t="shared" si="396"/>
        <v>3670</v>
      </c>
      <c r="DS49" s="384">
        <v>1864</v>
      </c>
      <c r="DT49" s="384">
        <v>1889</v>
      </c>
      <c r="DU49" s="384">
        <f t="shared" si="397"/>
        <v>3753</v>
      </c>
      <c r="DV49" s="384">
        <v>1952</v>
      </c>
      <c r="DW49" s="384">
        <v>1943</v>
      </c>
      <c r="DX49" s="384">
        <f t="shared" si="398"/>
        <v>3895</v>
      </c>
      <c r="DY49" s="384">
        <v>1855</v>
      </c>
      <c r="DZ49" s="384">
        <v>1966</v>
      </c>
      <c r="EA49" s="384">
        <f t="shared" si="399"/>
        <v>3821</v>
      </c>
      <c r="EB49" s="384">
        <v>1875</v>
      </c>
      <c r="EC49" s="384">
        <v>2073</v>
      </c>
      <c r="ED49" s="384">
        <f t="shared" si="400"/>
        <v>3948</v>
      </c>
      <c r="EE49" s="384">
        <v>1955</v>
      </c>
      <c r="EF49" s="384">
        <v>2010</v>
      </c>
      <c r="EG49" s="384">
        <f t="shared" si="401"/>
        <v>3965</v>
      </c>
      <c r="EH49" s="384">
        <v>1824</v>
      </c>
      <c r="EI49" s="384">
        <v>1879</v>
      </c>
      <c r="EJ49" s="384">
        <f t="shared" si="402"/>
        <v>3703</v>
      </c>
      <c r="EK49" s="384">
        <v>1875</v>
      </c>
      <c r="EL49" s="384">
        <v>1981</v>
      </c>
      <c r="EM49" s="384">
        <f t="shared" si="403"/>
        <v>3856</v>
      </c>
      <c r="EN49" s="384">
        <v>1856</v>
      </c>
      <c r="EO49" s="384">
        <v>1792</v>
      </c>
      <c r="EP49" s="384">
        <f t="shared" si="404"/>
        <v>3648</v>
      </c>
      <c r="EQ49" s="384">
        <v>1649</v>
      </c>
      <c r="ER49" s="384">
        <v>1776</v>
      </c>
      <c r="ES49" s="384">
        <f t="shared" si="405"/>
        <v>3425</v>
      </c>
      <c r="ET49" s="384">
        <v>1682</v>
      </c>
      <c r="EU49" s="384">
        <v>1702</v>
      </c>
      <c r="EV49" s="384">
        <f t="shared" si="406"/>
        <v>3384</v>
      </c>
      <c r="EW49" s="384">
        <v>1584</v>
      </c>
      <c r="EX49" s="384">
        <v>1697</v>
      </c>
      <c r="EY49" s="384">
        <f t="shared" si="407"/>
        <v>3281</v>
      </c>
      <c r="EZ49" s="384">
        <v>1539</v>
      </c>
      <c r="FA49" s="384">
        <v>1646</v>
      </c>
      <c r="FB49" s="384">
        <f t="shared" si="408"/>
        <v>3185</v>
      </c>
      <c r="FC49" s="384">
        <v>1440</v>
      </c>
      <c r="FD49" s="384">
        <v>1491</v>
      </c>
      <c r="FE49" s="384">
        <f t="shared" si="409"/>
        <v>2931</v>
      </c>
      <c r="FF49" s="384">
        <v>1476</v>
      </c>
      <c r="FG49" s="384">
        <v>1610</v>
      </c>
      <c r="FH49" s="384">
        <f t="shared" si="410"/>
        <v>3086</v>
      </c>
      <c r="FI49" s="384">
        <v>1407</v>
      </c>
      <c r="FJ49" s="384">
        <v>1524</v>
      </c>
      <c r="FK49" s="384">
        <f t="shared" si="411"/>
        <v>2931</v>
      </c>
      <c r="FL49" s="384">
        <v>1335</v>
      </c>
      <c r="FM49" s="384">
        <v>1442</v>
      </c>
      <c r="FN49" s="384">
        <f t="shared" si="412"/>
        <v>2777</v>
      </c>
      <c r="FO49" s="384">
        <v>1370</v>
      </c>
      <c r="FP49" s="384">
        <v>1439</v>
      </c>
      <c r="FQ49" s="384">
        <f t="shared" si="413"/>
        <v>2809</v>
      </c>
      <c r="FR49" s="384">
        <v>1282</v>
      </c>
      <c r="FS49" s="384">
        <v>1331</v>
      </c>
      <c r="FT49" s="384">
        <f t="shared" si="414"/>
        <v>2613</v>
      </c>
      <c r="FU49" s="384">
        <v>1260</v>
      </c>
      <c r="FV49" s="384">
        <v>1291</v>
      </c>
      <c r="FW49" s="384">
        <f t="shared" si="415"/>
        <v>2551</v>
      </c>
      <c r="FX49" s="384">
        <v>1003</v>
      </c>
      <c r="FY49" s="384">
        <v>1115</v>
      </c>
      <c r="FZ49" s="384">
        <f t="shared" si="416"/>
        <v>2118</v>
      </c>
      <c r="GA49" s="384">
        <v>1080</v>
      </c>
      <c r="GB49" s="384">
        <v>1200</v>
      </c>
      <c r="GC49" s="384">
        <f t="shared" si="417"/>
        <v>2280</v>
      </c>
      <c r="GD49" s="384">
        <v>1001</v>
      </c>
      <c r="GE49" s="384">
        <v>1131</v>
      </c>
      <c r="GF49" s="384">
        <f t="shared" si="418"/>
        <v>2132</v>
      </c>
      <c r="GG49" s="384">
        <v>955</v>
      </c>
      <c r="GH49" s="384">
        <v>1092</v>
      </c>
      <c r="GI49" s="384">
        <f t="shared" si="419"/>
        <v>2047</v>
      </c>
      <c r="GJ49" s="384">
        <v>820</v>
      </c>
      <c r="GK49" s="384">
        <v>1074</v>
      </c>
      <c r="GL49" s="384">
        <f t="shared" si="420"/>
        <v>1894</v>
      </c>
      <c r="GM49" s="384">
        <v>838</v>
      </c>
      <c r="GN49" s="384">
        <v>1015</v>
      </c>
      <c r="GO49" s="384">
        <f t="shared" si="421"/>
        <v>1853</v>
      </c>
      <c r="GP49" s="384">
        <v>780</v>
      </c>
      <c r="GQ49" s="384">
        <v>1007</v>
      </c>
      <c r="GR49" s="384">
        <f t="shared" si="422"/>
        <v>1787</v>
      </c>
      <c r="GS49" s="384">
        <v>825</v>
      </c>
      <c r="GT49" s="384">
        <v>968</v>
      </c>
      <c r="GU49" s="384">
        <f t="shared" si="423"/>
        <v>1793</v>
      </c>
      <c r="GV49" s="384">
        <v>749</v>
      </c>
      <c r="GW49" s="384">
        <v>974</v>
      </c>
      <c r="GX49" s="384">
        <f t="shared" si="424"/>
        <v>1723</v>
      </c>
      <c r="GY49" s="384">
        <v>714</v>
      </c>
      <c r="GZ49" s="384">
        <v>880</v>
      </c>
      <c r="HA49" s="384">
        <f t="shared" si="425"/>
        <v>1594</v>
      </c>
      <c r="HB49" s="384">
        <v>628</v>
      </c>
      <c r="HC49" s="384">
        <v>729</v>
      </c>
      <c r="HD49" s="384">
        <f t="shared" si="426"/>
        <v>1357</v>
      </c>
      <c r="HE49" s="384">
        <v>618</v>
      </c>
      <c r="HF49" s="384">
        <v>789</v>
      </c>
      <c r="HG49" s="384">
        <f t="shared" si="427"/>
        <v>1407</v>
      </c>
      <c r="HH49" s="384">
        <v>623</v>
      </c>
      <c r="HI49" s="384">
        <v>678</v>
      </c>
      <c r="HJ49" s="384">
        <f t="shared" si="428"/>
        <v>1301</v>
      </c>
      <c r="HK49" s="384">
        <v>537</v>
      </c>
      <c r="HL49" s="384">
        <v>592</v>
      </c>
      <c r="HM49" s="384">
        <f t="shared" si="429"/>
        <v>1129</v>
      </c>
      <c r="HN49" s="384">
        <v>523</v>
      </c>
      <c r="HO49" s="384">
        <v>552</v>
      </c>
      <c r="HP49" s="384">
        <f t="shared" si="430"/>
        <v>1075</v>
      </c>
      <c r="HQ49" s="384">
        <v>467</v>
      </c>
      <c r="HR49" s="384">
        <v>392</v>
      </c>
      <c r="HS49" s="384">
        <f t="shared" si="431"/>
        <v>859</v>
      </c>
      <c r="HT49" s="384">
        <v>424</v>
      </c>
      <c r="HU49" s="384">
        <v>394</v>
      </c>
      <c r="HV49" s="384">
        <f t="shared" si="432"/>
        <v>818</v>
      </c>
      <c r="HW49" s="384">
        <v>345</v>
      </c>
      <c r="HX49" s="384">
        <v>350</v>
      </c>
      <c r="HY49" s="384">
        <f t="shared" si="433"/>
        <v>695</v>
      </c>
      <c r="HZ49" s="384">
        <v>275</v>
      </c>
      <c r="IA49" s="384">
        <v>298</v>
      </c>
      <c r="IB49" s="384">
        <f t="shared" si="434"/>
        <v>573</v>
      </c>
      <c r="IC49" s="384">
        <v>211</v>
      </c>
      <c r="ID49" s="384">
        <v>221</v>
      </c>
      <c r="IE49" s="384">
        <f t="shared" si="435"/>
        <v>432</v>
      </c>
      <c r="IF49" s="384">
        <v>164</v>
      </c>
      <c r="IG49" s="384">
        <v>212</v>
      </c>
      <c r="IH49" s="384">
        <f t="shared" si="436"/>
        <v>376</v>
      </c>
      <c r="II49" s="384">
        <v>144</v>
      </c>
      <c r="IJ49" s="384">
        <v>181</v>
      </c>
      <c r="IK49" s="384">
        <f t="shared" si="437"/>
        <v>325</v>
      </c>
      <c r="IL49" s="384">
        <v>136</v>
      </c>
      <c r="IM49" s="384">
        <v>138</v>
      </c>
      <c r="IN49" s="384">
        <f t="shared" si="438"/>
        <v>274</v>
      </c>
      <c r="IO49" s="384">
        <v>134</v>
      </c>
      <c r="IP49" s="384">
        <v>108</v>
      </c>
      <c r="IQ49" s="384">
        <f t="shared" si="439"/>
        <v>242</v>
      </c>
      <c r="IR49" s="384">
        <v>113</v>
      </c>
      <c r="IS49" s="384">
        <v>115</v>
      </c>
      <c r="IT49" s="384">
        <f t="shared" si="440"/>
        <v>228</v>
      </c>
      <c r="IU49" s="384">
        <v>92</v>
      </c>
      <c r="IV49" s="384">
        <v>92</v>
      </c>
      <c r="IW49" s="384">
        <f t="shared" si="441"/>
        <v>184</v>
      </c>
      <c r="IX49" s="384">
        <v>59</v>
      </c>
      <c r="IY49" s="384">
        <v>95</v>
      </c>
      <c r="IZ49" s="384">
        <f t="shared" si="442"/>
        <v>154</v>
      </c>
      <c r="JA49" s="384">
        <v>64</v>
      </c>
      <c r="JB49" s="384">
        <v>70</v>
      </c>
      <c r="JC49" s="384">
        <f t="shared" si="443"/>
        <v>134</v>
      </c>
      <c r="JD49" s="384">
        <v>30</v>
      </c>
      <c r="JE49" s="384">
        <v>55</v>
      </c>
      <c r="JF49" s="384">
        <f t="shared" si="444"/>
        <v>85</v>
      </c>
      <c r="JG49" s="384">
        <v>23</v>
      </c>
      <c r="JH49" s="384">
        <v>55</v>
      </c>
      <c r="JI49" s="384">
        <f t="shared" si="445"/>
        <v>78</v>
      </c>
      <c r="JJ49" s="384">
        <v>24</v>
      </c>
      <c r="JK49" s="384">
        <v>36</v>
      </c>
      <c r="JL49" s="384">
        <f t="shared" si="446"/>
        <v>60</v>
      </c>
      <c r="JM49" s="384">
        <v>22</v>
      </c>
      <c r="JN49" s="384">
        <v>27</v>
      </c>
      <c r="JO49" s="384">
        <f t="shared" si="447"/>
        <v>49</v>
      </c>
      <c r="JP49" s="384">
        <v>17</v>
      </c>
      <c r="JQ49" s="384">
        <v>19</v>
      </c>
      <c r="JR49" s="384">
        <f t="shared" si="448"/>
        <v>36</v>
      </c>
      <c r="JS49" s="384">
        <v>9</v>
      </c>
      <c r="JT49" s="384">
        <v>16</v>
      </c>
      <c r="JU49" s="384">
        <f t="shared" si="449"/>
        <v>25</v>
      </c>
      <c r="JV49" s="384">
        <v>13</v>
      </c>
      <c r="JW49" s="384">
        <v>16</v>
      </c>
      <c r="JX49" s="384">
        <f t="shared" si="450"/>
        <v>29</v>
      </c>
      <c r="JY49" s="384">
        <v>2</v>
      </c>
      <c r="JZ49" s="384">
        <v>6</v>
      </c>
      <c r="KA49" s="384">
        <f t="shared" si="451"/>
        <v>8</v>
      </c>
      <c r="KB49" s="384">
        <v>0</v>
      </c>
      <c r="KC49" s="384">
        <v>5</v>
      </c>
      <c r="KD49" s="384">
        <f t="shared" si="452"/>
        <v>5</v>
      </c>
      <c r="KE49" s="384">
        <v>4</v>
      </c>
      <c r="KF49" s="384">
        <v>2</v>
      </c>
      <c r="KG49" s="384">
        <f t="shared" si="453"/>
        <v>6</v>
      </c>
      <c r="KH49" s="384">
        <v>2</v>
      </c>
      <c r="KI49" s="384">
        <v>0</v>
      </c>
      <c r="KJ49" s="384">
        <f t="shared" si="454"/>
        <v>2</v>
      </c>
      <c r="KK49" s="384">
        <v>0</v>
      </c>
      <c r="KL49" s="384">
        <v>0</v>
      </c>
      <c r="KM49" s="384">
        <f t="shared" si="455"/>
        <v>0</v>
      </c>
      <c r="KN49" s="384">
        <v>0</v>
      </c>
      <c r="KO49" s="384">
        <v>3</v>
      </c>
      <c r="KP49" s="384">
        <f t="shared" si="456"/>
        <v>3</v>
      </c>
      <c r="KQ49" s="384">
        <v>1</v>
      </c>
      <c r="KR49" s="384">
        <v>1</v>
      </c>
      <c r="KS49" s="384">
        <f t="shared" si="457"/>
        <v>2</v>
      </c>
      <c r="KT49" s="384">
        <v>0</v>
      </c>
      <c r="KU49" s="384">
        <v>0</v>
      </c>
      <c r="KV49" s="384">
        <f t="shared" si="458"/>
        <v>0</v>
      </c>
      <c r="KW49" s="384">
        <v>0</v>
      </c>
      <c r="KX49" s="384">
        <v>0</v>
      </c>
      <c r="KY49" s="384">
        <f t="shared" si="459"/>
        <v>0</v>
      </c>
      <c r="KZ49" s="384">
        <v>0</v>
      </c>
      <c r="LA49" s="384">
        <v>0</v>
      </c>
      <c r="LB49" s="384">
        <f t="shared" si="460"/>
        <v>0</v>
      </c>
      <c r="LC49" s="384">
        <v>0</v>
      </c>
      <c r="LD49" s="384">
        <v>0</v>
      </c>
      <c r="LE49" s="384">
        <f t="shared" si="461"/>
        <v>0</v>
      </c>
      <c r="LF49" s="384">
        <v>0</v>
      </c>
      <c r="LG49" s="384">
        <v>0</v>
      </c>
      <c r="LH49" s="384">
        <f t="shared" si="462"/>
        <v>0</v>
      </c>
      <c r="LI49" s="384">
        <v>0</v>
      </c>
      <c r="LJ49" s="384">
        <v>0</v>
      </c>
      <c r="LK49" s="384">
        <f t="shared" si="463"/>
        <v>0</v>
      </c>
      <c r="LL49" s="384">
        <v>0</v>
      </c>
      <c r="LM49" s="384">
        <v>0</v>
      </c>
      <c r="LN49" s="384">
        <f t="shared" si="464"/>
        <v>0</v>
      </c>
      <c r="LO49" s="384">
        <v>0</v>
      </c>
      <c r="LP49" s="384">
        <v>0</v>
      </c>
      <c r="LQ49" s="384">
        <f t="shared" si="465"/>
        <v>0</v>
      </c>
      <c r="LR49" s="384">
        <v>0</v>
      </c>
      <c r="LS49" s="384">
        <v>0</v>
      </c>
      <c r="LT49" s="384">
        <f t="shared" si="466"/>
        <v>0</v>
      </c>
      <c r="LU49" s="384">
        <v>0</v>
      </c>
      <c r="LV49" s="384">
        <v>0</v>
      </c>
      <c r="LW49" s="384">
        <f t="shared" si="467"/>
        <v>0</v>
      </c>
      <c r="LX49" s="384">
        <v>0</v>
      </c>
      <c r="LY49" s="384">
        <v>0</v>
      </c>
      <c r="LZ49" s="384">
        <f t="shared" si="468"/>
        <v>0</v>
      </c>
      <c r="MA49" s="384">
        <v>0</v>
      </c>
      <c r="MB49" s="384">
        <v>0</v>
      </c>
      <c r="MC49" s="384">
        <f t="shared" si="469"/>
        <v>0</v>
      </c>
      <c r="MD49" s="384">
        <v>0</v>
      </c>
      <c r="ME49" s="384">
        <v>0</v>
      </c>
      <c r="MF49" s="384">
        <f t="shared" si="470"/>
        <v>0</v>
      </c>
      <c r="MG49" s="384">
        <v>0</v>
      </c>
      <c r="MH49" s="384">
        <v>0</v>
      </c>
      <c r="MI49" s="384">
        <f t="shared" si="471"/>
        <v>0</v>
      </c>
      <c r="MJ49" s="384">
        <v>0</v>
      </c>
      <c r="MK49" s="384">
        <v>0</v>
      </c>
      <c r="ML49" s="384">
        <f t="shared" si="472"/>
        <v>0</v>
      </c>
      <c r="MM49" s="384">
        <v>0</v>
      </c>
      <c r="MN49" s="384">
        <v>0</v>
      </c>
      <c r="MO49" s="384">
        <f t="shared" si="473"/>
        <v>0</v>
      </c>
      <c r="MP49" s="384">
        <v>0</v>
      </c>
      <c r="MQ49" s="384">
        <v>0</v>
      </c>
      <c r="MR49" s="384">
        <f t="shared" si="474"/>
        <v>0</v>
      </c>
      <c r="MS49" s="384">
        <v>0</v>
      </c>
      <c r="MT49" s="384">
        <v>0</v>
      </c>
      <c r="MU49" s="384">
        <f t="shared" si="475"/>
        <v>0</v>
      </c>
      <c r="MV49" s="384">
        <v>0</v>
      </c>
      <c r="MW49" s="384">
        <v>0</v>
      </c>
      <c r="MX49" s="384">
        <f t="shared" si="476"/>
        <v>0</v>
      </c>
      <c r="MY49" s="384">
        <v>0</v>
      </c>
      <c r="MZ49" s="384">
        <v>0</v>
      </c>
      <c r="NA49" s="557">
        <f t="shared" si="477"/>
        <v>0</v>
      </c>
      <c r="NB49" s="384">
        <v>0</v>
      </c>
      <c r="NC49" s="384">
        <v>0</v>
      </c>
      <c r="ND49" s="555">
        <f t="shared" si="478"/>
        <v>0</v>
      </c>
      <c r="NE49" s="570">
        <f>SUM(C49,F49,I49,L49,O49,R49,U49,X49,AA49,AD49,AG49,AJ49,AM49,AP49,AS49,AV49,AY49,BB49,BE49,BH49,BK49,BN49,BQ49,BT49,BW49,BZ49,CC49,CF49,CI49,CL49,CO49,CR49,CU49,CX49,DA49,DD49,DG49,DJ49,DM49,DP49,DS49,DV49,DY49,EB49,EE49,EH49,EK49,EN49,EQ49,ET49,EW49,EZ49,FC49,FF49,FI49,FL49,FO49,FR49,FU49,FX49,GA49,GD49,GG49,GJ49,GM49,GP49,GS49,GV49,GY49,HB49,HE49,HH49,HK49,HN49,HQ49,HT49,HW49,HZ49,IC49,IF49,II49,IL49,IO49,IR49,IU49,IX49,JA49,JD49,JG49,JJ49,JM49,JP49,JS49,JV49,JY49,KB49,KE49,KH49,KK49,KN49,KQ49,KT49,KW49,KZ49,LC49,LF49,LI49,LL49,LO49,LR49,LU49,LX49,MA49,MD49,MG49,MJ49,MM49,MP49,MS49,MV49,MY49)</f>
        <v>117116</v>
      </c>
      <c r="NF49" s="571">
        <f>SUM(D49,G49,J49,M49,P49,S49,V49,Y49,AB49,AE49,AH49,AK49,AN49,AQ49,AT49,AW49,AZ49,BC49,BF49,BI49,BL49,BO49,BR49,BU49,BX49,CA49,CD49,CG49,CJ49,CM49,CP49,CS49,CV49,CY49,DB49,DE49,DH49,DK49,DN49,DQ49,DT49,DW49,DZ49,EC49,EF49,EI49,EL49,EO49,ER49,EU49,EX49,FA49,FD49,FG49,FJ49,FM49,FP49,FS49,FV49,FY49,GB49,GE49,GH49,GK49,GN49,GQ49,GT49,GW49,GZ49,HC49,HF49,HI49,HL49,HO49,HR49,HU49,HX49,IA49,ID49,IG49,IJ49,IM49,IP49,IS49,IV49,IY49,JB49,JE49,JH49,JK49,JN49,JQ49,JT49,JW49,JZ49,KC49,KF49,KI49,KL49,KO49,KR49,KU49,KX49,LA49,LD49,LG49,LJ49,LM49,LP49,LS49,LV49,LY49,MB49,ME49,MH49,MK49,MN49,MQ49,MT49,MW49,MZ49)</f>
        <v>118286</v>
      </c>
      <c r="NG49" s="572">
        <f t="shared" si="480"/>
        <v>235402</v>
      </c>
      <c r="NH49" s="570">
        <f t="shared" si="481"/>
        <v>8405</v>
      </c>
      <c r="NI49" s="571">
        <f t="shared" si="481"/>
        <v>7935</v>
      </c>
      <c r="NJ49" s="572">
        <f t="shared" si="482"/>
        <v>16340</v>
      </c>
    </row>
    <row r="50" spans="1:374" x14ac:dyDescent="0.3">
      <c r="A50" s="558" t="s">
        <v>293</v>
      </c>
      <c r="B50" s="592" t="s">
        <v>98</v>
      </c>
      <c r="C50" s="561">
        <v>180</v>
      </c>
      <c r="D50" s="388">
        <v>177</v>
      </c>
      <c r="E50" s="388">
        <f t="shared" si="357"/>
        <v>357</v>
      </c>
      <c r="F50" s="388">
        <v>216</v>
      </c>
      <c r="G50" s="388">
        <v>216</v>
      </c>
      <c r="H50" s="388">
        <f t="shared" si="358"/>
        <v>432</v>
      </c>
      <c r="I50" s="388">
        <v>263</v>
      </c>
      <c r="J50" s="388">
        <v>261</v>
      </c>
      <c r="K50" s="388">
        <f t="shared" si="359"/>
        <v>524</v>
      </c>
      <c r="L50" s="388">
        <v>285</v>
      </c>
      <c r="M50" s="388">
        <v>304</v>
      </c>
      <c r="N50" s="388">
        <f t="shared" si="360"/>
        <v>589</v>
      </c>
      <c r="O50" s="388">
        <v>367</v>
      </c>
      <c r="P50" s="388">
        <v>348</v>
      </c>
      <c r="Q50" s="388">
        <f t="shared" si="361"/>
        <v>715</v>
      </c>
      <c r="R50" s="388">
        <v>362</v>
      </c>
      <c r="S50" s="388">
        <v>351</v>
      </c>
      <c r="T50" s="388">
        <f t="shared" si="362"/>
        <v>713</v>
      </c>
      <c r="U50" s="388">
        <v>394</v>
      </c>
      <c r="V50" s="388">
        <v>359</v>
      </c>
      <c r="W50" s="388">
        <f t="shared" si="363"/>
        <v>753</v>
      </c>
      <c r="X50" s="388">
        <v>409</v>
      </c>
      <c r="Y50" s="388">
        <v>370</v>
      </c>
      <c r="Z50" s="388">
        <f t="shared" si="364"/>
        <v>779</v>
      </c>
      <c r="AA50" s="388">
        <v>410</v>
      </c>
      <c r="AB50" s="388">
        <v>399</v>
      </c>
      <c r="AC50" s="388">
        <f t="shared" si="365"/>
        <v>809</v>
      </c>
      <c r="AD50" s="388">
        <v>397</v>
      </c>
      <c r="AE50" s="388">
        <v>377</v>
      </c>
      <c r="AF50" s="388">
        <f t="shared" si="366"/>
        <v>774</v>
      </c>
      <c r="AG50" s="388">
        <v>420</v>
      </c>
      <c r="AH50" s="388">
        <v>407</v>
      </c>
      <c r="AI50" s="388">
        <f t="shared" si="367"/>
        <v>827</v>
      </c>
      <c r="AJ50" s="388">
        <v>402</v>
      </c>
      <c r="AK50" s="388">
        <v>343</v>
      </c>
      <c r="AL50" s="388">
        <f t="shared" si="368"/>
        <v>745</v>
      </c>
      <c r="AM50" s="388">
        <v>386</v>
      </c>
      <c r="AN50" s="388">
        <v>389</v>
      </c>
      <c r="AO50" s="388">
        <f t="shared" si="369"/>
        <v>775</v>
      </c>
      <c r="AP50" s="388">
        <v>400</v>
      </c>
      <c r="AQ50" s="388">
        <v>431</v>
      </c>
      <c r="AR50" s="388">
        <f t="shared" si="370"/>
        <v>831</v>
      </c>
      <c r="AS50" s="388">
        <v>418</v>
      </c>
      <c r="AT50" s="388">
        <v>392</v>
      </c>
      <c r="AU50" s="388">
        <f t="shared" si="371"/>
        <v>810</v>
      </c>
      <c r="AV50" s="388">
        <v>436</v>
      </c>
      <c r="AW50" s="388">
        <v>410</v>
      </c>
      <c r="AX50" s="388">
        <f t="shared" si="372"/>
        <v>846</v>
      </c>
      <c r="AY50" s="388">
        <v>395</v>
      </c>
      <c r="AZ50" s="388">
        <v>406</v>
      </c>
      <c r="BA50" s="388">
        <f t="shared" si="373"/>
        <v>801</v>
      </c>
      <c r="BB50" s="388">
        <v>357</v>
      </c>
      <c r="BC50" s="388">
        <v>371</v>
      </c>
      <c r="BD50" s="388">
        <f t="shared" si="374"/>
        <v>728</v>
      </c>
      <c r="BE50" s="388">
        <v>399</v>
      </c>
      <c r="BF50" s="388">
        <v>389</v>
      </c>
      <c r="BG50" s="388">
        <f t="shared" si="375"/>
        <v>788</v>
      </c>
      <c r="BH50" s="388">
        <v>380</v>
      </c>
      <c r="BI50" s="388">
        <v>393</v>
      </c>
      <c r="BJ50" s="388">
        <f t="shared" si="376"/>
        <v>773</v>
      </c>
      <c r="BK50" s="388">
        <v>381</v>
      </c>
      <c r="BL50" s="388">
        <v>303</v>
      </c>
      <c r="BM50" s="388">
        <f t="shared" si="377"/>
        <v>684</v>
      </c>
      <c r="BN50" s="388">
        <v>386</v>
      </c>
      <c r="BO50" s="388">
        <v>353</v>
      </c>
      <c r="BP50" s="388">
        <f t="shared" si="378"/>
        <v>739</v>
      </c>
      <c r="BQ50" s="388">
        <v>371</v>
      </c>
      <c r="BR50" s="388">
        <v>335</v>
      </c>
      <c r="BS50" s="388">
        <f t="shared" si="379"/>
        <v>706</v>
      </c>
      <c r="BT50" s="388">
        <v>369</v>
      </c>
      <c r="BU50" s="388">
        <v>375</v>
      </c>
      <c r="BV50" s="388">
        <f t="shared" si="380"/>
        <v>744</v>
      </c>
      <c r="BW50" s="388">
        <v>371</v>
      </c>
      <c r="BX50" s="388">
        <v>327</v>
      </c>
      <c r="BY50" s="388">
        <f t="shared" si="381"/>
        <v>698</v>
      </c>
      <c r="BZ50" s="388">
        <v>366</v>
      </c>
      <c r="CA50" s="388">
        <v>350</v>
      </c>
      <c r="CB50" s="388">
        <f t="shared" si="382"/>
        <v>716</v>
      </c>
      <c r="CC50" s="388">
        <v>368</v>
      </c>
      <c r="CD50" s="388">
        <v>387</v>
      </c>
      <c r="CE50" s="388">
        <f t="shared" si="383"/>
        <v>755</v>
      </c>
      <c r="CF50" s="388">
        <v>315</v>
      </c>
      <c r="CG50" s="388">
        <v>330</v>
      </c>
      <c r="CH50" s="388">
        <f t="shared" si="384"/>
        <v>645</v>
      </c>
      <c r="CI50" s="388">
        <v>356</v>
      </c>
      <c r="CJ50" s="388">
        <v>334</v>
      </c>
      <c r="CK50" s="388">
        <f t="shared" si="385"/>
        <v>690</v>
      </c>
      <c r="CL50" s="388">
        <v>375</v>
      </c>
      <c r="CM50" s="388">
        <v>325</v>
      </c>
      <c r="CN50" s="388">
        <f t="shared" si="386"/>
        <v>700</v>
      </c>
      <c r="CO50" s="388">
        <v>348</v>
      </c>
      <c r="CP50" s="388">
        <v>377</v>
      </c>
      <c r="CQ50" s="388">
        <f t="shared" si="387"/>
        <v>725</v>
      </c>
      <c r="CR50" s="388">
        <v>389</v>
      </c>
      <c r="CS50" s="388">
        <v>387</v>
      </c>
      <c r="CT50" s="388">
        <f t="shared" si="388"/>
        <v>776</v>
      </c>
      <c r="CU50" s="388">
        <v>330</v>
      </c>
      <c r="CV50" s="388">
        <v>395</v>
      </c>
      <c r="CW50" s="388">
        <f t="shared" si="389"/>
        <v>725</v>
      </c>
      <c r="CX50" s="388">
        <v>366</v>
      </c>
      <c r="CY50" s="388">
        <v>338</v>
      </c>
      <c r="CZ50" s="388">
        <f t="shared" si="390"/>
        <v>704</v>
      </c>
      <c r="DA50" s="388">
        <v>331</v>
      </c>
      <c r="DB50" s="388">
        <v>348</v>
      </c>
      <c r="DC50" s="388">
        <f t="shared" si="391"/>
        <v>679</v>
      </c>
      <c r="DD50" s="388">
        <v>373</v>
      </c>
      <c r="DE50" s="388">
        <v>337</v>
      </c>
      <c r="DF50" s="388">
        <f t="shared" si="392"/>
        <v>710</v>
      </c>
      <c r="DG50" s="388">
        <v>357</v>
      </c>
      <c r="DH50" s="388">
        <v>346</v>
      </c>
      <c r="DI50" s="388">
        <f t="shared" si="393"/>
        <v>703</v>
      </c>
      <c r="DJ50" s="388">
        <v>330</v>
      </c>
      <c r="DK50" s="388">
        <v>365</v>
      </c>
      <c r="DL50" s="388">
        <f t="shared" si="394"/>
        <v>695</v>
      </c>
      <c r="DM50" s="388">
        <v>329</v>
      </c>
      <c r="DN50" s="388">
        <v>373</v>
      </c>
      <c r="DO50" s="388">
        <f t="shared" si="395"/>
        <v>702</v>
      </c>
      <c r="DP50" s="388">
        <v>350</v>
      </c>
      <c r="DQ50" s="388">
        <v>404</v>
      </c>
      <c r="DR50" s="388">
        <f t="shared" si="396"/>
        <v>754</v>
      </c>
      <c r="DS50" s="388">
        <v>380</v>
      </c>
      <c r="DT50" s="388">
        <v>394</v>
      </c>
      <c r="DU50" s="388">
        <f t="shared" si="397"/>
        <v>774</v>
      </c>
      <c r="DV50" s="388">
        <v>399</v>
      </c>
      <c r="DW50" s="388">
        <v>434</v>
      </c>
      <c r="DX50" s="388">
        <f t="shared" si="398"/>
        <v>833</v>
      </c>
      <c r="DY50" s="388">
        <v>364</v>
      </c>
      <c r="DZ50" s="388">
        <v>426</v>
      </c>
      <c r="EA50" s="388">
        <f t="shared" si="399"/>
        <v>790</v>
      </c>
      <c r="EB50" s="388">
        <v>421</v>
      </c>
      <c r="EC50" s="388">
        <v>462</v>
      </c>
      <c r="ED50" s="388">
        <f t="shared" si="400"/>
        <v>883</v>
      </c>
      <c r="EE50" s="388">
        <v>427</v>
      </c>
      <c r="EF50" s="388">
        <v>443</v>
      </c>
      <c r="EG50" s="388">
        <f t="shared" si="401"/>
        <v>870</v>
      </c>
      <c r="EH50" s="388">
        <v>406</v>
      </c>
      <c r="EI50" s="388">
        <v>375</v>
      </c>
      <c r="EJ50" s="388">
        <f t="shared" si="402"/>
        <v>781</v>
      </c>
      <c r="EK50" s="388">
        <v>418</v>
      </c>
      <c r="EL50" s="388">
        <v>387</v>
      </c>
      <c r="EM50" s="388">
        <f t="shared" si="403"/>
        <v>805</v>
      </c>
      <c r="EN50" s="388">
        <v>408</v>
      </c>
      <c r="EO50" s="388">
        <v>369</v>
      </c>
      <c r="EP50" s="388">
        <f t="shared" si="404"/>
        <v>777</v>
      </c>
      <c r="EQ50" s="388">
        <v>388</v>
      </c>
      <c r="ER50" s="388">
        <v>375</v>
      </c>
      <c r="ES50" s="388">
        <f t="shared" si="405"/>
        <v>763</v>
      </c>
      <c r="ET50" s="388">
        <v>339</v>
      </c>
      <c r="EU50" s="388">
        <v>369</v>
      </c>
      <c r="EV50" s="388">
        <f t="shared" si="406"/>
        <v>708</v>
      </c>
      <c r="EW50" s="388">
        <v>340</v>
      </c>
      <c r="EX50" s="388">
        <v>362</v>
      </c>
      <c r="EY50" s="388">
        <f t="shared" si="407"/>
        <v>702</v>
      </c>
      <c r="EZ50" s="388">
        <v>342</v>
      </c>
      <c r="FA50" s="388">
        <v>330</v>
      </c>
      <c r="FB50" s="388">
        <f t="shared" si="408"/>
        <v>672</v>
      </c>
      <c r="FC50" s="388">
        <v>307</v>
      </c>
      <c r="FD50" s="388">
        <v>302</v>
      </c>
      <c r="FE50" s="388">
        <f t="shared" si="409"/>
        <v>609</v>
      </c>
      <c r="FF50" s="388">
        <v>311</v>
      </c>
      <c r="FG50" s="388">
        <v>317</v>
      </c>
      <c r="FH50" s="388">
        <f t="shared" si="410"/>
        <v>628</v>
      </c>
      <c r="FI50" s="388">
        <v>281</v>
      </c>
      <c r="FJ50" s="388">
        <v>304</v>
      </c>
      <c r="FK50" s="388">
        <f t="shared" si="411"/>
        <v>585</v>
      </c>
      <c r="FL50" s="388">
        <v>278</v>
      </c>
      <c r="FM50" s="388">
        <v>316</v>
      </c>
      <c r="FN50" s="388">
        <f t="shared" si="412"/>
        <v>594</v>
      </c>
      <c r="FO50" s="388">
        <v>294</v>
      </c>
      <c r="FP50" s="388">
        <v>319</v>
      </c>
      <c r="FQ50" s="388">
        <f t="shared" si="413"/>
        <v>613</v>
      </c>
      <c r="FR50" s="388">
        <v>273</v>
      </c>
      <c r="FS50" s="388">
        <v>270</v>
      </c>
      <c r="FT50" s="388">
        <f t="shared" si="414"/>
        <v>543</v>
      </c>
      <c r="FU50" s="388">
        <v>295</v>
      </c>
      <c r="FV50" s="388">
        <v>252</v>
      </c>
      <c r="FW50" s="388">
        <f t="shared" si="415"/>
        <v>547</v>
      </c>
      <c r="FX50" s="388">
        <v>208</v>
      </c>
      <c r="FY50" s="388">
        <v>239</v>
      </c>
      <c r="FZ50" s="388">
        <f t="shared" si="416"/>
        <v>447</v>
      </c>
      <c r="GA50" s="388">
        <v>200</v>
      </c>
      <c r="GB50" s="388">
        <v>223</v>
      </c>
      <c r="GC50" s="388">
        <f t="shared" si="417"/>
        <v>423</v>
      </c>
      <c r="GD50" s="388">
        <v>194</v>
      </c>
      <c r="GE50" s="388">
        <v>206</v>
      </c>
      <c r="GF50" s="388">
        <f t="shared" si="418"/>
        <v>400</v>
      </c>
      <c r="GG50" s="388">
        <v>200</v>
      </c>
      <c r="GH50" s="388">
        <v>215</v>
      </c>
      <c r="GI50" s="388">
        <f t="shared" si="419"/>
        <v>415</v>
      </c>
      <c r="GJ50" s="388">
        <v>181</v>
      </c>
      <c r="GK50" s="388">
        <v>213</v>
      </c>
      <c r="GL50" s="388">
        <f t="shared" si="420"/>
        <v>394</v>
      </c>
      <c r="GM50" s="388">
        <v>169</v>
      </c>
      <c r="GN50" s="388">
        <v>182</v>
      </c>
      <c r="GO50" s="388">
        <f t="shared" si="421"/>
        <v>351</v>
      </c>
      <c r="GP50" s="388">
        <v>156</v>
      </c>
      <c r="GQ50" s="388">
        <v>186</v>
      </c>
      <c r="GR50" s="388">
        <f t="shared" si="422"/>
        <v>342</v>
      </c>
      <c r="GS50" s="388">
        <v>163</v>
      </c>
      <c r="GT50" s="388">
        <v>214</v>
      </c>
      <c r="GU50" s="388">
        <f t="shared" si="423"/>
        <v>377</v>
      </c>
      <c r="GV50" s="388">
        <v>136</v>
      </c>
      <c r="GW50" s="388">
        <v>174</v>
      </c>
      <c r="GX50" s="388">
        <f t="shared" si="424"/>
        <v>310</v>
      </c>
      <c r="GY50" s="388">
        <v>143</v>
      </c>
      <c r="GZ50" s="388">
        <v>166</v>
      </c>
      <c r="HA50" s="388">
        <f t="shared" si="425"/>
        <v>309</v>
      </c>
      <c r="HB50" s="388">
        <v>130</v>
      </c>
      <c r="HC50" s="388">
        <v>140</v>
      </c>
      <c r="HD50" s="388">
        <f t="shared" si="426"/>
        <v>270</v>
      </c>
      <c r="HE50" s="388">
        <v>114</v>
      </c>
      <c r="HF50" s="388">
        <v>136</v>
      </c>
      <c r="HG50" s="388">
        <f t="shared" si="427"/>
        <v>250</v>
      </c>
      <c r="HH50" s="388">
        <v>121</v>
      </c>
      <c r="HI50" s="388">
        <v>138</v>
      </c>
      <c r="HJ50" s="388">
        <f t="shared" si="428"/>
        <v>259</v>
      </c>
      <c r="HK50" s="388">
        <v>95</v>
      </c>
      <c r="HL50" s="388">
        <v>110</v>
      </c>
      <c r="HM50" s="388">
        <f t="shared" si="429"/>
        <v>205</v>
      </c>
      <c r="HN50" s="388">
        <v>109</v>
      </c>
      <c r="HO50" s="388">
        <v>117</v>
      </c>
      <c r="HP50" s="388">
        <f t="shared" si="430"/>
        <v>226</v>
      </c>
      <c r="HQ50" s="388">
        <v>98</v>
      </c>
      <c r="HR50" s="388">
        <v>83</v>
      </c>
      <c r="HS50" s="388">
        <f t="shared" si="431"/>
        <v>181</v>
      </c>
      <c r="HT50" s="388">
        <v>85</v>
      </c>
      <c r="HU50" s="388">
        <v>84</v>
      </c>
      <c r="HV50" s="388">
        <f t="shared" si="432"/>
        <v>169</v>
      </c>
      <c r="HW50" s="388">
        <v>72</v>
      </c>
      <c r="HX50" s="388">
        <v>76</v>
      </c>
      <c r="HY50" s="388">
        <f t="shared" si="433"/>
        <v>148</v>
      </c>
      <c r="HZ50" s="388">
        <v>63</v>
      </c>
      <c r="IA50" s="388">
        <v>68</v>
      </c>
      <c r="IB50" s="388">
        <f t="shared" si="434"/>
        <v>131</v>
      </c>
      <c r="IC50" s="388">
        <v>41</v>
      </c>
      <c r="ID50" s="388">
        <v>51</v>
      </c>
      <c r="IE50" s="388">
        <f t="shared" si="435"/>
        <v>92</v>
      </c>
      <c r="IF50" s="388">
        <v>34</v>
      </c>
      <c r="IG50" s="388">
        <v>41</v>
      </c>
      <c r="IH50" s="388">
        <f t="shared" si="436"/>
        <v>75</v>
      </c>
      <c r="II50" s="388">
        <v>20</v>
      </c>
      <c r="IJ50" s="388">
        <v>47</v>
      </c>
      <c r="IK50" s="388">
        <f t="shared" si="437"/>
        <v>67</v>
      </c>
      <c r="IL50" s="388">
        <v>31</v>
      </c>
      <c r="IM50" s="388">
        <v>32</v>
      </c>
      <c r="IN50" s="388">
        <f t="shared" si="438"/>
        <v>63</v>
      </c>
      <c r="IO50" s="388">
        <v>36</v>
      </c>
      <c r="IP50" s="388">
        <v>23</v>
      </c>
      <c r="IQ50" s="388">
        <f t="shared" si="439"/>
        <v>59</v>
      </c>
      <c r="IR50" s="388">
        <v>24</v>
      </c>
      <c r="IS50" s="388">
        <v>28</v>
      </c>
      <c r="IT50" s="388">
        <f t="shared" si="440"/>
        <v>52</v>
      </c>
      <c r="IU50" s="388">
        <v>15</v>
      </c>
      <c r="IV50" s="388">
        <v>22</v>
      </c>
      <c r="IW50" s="388">
        <f t="shared" si="441"/>
        <v>37</v>
      </c>
      <c r="IX50" s="388">
        <v>17</v>
      </c>
      <c r="IY50" s="388">
        <v>13</v>
      </c>
      <c r="IZ50" s="388">
        <f t="shared" si="442"/>
        <v>30</v>
      </c>
      <c r="JA50" s="388">
        <v>14</v>
      </c>
      <c r="JB50" s="388">
        <v>9</v>
      </c>
      <c r="JC50" s="388">
        <f t="shared" si="443"/>
        <v>23</v>
      </c>
      <c r="JD50" s="388">
        <v>6</v>
      </c>
      <c r="JE50" s="388">
        <v>14</v>
      </c>
      <c r="JF50" s="388">
        <f t="shared" si="444"/>
        <v>20</v>
      </c>
      <c r="JG50" s="388">
        <v>5</v>
      </c>
      <c r="JH50" s="388">
        <v>7</v>
      </c>
      <c r="JI50" s="388">
        <f t="shared" si="445"/>
        <v>12</v>
      </c>
      <c r="JJ50" s="388">
        <v>7</v>
      </c>
      <c r="JK50" s="388">
        <v>10</v>
      </c>
      <c r="JL50" s="388">
        <f t="shared" si="446"/>
        <v>17</v>
      </c>
      <c r="JM50" s="388">
        <v>5</v>
      </c>
      <c r="JN50" s="388">
        <v>3</v>
      </c>
      <c r="JO50" s="388">
        <f t="shared" si="447"/>
        <v>8</v>
      </c>
      <c r="JP50" s="388">
        <v>4</v>
      </c>
      <c r="JQ50" s="388">
        <v>2</v>
      </c>
      <c r="JR50" s="388">
        <f t="shared" si="448"/>
        <v>6</v>
      </c>
      <c r="JS50" s="388">
        <v>1</v>
      </c>
      <c r="JT50" s="388">
        <v>3</v>
      </c>
      <c r="JU50" s="388">
        <f t="shared" si="449"/>
        <v>4</v>
      </c>
      <c r="JV50" s="388">
        <v>3</v>
      </c>
      <c r="JW50" s="388">
        <v>9</v>
      </c>
      <c r="JX50" s="388">
        <f t="shared" si="450"/>
        <v>12</v>
      </c>
      <c r="JY50" s="388">
        <v>0</v>
      </c>
      <c r="JZ50" s="388">
        <v>2</v>
      </c>
      <c r="KA50" s="388">
        <f t="shared" si="451"/>
        <v>2</v>
      </c>
      <c r="KB50" s="388">
        <v>0</v>
      </c>
      <c r="KC50" s="388">
        <v>2</v>
      </c>
      <c r="KD50" s="388">
        <f t="shared" si="452"/>
        <v>2</v>
      </c>
      <c r="KE50" s="388">
        <v>1</v>
      </c>
      <c r="KF50" s="388">
        <v>0</v>
      </c>
      <c r="KG50" s="388">
        <f t="shared" si="453"/>
        <v>1</v>
      </c>
      <c r="KH50" s="388">
        <v>1</v>
      </c>
      <c r="KI50" s="388">
        <v>0</v>
      </c>
      <c r="KJ50" s="388">
        <f t="shared" si="454"/>
        <v>1</v>
      </c>
      <c r="KK50" s="388">
        <v>0</v>
      </c>
      <c r="KL50" s="388">
        <v>0</v>
      </c>
      <c r="KM50" s="388">
        <f t="shared" si="455"/>
        <v>0</v>
      </c>
      <c r="KN50" s="388">
        <v>0</v>
      </c>
      <c r="KO50" s="388">
        <v>0</v>
      </c>
      <c r="KP50" s="388">
        <f t="shared" si="456"/>
        <v>0</v>
      </c>
      <c r="KQ50" s="388">
        <v>0</v>
      </c>
      <c r="KR50" s="388">
        <v>0</v>
      </c>
      <c r="KS50" s="388">
        <f t="shared" si="457"/>
        <v>0</v>
      </c>
      <c r="KT50" s="388">
        <v>0</v>
      </c>
      <c r="KU50" s="388">
        <v>0</v>
      </c>
      <c r="KV50" s="388">
        <f t="shared" si="458"/>
        <v>0</v>
      </c>
      <c r="KW50" s="388">
        <v>0</v>
      </c>
      <c r="KX50" s="388">
        <v>0</v>
      </c>
      <c r="KY50" s="388">
        <f t="shared" si="459"/>
        <v>0</v>
      </c>
      <c r="KZ50" s="388">
        <v>0</v>
      </c>
      <c r="LA50" s="388">
        <v>0</v>
      </c>
      <c r="LB50" s="388">
        <f t="shared" si="460"/>
        <v>0</v>
      </c>
      <c r="LC50" s="388">
        <v>0</v>
      </c>
      <c r="LD50" s="388">
        <v>0</v>
      </c>
      <c r="LE50" s="388">
        <f t="shared" si="461"/>
        <v>0</v>
      </c>
      <c r="LF50" s="388">
        <v>0</v>
      </c>
      <c r="LG50" s="388">
        <v>0</v>
      </c>
      <c r="LH50" s="388">
        <f t="shared" si="462"/>
        <v>0</v>
      </c>
      <c r="LI50" s="388">
        <v>0</v>
      </c>
      <c r="LJ50" s="388">
        <v>0</v>
      </c>
      <c r="LK50" s="388">
        <f t="shared" si="463"/>
        <v>0</v>
      </c>
      <c r="LL50" s="388">
        <v>0</v>
      </c>
      <c r="LM50" s="388">
        <v>0</v>
      </c>
      <c r="LN50" s="388">
        <f t="shared" si="464"/>
        <v>0</v>
      </c>
      <c r="LO50" s="388">
        <v>0</v>
      </c>
      <c r="LP50" s="388">
        <v>0</v>
      </c>
      <c r="LQ50" s="388">
        <f t="shared" si="465"/>
        <v>0</v>
      </c>
      <c r="LR50" s="388">
        <v>0</v>
      </c>
      <c r="LS50" s="388">
        <v>0</v>
      </c>
      <c r="LT50" s="388">
        <f t="shared" si="466"/>
        <v>0</v>
      </c>
      <c r="LU50" s="388">
        <v>0</v>
      </c>
      <c r="LV50" s="388">
        <v>0</v>
      </c>
      <c r="LW50" s="388">
        <f t="shared" si="467"/>
        <v>0</v>
      </c>
      <c r="LX50" s="388">
        <v>0</v>
      </c>
      <c r="LY50" s="388">
        <v>0</v>
      </c>
      <c r="LZ50" s="388">
        <f t="shared" si="468"/>
        <v>0</v>
      </c>
      <c r="MA50" s="388">
        <v>0</v>
      </c>
      <c r="MB50" s="388">
        <v>0</v>
      </c>
      <c r="MC50" s="388">
        <f t="shared" si="469"/>
        <v>0</v>
      </c>
      <c r="MD50" s="388">
        <v>0</v>
      </c>
      <c r="ME50" s="388">
        <v>0</v>
      </c>
      <c r="MF50" s="388">
        <f t="shared" si="470"/>
        <v>0</v>
      </c>
      <c r="MG50" s="388">
        <v>0</v>
      </c>
      <c r="MH50" s="388">
        <v>0</v>
      </c>
      <c r="MI50" s="388">
        <f t="shared" si="471"/>
        <v>0</v>
      </c>
      <c r="MJ50" s="388">
        <v>0</v>
      </c>
      <c r="MK50" s="388">
        <v>0</v>
      </c>
      <c r="ML50" s="388">
        <f t="shared" si="472"/>
        <v>0</v>
      </c>
      <c r="MM50" s="388">
        <v>0</v>
      </c>
      <c r="MN50" s="388">
        <v>0</v>
      </c>
      <c r="MO50" s="388">
        <f t="shared" si="473"/>
        <v>0</v>
      </c>
      <c r="MP50" s="388">
        <v>0</v>
      </c>
      <c r="MQ50" s="388">
        <v>0</v>
      </c>
      <c r="MR50" s="388">
        <f t="shared" si="474"/>
        <v>0</v>
      </c>
      <c r="MS50" s="388">
        <v>0</v>
      </c>
      <c r="MT50" s="388">
        <v>0</v>
      </c>
      <c r="MU50" s="388">
        <f t="shared" si="475"/>
        <v>0</v>
      </c>
      <c r="MV50" s="388">
        <v>0</v>
      </c>
      <c r="MW50" s="388">
        <v>0</v>
      </c>
      <c r="MX50" s="388">
        <f t="shared" si="476"/>
        <v>0</v>
      </c>
      <c r="MY50" s="388">
        <v>0</v>
      </c>
      <c r="MZ50" s="388">
        <v>0</v>
      </c>
      <c r="NA50" s="562">
        <f t="shared" si="477"/>
        <v>0</v>
      </c>
      <c r="NB50" s="388">
        <v>0</v>
      </c>
      <c r="NC50" s="388">
        <v>0</v>
      </c>
      <c r="ND50" s="560">
        <f t="shared" si="478"/>
        <v>0</v>
      </c>
      <c r="NE50" s="559">
        <f>SUM(C50,F50,I50,L50,O50,R50,U50,X50,AA50,AD50,AG50,AJ50,AM50,AP50,AS50,AV50,AY50,BB50,BE50,BH50,BK50,BN50,BQ50,BT50,BW50,BZ50,CC50,CF50,CI50,CL50,CO50,CR50,CU50,CX50,DA50,DD50,DG50,DJ50,DM50,DP50,DS50,DV50,DY50,EB50,EE50,EH50,EK50,EN50,EQ50,ET50,EW50,EZ50,FC50,FF50,FI50,FL50,FO50,FR50,FU50,FX50,GA50,GD50,GG50,GJ50,GM50,GP50,GS50,GV50,GY50,HB50,HE50,HH50,HK50,HN50,HQ50,HT50,HW50,HZ50,IC50,IF50,II50,IL50,IO50,IR50,IU50,IX50,JA50,JD50,JG50,JJ50,JM50,JP50,JS50,JV50,JY50,KB50,KE50,KH50,KK50,KN50,KQ50,KT50,KW50,KZ50,LC50,LF50,LI50,LL50,LO50,LR50,LU50,LX50,MA50,MD50,MG50,MJ50,MM50,MP50,MS50,MV50,MY50)</f>
        <v>24010</v>
      </c>
      <c r="NF50" s="388">
        <f>SUM(D50,G50,J50,M50,P50,S50,V50,Y50,AB50,AE50,AH50,AK50,AN50,AQ50,AT50,AW50,AZ50,BC50,BF50,BI50,BL50,BO50,BR50,BU50,BX50,CA50,CD50,CG50,CJ50,CM50,CP50,CS50,CV50,CY50,DB50,DE50,DH50,DK50,DN50,DQ50,DT50,DW50,DZ50,EC50,EF50,EI50,EL50,EO50,ER50,EU50,EX50,FA50,FD50,FG50,FJ50,FM50,FP50,FS50,FV50,FY50,GB50,GE50,GH50,GK50,GN50,GQ50,GT50,GW50,GZ50,HC50,HF50,HI50,HL50,HO50,HR50,HU50,HX50,IA50,ID50,IG50,IJ50,IM50,IP50,IS50,IV50,IY50,JB50,JE50,JH50,JK50,JN50,JQ50,JT50,JW50,JZ50,KC50,KF50,KI50,KL50,KO50,KR50,KU50,KX50,LA50,LD50,LG50,LJ50,LM50,LP50,LS50,LV50,LY50,MB50,ME50,MH50,MK50,MN50,MQ50,MT50,MW50,MZ50)</f>
        <v>24276</v>
      </c>
      <c r="NG50" s="560">
        <f t="shared" si="480"/>
        <v>48286</v>
      </c>
      <c r="NH50" s="559">
        <f t="shared" si="481"/>
        <v>1673</v>
      </c>
      <c r="NI50" s="388">
        <f t="shared" si="481"/>
        <v>1657</v>
      </c>
      <c r="NJ50" s="560">
        <f t="shared" si="482"/>
        <v>3330</v>
      </c>
    </row>
    <row r="51" spans="1:374" x14ac:dyDescent="0.3">
      <c r="A51" s="558" t="s">
        <v>294</v>
      </c>
      <c r="B51" s="592" t="s">
        <v>100</v>
      </c>
      <c r="C51" s="561">
        <v>164</v>
      </c>
      <c r="D51" s="388">
        <v>132</v>
      </c>
      <c r="E51" s="388">
        <f t="shared" si="357"/>
        <v>296</v>
      </c>
      <c r="F51" s="388">
        <v>221</v>
      </c>
      <c r="G51" s="388">
        <v>175</v>
      </c>
      <c r="H51" s="388">
        <f t="shared" si="358"/>
        <v>396</v>
      </c>
      <c r="I51" s="388">
        <v>248</v>
      </c>
      <c r="J51" s="388">
        <v>215</v>
      </c>
      <c r="K51" s="388">
        <f t="shared" si="359"/>
        <v>463</v>
      </c>
      <c r="L51" s="388">
        <v>262</v>
      </c>
      <c r="M51" s="388">
        <v>235</v>
      </c>
      <c r="N51" s="388">
        <f t="shared" si="360"/>
        <v>497</v>
      </c>
      <c r="O51" s="388">
        <v>286</v>
      </c>
      <c r="P51" s="388">
        <v>250</v>
      </c>
      <c r="Q51" s="388">
        <f t="shared" si="361"/>
        <v>536</v>
      </c>
      <c r="R51" s="388">
        <v>281</v>
      </c>
      <c r="S51" s="388">
        <v>281</v>
      </c>
      <c r="T51" s="388">
        <f t="shared" si="362"/>
        <v>562</v>
      </c>
      <c r="U51" s="388">
        <v>344</v>
      </c>
      <c r="V51" s="388">
        <v>307</v>
      </c>
      <c r="W51" s="388">
        <f t="shared" si="363"/>
        <v>651</v>
      </c>
      <c r="X51" s="388">
        <v>334</v>
      </c>
      <c r="Y51" s="388">
        <v>319</v>
      </c>
      <c r="Z51" s="388">
        <f t="shared" si="364"/>
        <v>653</v>
      </c>
      <c r="AA51" s="388">
        <v>317</v>
      </c>
      <c r="AB51" s="388">
        <v>275</v>
      </c>
      <c r="AC51" s="388">
        <f t="shared" si="365"/>
        <v>592</v>
      </c>
      <c r="AD51" s="388">
        <v>288</v>
      </c>
      <c r="AE51" s="388">
        <v>284</v>
      </c>
      <c r="AF51" s="388">
        <f t="shared" si="366"/>
        <v>572</v>
      </c>
      <c r="AG51" s="388">
        <v>312</v>
      </c>
      <c r="AH51" s="388">
        <v>236</v>
      </c>
      <c r="AI51" s="388">
        <f t="shared" si="367"/>
        <v>548</v>
      </c>
      <c r="AJ51" s="388">
        <v>313</v>
      </c>
      <c r="AK51" s="388">
        <v>269</v>
      </c>
      <c r="AL51" s="388">
        <f t="shared" si="368"/>
        <v>582</v>
      </c>
      <c r="AM51" s="388">
        <v>287</v>
      </c>
      <c r="AN51" s="388">
        <v>260</v>
      </c>
      <c r="AO51" s="388">
        <f t="shared" si="369"/>
        <v>547</v>
      </c>
      <c r="AP51" s="388">
        <v>315</v>
      </c>
      <c r="AQ51" s="388">
        <v>279</v>
      </c>
      <c r="AR51" s="388">
        <f t="shared" si="370"/>
        <v>594</v>
      </c>
      <c r="AS51" s="388">
        <v>276</v>
      </c>
      <c r="AT51" s="388">
        <v>271</v>
      </c>
      <c r="AU51" s="388">
        <f t="shared" si="371"/>
        <v>547</v>
      </c>
      <c r="AV51" s="388">
        <v>294</v>
      </c>
      <c r="AW51" s="388">
        <v>261</v>
      </c>
      <c r="AX51" s="388">
        <f t="shared" si="372"/>
        <v>555</v>
      </c>
      <c r="AY51" s="388">
        <v>260</v>
      </c>
      <c r="AZ51" s="388">
        <v>246</v>
      </c>
      <c r="BA51" s="388">
        <f t="shared" si="373"/>
        <v>506</v>
      </c>
      <c r="BB51" s="388">
        <v>267</v>
      </c>
      <c r="BC51" s="388">
        <v>231</v>
      </c>
      <c r="BD51" s="388">
        <f t="shared" si="374"/>
        <v>498</v>
      </c>
      <c r="BE51" s="388">
        <v>285</v>
      </c>
      <c r="BF51" s="388">
        <v>283</v>
      </c>
      <c r="BG51" s="388">
        <f t="shared" si="375"/>
        <v>568</v>
      </c>
      <c r="BH51" s="388">
        <v>288</v>
      </c>
      <c r="BI51" s="388">
        <v>259</v>
      </c>
      <c r="BJ51" s="388">
        <f t="shared" si="376"/>
        <v>547</v>
      </c>
      <c r="BK51" s="388">
        <v>269</v>
      </c>
      <c r="BL51" s="388">
        <v>293</v>
      </c>
      <c r="BM51" s="388">
        <f t="shared" si="377"/>
        <v>562</v>
      </c>
      <c r="BN51" s="388">
        <v>291</v>
      </c>
      <c r="BO51" s="388">
        <v>252</v>
      </c>
      <c r="BP51" s="388">
        <f t="shared" si="378"/>
        <v>543</v>
      </c>
      <c r="BQ51" s="388">
        <v>292</v>
      </c>
      <c r="BR51" s="388">
        <v>261</v>
      </c>
      <c r="BS51" s="388">
        <f t="shared" si="379"/>
        <v>553</v>
      </c>
      <c r="BT51" s="388">
        <v>290</v>
      </c>
      <c r="BU51" s="388">
        <v>275</v>
      </c>
      <c r="BV51" s="388">
        <f t="shared" si="380"/>
        <v>565</v>
      </c>
      <c r="BW51" s="388">
        <v>283</v>
      </c>
      <c r="BX51" s="388">
        <v>287</v>
      </c>
      <c r="BY51" s="388">
        <f t="shared" si="381"/>
        <v>570</v>
      </c>
      <c r="BZ51" s="388">
        <v>310</v>
      </c>
      <c r="CA51" s="388">
        <v>301</v>
      </c>
      <c r="CB51" s="388">
        <f t="shared" si="382"/>
        <v>611</v>
      </c>
      <c r="CC51" s="388">
        <v>331</v>
      </c>
      <c r="CD51" s="388">
        <v>304</v>
      </c>
      <c r="CE51" s="388">
        <f t="shared" si="383"/>
        <v>635</v>
      </c>
      <c r="CF51" s="388">
        <v>292</v>
      </c>
      <c r="CG51" s="388">
        <v>274</v>
      </c>
      <c r="CH51" s="388">
        <f t="shared" si="384"/>
        <v>566</v>
      </c>
      <c r="CI51" s="388">
        <v>336</v>
      </c>
      <c r="CJ51" s="388">
        <v>308</v>
      </c>
      <c r="CK51" s="388">
        <f t="shared" si="385"/>
        <v>644</v>
      </c>
      <c r="CL51" s="388">
        <v>314</v>
      </c>
      <c r="CM51" s="388">
        <v>305</v>
      </c>
      <c r="CN51" s="388">
        <f t="shared" si="386"/>
        <v>619</v>
      </c>
      <c r="CO51" s="388">
        <v>314</v>
      </c>
      <c r="CP51" s="388">
        <v>352</v>
      </c>
      <c r="CQ51" s="388">
        <f t="shared" si="387"/>
        <v>666</v>
      </c>
      <c r="CR51" s="388">
        <v>309</v>
      </c>
      <c r="CS51" s="388">
        <v>333</v>
      </c>
      <c r="CT51" s="388">
        <f t="shared" si="388"/>
        <v>642</v>
      </c>
      <c r="CU51" s="388">
        <v>343</v>
      </c>
      <c r="CV51" s="388">
        <v>336</v>
      </c>
      <c r="CW51" s="388">
        <f t="shared" si="389"/>
        <v>679</v>
      </c>
      <c r="CX51" s="388">
        <v>308</v>
      </c>
      <c r="CY51" s="388">
        <v>318</v>
      </c>
      <c r="CZ51" s="388">
        <f t="shared" si="390"/>
        <v>626</v>
      </c>
      <c r="DA51" s="388">
        <v>305</v>
      </c>
      <c r="DB51" s="388">
        <v>319</v>
      </c>
      <c r="DC51" s="388">
        <f t="shared" si="391"/>
        <v>624</v>
      </c>
      <c r="DD51" s="388">
        <v>292</v>
      </c>
      <c r="DE51" s="388">
        <v>300</v>
      </c>
      <c r="DF51" s="388">
        <f t="shared" si="392"/>
        <v>592</v>
      </c>
      <c r="DG51" s="388">
        <v>299</v>
      </c>
      <c r="DH51" s="388">
        <v>330</v>
      </c>
      <c r="DI51" s="388">
        <f t="shared" si="393"/>
        <v>629</v>
      </c>
      <c r="DJ51" s="388">
        <v>303</v>
      </c>
      <c r="DK51" s="388">
        <v>317</v>
      </c>
      <c r="DL51" s="388">
        <f t="shared" si="394"/>
        <v>620</v>
      </c>
      <c r="DM51" s="388">
        <v>316</v>
      </c>
      <c r="DN51" s="388">
        <v>308</v>
      </c>
      <c r="DO51" s="388">
        <f t="shared" si="395"/>
        <v>624</v>
      </c>
      <c r="DP51" s="388">
        <v>327</v>
      </c>
      <c r="DQ51" s="388">
        <v>308</v>
      </c>
      <c r="DR51" s="388">
        <f t="shared" si="396"/>
        <v>635</v>
      </c>
      <c r="DS51" s="388">
        <v>319</v>
      </c>
      <c r="DT51" s="388">
        <v>312</v>
      </c>
      <c r="DU51" s="388">
        <f t="shared" si="397"/>
        <v>631</v>
      </c>
      <c r="DV51" s="388">
        <v>302</v>
      </c>
      <c r="DW51" s="388">
        <v>294</v>
      </c>
      <c r="DX51" s="388">
        <f t="shared" si="398"/>
        <v>596</v>
      </c>
      <c r="DY51" s="388">
        <v>321</v>
      </c>
      <c r="DZ51" s="388">
        <v>313</v>
      </c>
      <c r="EA51" s="388">
        <f t="shared" si="399"/>
        <v>634</v>
      </c>
      <c r="EB51" s="388">
        <v>311</v>
      </c>
      <c r="EC51" s="388">
        <v>309</v>
      </c>
      <c r="ED51" s="388">
        <f t="shared" si="400"/>
        <v>620</v>
      </c>
      <c r="EE51" s="388">
        <v>318</v>
      </c>
      <c r="EF51" s="388">
        <v>281</v>
      </c>
      <c r="EG51" s="388">
        <f t="shared" si="401"/>
        <v>599</v>
      </c>
      <c r="EH51" s="388">
        <v>258</v>
      </c>
      <c r="EI51" s="388">
        <v>300</v>
      </c>
      <c r="EJ51" s="388">
        <f t="shared" si="402"/>
        <v>558</v>
      </c>
      <c r="EK51" s="388">
        <v>260</v>
      </c>
      <c r="EL51" s="388">
        <v>304</v>
      </c>
      <c r="EM51" s="388">
        <f t="shared" si="403"/>
        <v>564</v>
      </c>
      <c r="EN51" s="388">
        <v>273</v>
      </c>
      <c r="EO51" s="388">
        <v>263</v>
      </c>
      <c r="EP51" s="388">
        <f t="shared" si="404"/>
        <v>536</v>
      </c>
      <c r="EQ51" s="388">
        <v>249</v>
      </c>
      <c r="ER51" s="388">
        <v>273</v>
      </c>
      <c r="ES51" s="388">
        <f t="shared" si="405"/>
        <v>522</v>
      </c>
      <c r="ET51" s="388">
        <v>261</v>
      </c>
      <c r="EU51" s="388">
        <v>273</v>
      </c>
      <c r="EV51" s="388">
        <f t="shared" si="406"/>
        <v>534</v>
      </c>
      <c r="EW51" s="388">
        <v>243</v>
      </c>
      <c r="EX51" s="388">
        <v>260</v>
      </c>
      <c r="EY51" s="388">
        <f t="shared" si="407"/>
        <v>503</v>
      </c>
      <c r="EZ51" s="388">
        <v>262</v>
      </c>
      <c r="FA51" s="388">
        <v>251</v>
      </c>
      <c r="FB51" s="388">
        <f t="shared" si="408"/>
        <v>513</v>
      </c>
      <c r="FC51" s="388">
        <v>203</v>
      </c>
      <c r="FD51" s="388">
        <v>262</v>
      </c>
      <c r="FE51" s="388">
        <f t="shared" si="409"/>
        <v>465</v>
      </c>
      <c r="FF51" s="388">
        <v>226</v>
      </c>
      <c r="FG51" s="388">
        <v>250</v>
      </c>
      <c r="FH51" s="388">
        <f t="shared" si="410"/>
        <v>476</v>
      </c>
      <c r="FI51" s="388">
        <v>237</v>
      </c>
      <c r="FJ51" s="388">
        <v>245</v>
      </c>
      <c r="FK51" s="388">
        <f t="shared" si="411"/>
        <v>482</v>
      </c>
      <c r="FL51" s="388">
        <v>206</v>
      </c>
      <c r="FM51" s="388">
        <v>254</v>
      </c>
      <c r="FN51" s="388">
        <f t="shared" si="412"/>
        <v>460</v>
      </c>
      <c r="FO51" s="388">
        <v>225</v>
      </c>
      <c r="FP51" s="388">
        <v>231</v>
      </c>
      <c r="FQ51" s="388">
        <f t="shared" si="413"/>
        <v>456</v>
      </c>
      <c r="FR51" s="388">
        <v>186</v>
      </c>
      <c r="FS51" s="388">
        <v>219</v>
      </c>
      <c r="FT51" s="388">
        <f t="shared" si="414"/>
        <v>405</v>
      </c>
      <c r="FU51" s="388">
        <v>208</v>
      </c>
      <c r="FV51" s="388">
        <v>228</v>
      </c>
      <c r="FW51" s="388">
        <f t="shared" si="415"/>
        <v>436</v>
      </c>
      <c r="FX51" s="388">
        <v>178</v>
      </c>
      <c r="FY51" s="388">
        <v>210</v>
      </c>
      <c r="FZ51" s="388">
        <f t="shared" si="416"/>
        <v>388</v>
      </c>
      <c r="GA51" s="388">
        <v>186</v>
      </c>
      <c r="GB51" s="388">
        <v>227</v>
      </c>
      <c r="GC51" s="388">
        <f t="shared" si="417"/>
        <v>413</v>
      </c>
      <c r="GD51" s="388">
        <v>190</v>
      </c>
      <c r="GE51" s="388">
        <v>212</v>
      </c>
      <c r="GF51" s="388">
        <f t="shared" si="418"/>
        <v>402</v>
      </c>
      <c r="GG51" s="388">
        <v>165</v>
      </c>
      <c r="GH51" s="388">
        <v>201</v>
      </c>
      <c r="GI51" s="388">
        <f t="shared" si="419"/>
        <v>366</v>
      </c>
      <c r="GJ51" s="388">
        <v>152</v>
      </c>
      <c r="GK51" s="388">
        <v>194</v>
      </c>
      <c r="GL51" s="388">
        <f t="shared" si="420"/>
        <v>346</v>
      </c>
      <c r="GM51" s="388">
        <v>158</v>
      </c>
      <c r="GN51" s="388">
        <v>206</v>
      </c>
      <c r="GO51" s="388">
        <f t="shared" si="421"/>
        <v>364</v>
      </c>
      <c r="GP51" s="388">
        <v>139</v>
      </c>
      <c r="GQ51" s="388">
        <v>183</v>
      </c>
      <c r="GR51" s="388">
        <f t="shared" si="422"/>
        <v>322</v>
      </c>
      <c r="GS51" s="388">
        <v>160</v>
      </c>
      <c r="GT51" s="388">
        <v>172</v>
      </c>
      <c r="GU51" s="388">
        <f t="shared" si="423"/>
        <v>332</v>
      </c>
      <c r="GV51" s="388">
        <v>139</v>
      </c>
      <c r="GW51" s="388">
        <v>195</v>
      </c>
      <c r="GX51" s="388">
        <f t="shared" si="424"/>
        <v>334</v>
      </c>
      <c r="GY51" s="388">
        <v>148</v>
      </c>
      <c r="GZ51" s="388">
        <v>143</v>
      </c>
      <c r="HA51" s="388">
        <f t="shared" si="425"/>
        <v>291</v>
      </c>
      <c r="HB51" s="388">
        <v>105</v>
      </c>
      <c r="HC51" s="388">
        <v>124</v>
      </c>
      <c r="HD51" s="388">
        <f t="shared" si="426"/>
        <v>229</v>
      </c>
      <c r="HE51" s="388">
        <v>129</v>
      </c>
      <c r="HF51" s="388">
        <v>126</v>
      </c>
      <c r="HG51" s="388">
        <f t="shared" si="427"/>
        <v>255</v>
      </c>
      <c r="HH51" s="388">
        <v>109</v>
      </c>
      <c r="HI51" s="388">
        <v>100</v>
      </c>
      <c r="HJ51" s="388">
        <f t="shared" si="428"/>
        <v>209</v>
      </c>
      <c r="HK51" s="388">
        <v>88</v>
      </c>
      <c r="HL51" s="388">
        <v>87</v>
      </c>
      <c r="HM51" s="388">
        <f t="shared" si="429"/>
        <v>175</v>
      </c>
      <c r="HN51" s="388">
        <v>75</v>
      </c>
      <c r="HO51" s="388">
        <v>88</v>
      </c>
      <c r="HP51" s="388">
        <f t="shared" si="430"/>
        <v>163</v>
      </c>
      <c r="HQ51" s="388">
        <v>74</v>
      </c>
      <c r="HR51" s="388">
        <v>61</v>
      </c>
      <c r="HS51" s="388">
        <f t="shared" si="431"/>
        <v>135</v>
      </c>
      <c r="HT51" s="388">
        <v>62</v>
      </c>
      <c r="HU51" s="388">
        <v>58</v>
      </c>
      <c r="HV51" s="388">
        <f t="shared" si="432"/>
        <v>120</v>
      </c>
      <c r="HW51" s="388">
        <v>58</v>
      </c>
      <c r="HX51" s="388">
        <v>52</v>
      </c>
      <c r="HY51" s="388">
        <f t="shared" si="433"/>
        <v>110</v>
      </c>
      <c r="HZ51" s="388">
        <v>39</v>
      </c>
      <c r="IA51" s="388">
        <v>44</v>
      </c>
      <c r="IB51" s="388">
        <f t="shared" si="434"/>
        <v>83</v>
      </c>
      <c r="IC51" s="388">
        <v>32</v>
      </c>
      <c r="ID51" s="388">
        <v>29</v>
      </c>
      <c r="IE51" s="388">
        <f t="shared" si="435"/>
        <v>61</v>
      </c>
      <c r="IF51" s="388">
        <v>21</v>
      </c>
      <c r="IG51" s="388">
        <v>29</v>
      </c>
      <c r="IH51" s="388">
        <f t="shared" si="436"/>
        <v>50</v>
      </c>
      <c r="II51" s="388">
        <v>21</v>
      </c>
      <c r="IJ51" s="388">
        <v>23</v>
      </c>
      <c r="IK51" s="388">
        <f t="shared" si="437"/>
        <v>44</v>
      </c>
      <c r="IL51" s="388">
        <v>15</v>
      </c>
      <c r="IM51" s="388">
        <v>19</v>
      </c>
      <c r="IN51" s="388">
        <f t="shared" si="438"/>
        <v>34</v>
      </c>
      <c r="IO51" s="388">
        <v>22</v>
      </c>
      <c r="IP51" s="388">
        <v>16</v>
      </c>
      <c r="IQ51" s="388">
        <f t="shared" si="439"/>
        <v>38</v>
      </c>
      <c r="IR51" s="388">
        <v>12</v>
      </c>
      <c r="IS51" s="388">
        <v>11</v>
      </c>
      <c r="IT51" s="388">
        <f t="shared" si="440"/>
        <v>23</v>
      </c>
      <c r="IU51" s="388">
        <v>16</v>
      </c>
      <c r="IV51" s="388">
        <v>17</v>
      </c>
      <c r="IW51" s="388">
        <f t="shared" si="441"/>
        <v>33</v>
      </c>
      <c r="IX51" s="388">
        <v>9</v>
      </c>
      <c r="IY51" s="388">
        <v>17</v>
      </c>
      <c r="IZ51" s="388">
        <f t="shared" si="442"/>
        <v>26</v>
      </c>
      <c r="JA51" s="388">
        <v>13</v>
      </c>
      <c r="JB51" s="388">
        <v>7</v>
      </c>
      <c r="JC51" s="388">
        <f t="shared" si="443"/>
        <v>20</v>
      </c>
      <c r="JD51" s="388">
        <v>5</v>
      </c>
      <c r="JE51" s="388">
        <v>15</v>
      </c>
      <c r="JF51" s="388">
        <f t="shared" si="444"/>
        <v>20</v>
      </c>
      <c r="JG51" s="388">
        <v>2</v>
      </c>
      <c r="JH51" s="388">
        <v>10</v>
      </c>
      <c r="JI51" s="388">
        <f t="shared" si="445"/>
        <v>12</v>
      </c>
      <c r="JJ51" s="388">
        <v>4</v>
      </c>
      <c r="JK51" s="388">
        <v>5</v>
      </c>
      <c r="JL51" s="388">
        <f t="shared" si="446"/>
        <v>9</v>
      </c>
      <c r="JM51" s="388">
        <v>2</v>
      </c>
      <c r="JN51" s="388">
        <v>7</v>
      </c>
      <c r="JO51" s="388">
        <f t="shared" si="447"/>
        <v>9</v>
      </c>
      <c r="JP51" s="388">
        <v>2</v>
      </c>
      <c r="JQ51" s="388">
        <v>4</v>
      </c>
      <c r="JR51" s="388">
        <f t="shared" si="448"/>
        <v>6</v>
      </c>
      <c r="JS51" s="388">
        <v>3</v>
      </c>
      <c r="JT51" s="388">
        <v>5</v>
      </c>
      <c r="JU51" s="388">
        <f t="shared" si="449"/>
        <v>8</v>
      </c>
      <c r="JV51" s="388">
        <v>2</v>
      </c>
      <c r="JW51" s="388">
        <v>2</v>
      </c>
      <c r="JX51" s="388">
        <f t="shared" si="450"/>
        <v>4</v>
      </c>
      <c r="JY51" s="388">
        <v>0</v>
      </c>
      <c r="JZ51" s="388">
        <v>1</v>
      </c>
      <c r="KA51" s="388">
        <f t="shared" si="451"/>
        <v>1</v>
      </c>
      <c r="KB51" s="388">
        <v>0</v>
      </c>
      <c r="KC51" s="388">
        <v>1</v>
      </c>
      <c r="KD51" s="388">
        <f t="shared" si="452"/>
        <v>1</v>
      </c>
      <c r="KE51" s="388">
        <v>0</v>
      </c>
      <c r="KF51" s="388">
        <v>0</v>
      </c>
      <c r="KG51" s="388">
        <f t="shared" si="453"/>
        <v>0</v>
      </c>
      <c r="KH51" s="388">
        <v>0</v>
      </c>
      <c r="KI51" s="388">
        <v>0</v>
      </c>
      <c r="KJ51" s="388">
        <f t="shared" si="454"/>
        <v>0</v>
      </c>
      <c r="KK51" s="388">
        <v>0</v>
      </c>
      <c r="KL51" s="388">
        <v>0</v>
      </c>
      <c r="KM51" s="388">
        <f t="shared" si="455"/>
        <v>0</v>
      </c>
      <c r="KN51" s="388">
        <v>0</v>
      </c>
      <c r="KO51" s="388">
        <v>2</v>
      </c>
      <c r="KP51" s="388">
        <f t="shared" si="456"/>
        <v>2</v>
      </c>
      <c r="KQ51" s="388">
        <v>0</v>
      </c>
      <c r="KR51" s="388">
        <v>0</v>
      </c>
      <c r="KS51" s="388">
        <f t="shared" si="457"/>
        <v>0</v>
      </c>
      <c r="KT51" s="388">
        <v>0</v>
      </c>
      <c r="KU51" s="388">
        <v>0</v>
      </c>
      <c r="KV51" s="388">
        <f t="shared" si="458"/>
        <v>0</v>
      </c>
      <c r="KW51" s="388">
        <v>0</v>
      </c>
      <c r="KX51" s="388">
        <v>0</v>
      </c>
      <c r="KY51" s="388">
        <f t="shared" si="459"/>
        <v>0</v>
      </c>
      <c r="KZ51" s="388">
        <v>0</v>
      </c>
      <c r="LA51" s="388">
        <v>0</v>
      </c>
      <c r="LB51" s="388">
        <f t="shared" si="460"/>
        <v>0</v>
      </c>
      <c r="LC51" s="388">
        <v>0</v>
      </c>
      <c r="LD51" s="388">
        <v>0</v>
      </c>
      <c r="LE51" s="388">
        <f t="shared" si="461"/>
        <v>0</v>
      </c>
      <c r="LF51" s="388">
        <v>0</v>
      </c>
      <c r="LG51" s="388">
        <v>0</v>
      </c>
      <c r="LH51" s="388">
        <f t="shared" si="462"/>
        <v>0</v>
      </c>
      <c r="LI51" s="388">
        <v>0</v>
      </c>
      <c r="LJ51" s="388">
        <v>0</v>
      </c>
      <c r="LK51" s="388">
        <f t="shared" si="463"/>
        <v>0</v>
      </c>
      <c r="LL51" s="388">
        <v>0</v>
      </c>
      <c r="LM51" s="388">
        <v>0</v>
      </c>
      <c r="LN51" s="388">
        <f t="shared" si="464"/>
        <v>0</v>
      </c>
      <c r="LO51" s="388">
        <v>0</v>
      </c>
      <c r="LP51" s="388">
        <v>0</v>
      </c>
      <c r="LQ51" s="388">
        <f t="shared" si="465"/>
        <v>0</v>
      </c>
      <c r="LR51" s="388">
        <v>0</v>
      </c>
      <c r="LS51" s="388">
        <v>0</v>
      </c>
      <c r="LT51" s="388">
        <f t="shared" si="466"/>
        <v>0</v>
      </c>
      <c r="LU51" s="388">
        <v>0</v>
      </c>
      <c r="LV51" s="388">
        <v>0</v>
      </c>
      <c r="LW51" s="388">
        <f t="shared" si="467"/>
        <v>0</v>
      </c>
      <c r="LX51" s="388">
        <v>0</v>
      </c>
      <c r="LY51" s="388">
        <v>0</v>
      </c>
      <c r="LZ51" s="388">
        <f t="shared" si="468"/>
        <v>0</v>
      </c>
      <c r="MA51" s="388">
        <v>0</v>
      </c>
      <c r="MB51" s="388">
        <v>0</v>
      </c>
      <c r="MC51" s="388">
        <f t="shared" si="469"/>
        <v>0</v>
      </c>
      <c r="MD51" s="388">
        <v>0</v>
      </c>
      <c r="ME51" s="388">
        <v>0</v>
      </c>
      <c r="MF51" s="388">
        <f t="shared" si="470"/>
        <v>0</v>
      </c>
      <c r="MG51" s="388">
        <v>0</v>
      </c>
      <c r="MH51" s="388">
        <v>0</v>
      </c>
      <c r="MI51" s="388">
        <f t="shared" si="471"/>
        <v>0</v>
      </c>
      <c r="MJ51" s="388">
        <v>0</v>
      </c>
      <c r="MK51" s="388">
        <v>0</v>
      </c>
      <c r="ML51" s="388">
        <f t="shared" si="472"/>
        <v>0</v>
      </c>
      <c r="MM51" s="388">
        <v>0</v>
      </c>
      <c r="MN51" s="388">
        <v>0</v>
      </c>
      <c r="MO51" s="388">
        <f t="shared" si="473"/>
        <v>0</v>
      </c>
      <c r="MP51" s="388">
        <v>0</v>
      </c>
      <c r="MQ51" s="388">
        <v>0</v>
      </c>
      <c r="MR51" s="388">
        <f t="shared" si="474"/>
        <v>0</v>
      </c>
      <c r="MS51" s="388">
        <v>0</v>
      </c>
      <c r="MT51" s="388">
        <v>0</v>
      </c>
      <c r="MU51" s="388">
        <f t="shared" si="475"/>
        <v>0</v>
      </c>
      <c r="MV51" s="388">
        <v>0</v>
      </c>
      <c r="MW51" s="388">
        <v>0</v>
      </c>
      <c r="MX51" s="388">
        <f t="shared" si="476"/>
        <v>0</v>
      </c>
      <c r="MY51" s="388">
        <v>0</v>
      </c>
      <c r="MZ51" s="388">
        <v>0</v>
      </c>
      <c r="NA51" s="562">
        <f t="shared" si="477"/>
        <v>0</v>
      </c>
      <c r="NB51" s="388">
        <v>0</v>
      </c>
      <c r="NC51" s="388">
        <v>0</v>
      </c>
      <c r="ND51" s="560">
        <f t="shared" si="478"/>
        <v>0</v>
      </c>
      <c r="NE51" s="559">
        <f t="shared" ref="NE51:NF54" si="488">SUM(C51,F51,I51,L51,O51,R51,U51,X51,AA51,AD51,AG51,AJ51,AM51,AP51,AS51,AV51,AY51,BB51,BE51,BH51,BK51,BN51,BQ51,BT51,BW51,BZ51,CC51,CF51,CI51,CL51,CO51,CR51,CU51,CX51,DA51,DD51,DG51,DJ51,DM51,DP51,DS51,DV51,DY51,EB51,EE51,EH51,EK51,EN51,EQ51,ET51,EW51,EZ51,FC51,FF51,FI51,FL51,FO51,FR51,FU51,FX51,GA51,GD51,GG51,GJ51,GM51,GP51,GS51,GV51,GY51,HB51,HE51,HH51,HK51,HN51,HQ51,HT51,HW51,HZ51,IC51,IF51,II51,IL51,IO51,IR51,IU51,IX51,JA51,JD51,JG51,JJ51,JM51,JP51,JS51,JV51,JY51,KB51,KE51,KH51,KK51,KN51,KQ51,KT51,KW51,KZ51,LC51,LF51,LI51,LL51,LO51,LR51,LU51,LX51,MA51,MD51,MG51,MJ51,MM51,MP51,MS51,MV51,MY51)</f>
        <v>19169</v>
      </c>
      <c r="NF51" s="388">
        <f t="shared" si="488"/>
        <v>19174</v>
      </c>
      <c r="NG51" s="560">
        <f t="shared" si="480"/>
        <v>38343</v>
      </c>
      <c r="NH51" s="559">
        <f t="shared" si="481"/>
        <v>1462</v>
      </c>
      <c r="NI51" s="388">
        <f t="shared" si="481"/>
        <v>1288</v>
      </c>
      <c r="NJ51" s="560">
        <f t="shared" si="482"/>
        <v>2750</v>
      </c>
    </row>
    <row r="52" spans="1:374" x14ac:dyDescent="0.3">
      <c r="A52" s="558" t="s">
        <v>295</v>
      </c>
      <c r="B52" s="592" t="s">
        <v>103</v>
      </c>
      <c r="C52" s="561">
        <v>239</v>
      </c>
      <c r="D52" s="388">
        <v>231</v>
      </c>
      <c r="E52" s="388">
        <f t="shared" si="357"/>
        <v>470</v>
      </c>
      <c r="F52" s="388">
        <v>306</v>
      </c>
      <c r="G52" s="388">
        <v>302</v>
      </c>
      <c r="H52" s="388">
        <f t="shared" si="358"/>
        <v>608</v>
      </c>
      <c r="I52" s="388">
        <v>338</v>
      </c>
      <c r="J52" s="388">
        <v>358</v>
      </c>
      <c r="K52" s="388">
        <f t="shared" si="359"/>
        <v>696</v>
      </c>
      <c r="L52" s="388">
        <v>395</v>
      </c>
      <c r="M52" s="388">
        <v>415</v>
      </c>
      <c r="N52" s="388">
        <f t="shared" si="360"/>
        <v>810</v>
      </c>
      <c r="O52" s="388">
        <v>418</v>
      </c>
      <c r="P52" s="388">
        <v>456</v>
      </c>
      <c r="Q52" s="388">
        <f t="shared" si="361"/>
        <v>874</v>
      </c>
      <c r="R52" s="388">
        <v>541</v>
      </c>
      <c r="S52" s="388">
        <v>413</v>
      </c>
      <c r="T52" s="388">
        <f t="shared" si="362"/>
        <v>954</v>
      </c>
      <c r="U52" s="388">
        <v>571</v>
      </c>
      <c r="V52" s="388">
        <v>518</v>
      </c>
      <c r="W52" s="388">
        <f t="shared" si="363"/>
        <v>1089</v>
      </c>
      <c r="X52" s="388">
        <v>597</v>
      </c>
      <c r="Y52" s="388">
        <v>523</v>
      </c>
      <c r="Z52" s="388">
        <f t="shared" si="364"/>
        <v>1120</v>
      </c>
      <c r="AA52" s="388">
        <v>581</v>
      </c>
      <c r="AB52" s="388">
        <v>518</v>
      </c>
      <c r="AC52" s="388">
        <f t="shared" si="365"/>
        <v>1099</v>
      </c>
      <c r="AD52" s="388">
        <v>518</v>
      </c>
      <c r="AE52" s="388">
        <v>458</v>
      </c>
      <c r="AF52" s="388">
        <f t="shared" si="366"/>
        <v>976</v>
      </c>
      <c r="AG52" s="388">
        <v>528</v>
      </c>
      <c r="AH52" s="388">
        <v>471</v>
      </c>
      <c r="AI52" s="388">
        <f t="shared" si="367"/>
        <v>999</v>
      </c>
      <c r="AJ52" s="388">
        <v>533</v>
      </c>
      <c r="AK52" s="388">
        <v>488</v>
      </c>
      <c r="AL52" s="388">
        <f t="shared" si="368"/>
        <v>1021</v>
      </c>
      <c r="AM52" s="388">
        <v>531</v>
      </c>
      <c r="AN52" s="388">
        <v>425</v>
      </c>
      <c r="AO52" s="388">
        <f t="shared" si="369"/>
        <v>956</v>
      </c>
      <c r="AP52" s="388">
        <v>514</v>
      </c>
      <c r="AQ52" s="388">
        <v>496</v>
      </c>
      <c r="AR52" s="388">
        <f t="shared" si="370"/>
        <v>1010</v>
      </c>
      <c r="AS52" s="388">
        <v>530</v>
      </c>
      <c r="AT52" s="388">
        <v>538</v>
      </c>
      <c r="AU52" s="388">
        <f t="shared" si="371"/>
        <v>1068</v>
      </c>
      <c r="AV52" s="388">
        <v>504</v>
      </c>
      <c r="AW52" s="388">
        <v>481</v>
      </c>
      <c r="AX52" s="388">
        <f t="shared" si="372"/>
        <v>985</v>
      </c>
      <c r="AY52" s="388">
        <v>517</v>
      </c>
      <c r="AZ52" s="388">
        <v>491</v>
      </c>
      <c r="BA52" s="388">
        <f t="shared" si="373"/>
        <v>1008</v>
      </c>
      <c r="BB52" s="388">
        <v>473</v>
      </c>
      <c r="BC52" s="388">
        <v>419</v>
      </c>
      <c r="BD52" s="388">
        <f t="shared" si="374"/>
        <v>892</v>
      </c>
      <c r="BE52" s="388">
        <v>494</v>
      </c>
      <c r="BF52" s="388">
        <v>467</v>
      </c>
      <c r="BG52" s="388">
        <f t="shared" si="375"/>
        <v>961</v>
      </c>
      <c r="BH52" s="388">
        <v>523</v>
      </c>
      <c r="BI52" s="388">
        <v>488</v>
      </c>
      <c r="BJ52" s="388">
        <f t="shared" si="376"/>
        <v>1011</v>
      </c>
      <c r="BK52" s="388">
        <v>491</v>
      </c>
      <c r="BL52" s="388">
        <v>445</v>
      </c>
      <c r="BM52" s="388">
        <f t="shared" si="377"/>
        <v>936</v>
      </c>
      <c r="BN52" s="388">
        <v>468</v>
      </c>
      <c r="BO52" s="388">
        <v>444</v>
      </c>
      <c r="BP52" s="388">
        <f t="shared" si="378"/>
        <v>912</v>
      </c>
      <c r="BQ52" s="388">
        <v>530</v>
      </c>
      <c r="BR52" s="388">
        <v>467</v>
      </c>
      <c r="BS52" s="388">
        <f t="shared" si="379"/>
        <v>997</v>
      </c>
      <c r="BT52" s="388">
        <v>559</v>
      </c>
      <c r="BU52" s="388">
        <v>494</v>
      </c>
      <c r="BV52" s="388">
        <f t="shared" si="380"/>
        <v>1053</v>
      </c>
      <c r="BW52" s="388">
        <v>477</v>
      </c>
      <c r="BX52" s="388">
        <v>459</v>
      </c>
      <c r="BY52" s="388">
        <f t="shared" si="381"/>
        <v>936</v>
      </c>
      <c r="BZ52" s="388">
        <v>517</v>
      </c>
      <c r="CA52" s="388">
        <v>510</v>
      </c>
      <c r="CB52" s="388">
        <f t="shared" si="382"/>
        <v>1027</v>
      </c>
      <c r="CC52" s="388">
        <v>466</v>
      </c>
      <c r="CD52" s="388">
        <v>522</v>
      </c>
      <c r="CE52" s="388">
        <f t="shared" si="383"/>
        <v>988</v>
      </c>
      <c r="CF52" s="388">
        <v>474</v>
      </c>
      <c r="CG52" s="388">
        <v>450</v>
      </c>
      <c r="CH52" s="388">
        <f t="shared" si="384"/>
        <v>924</v>
      </c>
      <c r="CI52" s="388">
        <v>509</v>
      </c>
      <c r="CJ52" s="388">
        <v>506</v>
      </c>
      <c r="CK52" s="388">
        <f t="shared" si="385"/>
        <v>1015</v>
      </c>
      <c r="CL52" s="388">
        <v>504</v>
      </c>
      <c r="CM52" s="388">
        <v>505</v>
      </c>
      <c r="CN52" s="388">
        <f t="shared" si="386"/>
        <v>1009</v>
      </c>
      <c r="CO52" s="388">
        <v>463</v>
      </c>
      <c r="CP52" s="388">
        <v>513</v>
      </c>
      <c r="CQ52" s="388">
        <f t="shared" si="387"/>
        <v>976</v>
      </c>
      <c r="CR52" s="388">
        <v>549</v>
      </c>
      <c r="CS52" s="388">
        <v>539</v>
      </c>
      <c r="CT52" s="388">
        <f t="shared" si="388"/>
        <v>1088</v>
      </c>
      <c r="CU52" s="388">
        <v>493</v>
      </c>
      <c r="CV52" s="388">
        <v>500</v>
      </c>
      <c r="CW52" s="388">
        <f t="shared" si="389"/>
        <v>993</v>
      </c>
      <c r="CX52" s="388">
        <v>511</v>
      </c>
      <c r="CY52" s="388">
        <v>509</v>
      </c>
      <c r="CZ52" s="388">
        <f t="shared" si="390"/>
        <v>1020</v>
      </c>
      <c r="DA52" s="388">
        <v>499</v>
      </c>
      <c r="DB52" s="388">
        <v>553</v>
      </c>
      <c r="DC52" s="388">
        <f t="shared" si="391"/>
        <v>1052</v>
      </c>
      <c r="DD52" s="388">
        <v>497</v>
      </c>
      <c r="DE52" s="388">
        <v>467</v>
      </c>
      <c r="DF52" s="388">
        <f t="shared" si="392"/>
        <v>964</v>
      </c>
      <c r="DG52" s="388">
        <v>468</v>
      </c>
      <c r="DH52" s="388">
        <v>467</v>
      </c>
      <c r="DI52" s="388">
        <f t="shared" si="393"/>
        <v>935</v>
      </c>
      <c r="DJ52" s="388">
        <v>458</v>
      </c>
      <c r="DK52" s="388">
        <v>507</v>
      </c>
      <c r="DL52" s="388">
        <f t="shared" si="394"/>
        <v>965</v>
      </c>
      <c r="DM52" s="388">
        <v>479</v>
      </c>
      <c r="DN52" s="388">
        <v>455</v>
      </c>
      <c r="DO52" s="388">
        <f t="shared" si="395"/>
        <v>934</v>
      </c>
      <c r="DP52" s="388">
        <v>472</v>
      </c>
      <c r="DQ52" s="388">
        <v>476</v>
      </c>
      <c r="DR52" s="388">
        <f t="shared" si="396"/>
        <v>948</v>
      </c>
      <c r="DS52" s="388">
        <v>481</v>
      </c>
      <c r="DT52" s="388">
        <v>480</v>
      </c>
      <c r="DU52" s="388">
        <f t="shared" si="397"/>
        <v>961</v>
      </c>
      <c r="DV52" s="388">
        <v>520</v>
      </c>
      <c r="DW52" s="388">
        <v>494</v>
      </c>
      <c r="DX52" s="388">
        <f t="shared" si="398"/>
        <v>1014</v>
      </c>
      <c r="DY52" s="388">
        <v>476</v>
      </c>
      <c r="DZ52" s="388">
        <v>488</v>
      </c>
      <c r="EA52" s="388">
        <f t="shared" si="399"/>
        <v>964</v>
      </c>
      <c r="EB52" s="388">
        <v>441</v>
      </c>
      <c r="EC52" s="388">
        <v>506</v>
      </c>
      <c r="ED52" s="388">
        <f t="shared" si="400"/>
        <v>947</v>
      </c>
      <c r="EE52" s="388">
        <v>473</v>
      </c>
      <c r="EF52" s="388">
        <v>525</v>
      </c>
      <c r="EG52" s="388">
        <f t="shared" si="401"/>
        <v>998</v>
      </c>
      <c r="EH52" s="388">
        <v>459</v>
      </c>
      <c r="EI52" s="388">
        <v>485</v>
      </c>
      <c r="EJ52" s="388">
        <f t="shared" si="402"/>
        <v>944</v>
      </c>
      <c r="EK52" s="388">
        <v>474</v>
      </c>
      <c r="EL52" s="388">
        <v>506</v>
      </c>
      <c r="EM52" s="388">
        <f t="shared" si="403"/>
        <v>980</v>
      </c>
      <c r="EN52" s="388">
        <v>488</v>
      </c>
      <c r="EO52" s="388">
        <v>486</v>
      </c>
      <c r="EP52" s="388">
        <f t="shared" si="404"/>
        <v>974</v>
      </c>
      <c r="EQ52" s="388">
        <v>429</v>
      </c>
      <c r="ER52" s="388">
        <v>480</v>
      </c>
      <c r="ES52" s="388">
        <f t="shared" si="405"/>
        <v>909</v>
      </c>
      <c r="ET52" s="388">
        <v>441</v>
      </c>
      <c r="EU52" s="388">
        <v>445</v>
      </c>
      <c r="EV52" s="388">
        <f t="shared" si="406"/>
        <v>886</v>
      </c>
      <c r="EW52" s="388">
        <v>426</v>
      </c>
      <c r="EX52" s="388">
        <v>446</v>
      </c>
      <c r="EY52" s="388">
        <f t="shared" si="407"/>
        <v>872</v>
      </c>
      <c r="EZ52" s="388">
        <v>395</v>
      </c>
      <c r="FA52" s="388">
        <v>431</v>
      </c>
      <c r="FB52" s="388">
        <f t="shared" si="408"/>
        <v>826</v>
      </c>
      <c r="FC52" s="388">
        <v>400</v>
      </c>
      <c r="FD52" s="388">
        <v>387</v>
      </c>
      <c r="FE52" s="388">
        <f t="shared" si="409"/>
        <v>787</v>
      </c>
      <c r="FF52" s="388">
        <v>408</v>
      </c>
      <c r="FG52" s="388">
        <v>415</v>
      </c>
      <c r="FH52" s="388">
        <f t="shared" si="410"/>
        <v>823</v>
      </c>
      <c r="FI52" s="388">
        <v>355</v>
      </c>
      <c r="FJ52" s="388">
        <v>401</v>
      </c>
      <c r="FK52" s="388">
        <f t="shared" si="411"/>
        <v>756</v>
      </c>
      <c r="FL52" s="388">
        <v>357</v>
      </c>
      <c r="FM52" s="388">
        <v>360</v>
      </c>
      <c r="FN52" s="388">
        <f t="shared" si="412"/>
        <v>717</v>
      </c>
      <c r="FO52" s="388">
        <v>318</v>
      </c>
      <c r="FP52" s="388">
        <v>398</v>
      </c>
      <c r="FQ52" s="388">
        <f t="shared" si="413"/>
        <v>716</v>
      </c>
      <c r="FR52" s="388">
        <v>345</v>
      </c>
      <c r="FS52" s="388">
        <v>342</v>
      </c>
      <c r="FT52" s="388">
        <f t="shared" si="414"/>
        <v>687</v>
      </c>
      <c r="FU52" s="388">
        <v>330</v>
      </c>
      <c r="FV52" s="388">
        <v>373</v>
      </c>
      <c r="FW52" s="388">
        <f t="shared" si="415"/>
        <v>703</v>
      </c>
      <c r="FX52" s="388">
        <v>253</v>
      </c>
      <c r="FY52" s="388">
        <v>288</v>
      </c>
      <c r="FZ52" s="388">
        <f t="shared" si="416"/>
        <v>541</v>
      </c>
      <c r="GA52" s="388">
        <v>301</v>
      </c>
      <c r="GB52" s="388">
        <v>308</v>
      </c>
      <c r="GC52" s="388">
        <f t="shared" si="417"/>
        <v>609</v>
      </c>
      <c r="GD52" s="388">
        <v>257</v>
      </c>
      <c r="GE52" s="388">
        <v>292</v>
      </c>
      <c r="GF52" s="388">
        <f t="shared" si="418"/>
        <v>549</v>
      </c>
      <c r="GG52" s="388">
        <v>256</v>
      </c>
      <c r="GH52" s="388">
        <v>321</v>
      </c>
      <c r="GI52" s="388">
        <f t="shared" si="419"/>
        <v>577</v>
      </c>
      <c r="GJ52" s="388">
        <v>212</v>
      </c>
      <c r="GK52" s="388">
        <v>300</v>
      </c>
      <c r="GL52" s="388">
        <f t="shared" si="420"/>
        <v>512</v>
      </c>
      <c r="GM52" s="388">
        <v>216</v>
      </c>
      <c r="GN52" s="388">
        <v>290</v>
      </c>
      <c r="GO52" s="388">
        <f t="shared" si="421"/>
        <v>506</v>
      </c>
      <c r="GP52" s="388">
        <v>223</v>
      </c>
      <c r="GQ52" s="388">
        <v>269</v>
      </c>
      <c r="GR52" s="388">
        <f t="shared" si="422"/>
        <v>492</v>
      </c>
      <c r="GS52" s="388">
        <v>222</v>
      </c>
      <c r="GT52" s="388">
        <v>230</v>
      </c>
      <c r="GU52" s="388">
        <f t="shared" si="423"/>
        <v>452</v>
      </c>
      <c r="GV52" s="388">
        <v>227</v>
      </c>
      <c r="GW52" s="388">
        <v>236</v>
      </c>
      <c r="GX52" s="388">
        <f t="shared" si="424"/>
        <v>463</v>
      </c>
      <c r="GY52" s="388">
        <v>187</v>
      </c>
      <c r="GZ52" s="388">
        <v>246</v>
      </c>
      <c r="HA52" s="388">
        <f t="shared" si="425"/>
        <v>433</v>
      </c>
      <c r="HB52" s="388">
        <v>177</v>
      </c>
      <c r="HC52" s="388">
        <v>197</v>
      </c>
      <c r="HD52" s="388">
        <f t="shared" si="426"/>
        <v>374</v>
      </c>
      <c r="HE52" s="388">
        <v>165</v>
      </c>
      <c r="HF52" s="388">
        <v>192</v>
      </c>
      <c r="HG52" s="388">
        <f t="shared" si="427"/>
        <v>357</v>
      </c>
      <c r="HH52" s="388">
        <v>146</v>
      </c>
      <c r="HI52" s="388">
        <v>165</v>
      </c>
      <c r="HJ52" s="388">
        <f t="shared" si="428"/>
        <v>311</v>
      </c>
      <c r="HK52" s="388">
        <v>161</v>
      </c>
      <c r="HL52" s="388">
        <v>142</v>
      </c>
      <c r="HM52" s="388">
        <f t="shared" si="429"/>
        <v>303</v>
      </c>
      <c r="HN52" s="388">
        <v>128</v>
      </c>
      <c r="HO52" s="388">
        <v>137</v>
      </c>
      <c r="HP52" s="388">
        <f t="shared" si="430"/>
        <v>265</v>
      </c>
      <c r="HQ52" s="388">
        <v>96</v>
      </c>
      <c r="HR52" s="388">
        <v>102</v>
      </c>
      <c r="HS52" s="388">
        <f t="shared" si="431"/>
        <v>198</v>
      </c>
      <c r="HT52" s="388">
        <v>114</v>
      </c>
      <c r="HU52" s="388">
        <v>97</v>
      </c>
      <c r="HV52" s="388">
        <f t="shared" si="432"/>
        <v>211</v>
      </c>
      <c r="HW52" s="388">
        <v>76</v>
      </c>
      <c r="HX52" s="388">
        <v>79</v>
      </c>
      <c r="HY52" s="388">
        <f t="shared" si="433"/>
        <v>155</v>
      </c>
      <c r="HZ52" s="388">
        <v>63</v>
      </c>
      <c r="IA52" s="388">
        <v>82</v>
      </c>
      <c r="IB52" s="388">
        <f t="shared" si="434"/>
        <v>145</v>
      </c>
      <c r="IC52" s="388">
        <v>41</v>
      </c>
      <c r="ID52" s="388">
        <v>50</v>
      </c>
      <c r="IE52" s="388">
        <f t="shared" si="435"/>
        <v>91</v>
      </c>
      <c r="IF52" s="388">
        <v>37</v>
      </c>
      <c r="IG52" s="388">
        <v>58</v>
      </c>
      <c r="IH52" s="388">
        <f t="shared" si="436"/>
        <v>95</v>
      </c>
      <c r="II52" s="388">
        <v>34</v>
      </c>
      <c r="IJ52" s="388">
        <v>51</v>
      </c>
      <c r="IK52" s="388">
        <f t="shared" si="437"/>
        <v>85</v>
      </c>
      <c r="IL52" s="388">
        <v>29</v>
      </c>
      <c r="IM52" s="388">
        <v>39</v>
      </c>
      <c r="IN52" s="388">
        <f t="shared" si="438"/>
        <v>68</v>
      </c>
      <c r="IO52" s="388">
        <v>29</v>
      </c>
      <c r="IP52" s="388">
        <v>34</v>
      </c>
      <c r="IQ52" s="388">
        <f t="shared" si="439"/>
        <v>63</v>
      </c>
      <c r="IR52" s="388">
        <v>37</v>
      </c>
      <c r="IS52" s="388">
        <v>29</v>
      </c>
      <c r="IT52" s="388">
        <f t="shared" si="440"/>
        <v>66</v>
      </c>
      <c r="IU52" s="388">
        <v>28</v>
      </c>
      <c r="IV52" s="388">
        <v>16</v>
      </c>
      <c r="IW52" s="388">
        <f t="shared" si="441"/>
        <v>44</v>
      </c>
      <c r="IX52" s="388">
        <v>18</v>
      </c>
      <c r="IY52" s="388">
        <v>25</v>
      </c>
      <c r="IZ52" s="388">
        <f t="shared" si="442"/>
        <v>43</v>
      </c>
      <c r="JA52" s="388">
        <v>13</v>
      </c>
      <c r="JB52" s="388">
        <v>24</v>
      </c>
      <c r="JC52" s="388">
        <f t="shared" si="443"/>
        <v>37</v>
      </c>
      <c r="JD52" s="388">
        <v>6</v>
      </c>
      <c r="JE52" s="388">
        <v>12</v>
      </c>
      <c r="JF52" s="388">
        <f t="shared" si="444"/>
        <v>18</v>
      </c>
      <c r="JG52" s="388">
        <v>7</v>
      </c>
      <c r="JH52" s="388">
        <v>16</v>
      </c>
      <c r="JI52" s="388">
        <f t="shared" si="445"/>
        <v>23</v>
      </c>
      <c r="JJ52" s="388">
        <v>6</v>
      </c>
      <c r="JK52" s="388">
        <v>7</v>
      </c>
      <c r="JL52" s="388">
        <f t="shared" si="446"/>
        <v>13</v>
      </c>
      <c r="JM52" s="388">
        <v>8</v>
      </c>
      <c r="JN52" s="388">
        <v>8</v>
      </c>
      <c r="JO52" s="388">
        <f t="shared" si="447"/>
        <v>16</v>
      </c>
      <c r="JP52" s="388">
        <v>4</v>
      </c>
      <c r="JQ52" s="388">
        <v>8</v>
      </c>
      <c r="JR52" s="388">
        <f t="shared" si="448"/>
        <v>12</v>
      </c>
      <c r="JS52" s="388">
        <v>2</v>
      </c>
      <c r="JT52" s="388">
        <v>2</v>
      </c>
      <c r="JU52" s="388">
        <f t="shared" si="449"/>
        <v>4</v>
      </c>
      <c r="JV52" s="388">
        <v>3</v>
      </c>
      <c r="JW52" s="388">
        <v>0</v>
      </c>
      <c r="JX52" s="388">
        <f t="shared" si="450"/>
        <v>3</v>
      </c>
      <c r="JY52" s="388">
        <v>0</v>
      </c>
      <c r="JZ52" s="388">
        <v>2</v>
      </c>
      <c r="KA52" s="388">
        <f t="shared" si="451"/>
        <v>2</v>
      </c>
      <c r="KB52" s="388">
        <v>0</v>
      </c>
      <c r="KC52" s="388">
        <v>0</v>
      </c>
      <c r="KD52" s="388">
        <f t="shared" si="452"/>
        <v>0</v>
      </c>
      <c r="KE52" s="388">
        <v>1</v>
      </c>
      <c r="KF52" s="388">
        <v>2</v>
      </c>
      <c r="KG52" s="388">
        <f t="shared" si="453"/>
        <v>3</v>
      </c>
      <c r="KH52" s="388">
        <v>1</v>
      </c>
      <c r="KI52" s="388">
        <v>0</v>
      </c>
      <c r="KJ52" s="388">
        <f t="shared" si="454"/>
        <v>1</v>
      </c>
      <c r="KK52" s="388">
        <v>0</v>
      </c>
      <c r="KL52" s="388">
        <v>0</v>
      </c>
      <c r="KM52" s="388">
        <f t="shared" si="455"/>
        <v>0</v>
      </c>
      <c r="KN52" s="388">
        <v>0</v>
      </c>
      <c r="KO52" s="388">
        <v>0</v>
      </c>
      <c r="KP52" s="388">
        <f t="shared" si="456"/>
        <v>0</v>
      </c>
      <c r="KQ52" s="388">
        <v>0</v>
      </c>
      <c r="KR52" s="388">
        <v>0</v>
      </c>
      <c r="KS52" s="388">
        <f t="shared" si="457"/>
        <v>0</v>
      </c>
      <c r="KT52" s="388">
        <v>0</v>
      </c>
      <c r="KU52" s="388">
        <v>0</v>
      </c>
      <c r="KV52" s="388">
        <f t="shared" si="458"/>
        <v>0</v>
      </c>
      <c r="KW52" s="388">
        <v>0</v>
      </c>
      <c r="KX52" s="388">
        <v>0</v>
      </c>
      <c r="KY52" s="388">
        <f t="shared" si="459"/>
        <v>0</v>
      </c>
      <c r="KZ52" s="388">
        <v>0</v>
      </c>
      <c r="LA52" s="388">
        <v>0</v>
      </c>
      <c r="LB52" s="388">
        <f t="shared" si="460"/>
        <v>0</v>
      </c>
      <c r="LC52" s="388">
        <v>0</v>
      </c>
      <c r="LD52" s="388">
        <v>0</v>
      </c>
      <c r="LE52" s="388">
        <f t="shared" si="461"/>
        <v>0</v>
      </c>
      <c r="LF52" s="388">
        <v>0</v>
      </c>
      <c r="LG52" s="388">
        <v>0</v>
      </c>
      <c r="LH52" s="388">
        <f t="shared" si="462"/>
        <v>0</v>
      </c>
      <c r="LI52" s="388">
        <v>0</v>
      </c>
      <c r="LJ52" s="388">
        <v>0</v>
      </c>
      <c r="LK52" s="388">
        <f t="shared" si="463"/>
        <v>0</v>
      </c>
      <c r="LL52" s="388">
        <v>0</v>
      </c>
      <c r="LM52" s="388">
        <v>0</v>
      </c>
      <c r="LN52" s="388">
        <f t="shared" si="464"/>
        <v>0</v>
      </c>
      <c r="LO52" s="388">
        <v>0</v>
      </c>
      <c r="LP52" s="388">
        <v>0</v>
      </c>
      <c r="LQ52" s="388">
        <f t="shared" si="465"/>
        <v>0</v>
      </c>
      <c r="LR52" s="388">
        <v>0</v>
      </c>
      <c r="LS52" s="388">
        <v>0</v>
      </c>
      <c r="LT52" s="388">
        <f t="shared" si="466"/>
        <v>0</v>
      </c>
      <c r="LU52" s="388">
        <v>0</v>
      </c>
      <c r="LV52" s="388">
        <v>0</v>
      </c>
      <c r="LW52" s="388">
        <f t="shared" si="467"/>
        <v>0</v>
      </c>
      <c r="LX52" s="388">
        <v>0</v>
      </c>
      <c r="LY52" s="388">
        <v>0</v>
      </c>
      <c r="LZ52" s="388">
        <f t="shared" si="468"/>
        <v>0</v>
      </c>
      <c r="MA52" s="388">
        <v>0</v>
      </c>
      <c r="MB52" s="388">
        <v>0</v>
      </c>
      <c r="MC52" s="388">
        <f t="shared" si="469"/>
        <v>0</v>
      </c>
      <c r="MD52" s="388">
        <v>0</v>
      </c>
      <c r="ME52" s="388">
        <v>0</v>
      </c>
      <c r="MF52" s="388">
        <f t="shared" si="470"/>
        <v>0</v>
      </c>
      <c r="MG52" s="388">
        <v>0</v>
      </c>
      <c r="MH52" s="388">
        <v>0</v>
      </c>
      <c r="MI52" s="388">
        <f t="shared" si="471"/>
        <v>0</v>
      </c>
      <c r="MJ52" s="388">
        <v>0</v>
      </c>
      <c r="MK52" s="388">
        <v>0</v>
      </c>
      <c r="ML52" s="388">
        <f t="shared" si="472"/>
        <v>0</v>
      </c>
      <c r="MM52" s="388">
        <v>0</v>
      </c>
      <c r="MN52" s="388">
        <v>0</v>
      </c>
      <c r="MO52" s="388">
        <f t="shared" si="473"/>
        <v>0</v>
      </c>
      <c r="MP52" s="388">
        <v>0</v>
      </c>
      <c r="MQ52" s="388">
        <v>0</v>
      </c>
      <c r="MR52" s="388">
        <f t="shared" si="474"/>
        <v>0</v>
      </c>
      <c r="MS52" s="388">
        <v>0</v>
      </c>
      <c r="MT52" s="388">
        <v>0</v>
      </c>
      <c r="MU52" s="388">
        <f t="shared" si="475"/>
        <v>0</v>
      </c>
      <c r="MV52" s="388">
        <v>0</v>
      </c>
      <c r="MW52" s="388">
        <v>0</v>
      </c>
      <c r="MX52" s="388">
        <f t="shared" si="476"/>
        <v>0</v>
      </c>
      <c r="MY52" s="388">
        <v>0</v>
      </c>
      <c r="MZ52" s="388">
        <v>0</v>
      </c>
      <c r="NA52" s="562">
        <f t="shared" si="477"/>
        <v>0</v>
      </c>
      <c r="NB52" s="388">
        <v>0</v>
      </c>
      <c r="NC52" s="388">
        <v>0</v>
      </c>
      <c r="ND52" s="560">
        <f t="shared" si="478"/>
        <v>0</v>
      </c>
      <c r="NE52" s="559">
        <f t="shared" si="488"/>
        <v>31335</v>
      </c>
      <c r="NF52" s="388">
        <f t="shared" si="488"/>
        <v>31548</v>
      </c>
      <c r="NG52" s="560">
        <f t="shared" si="480"/>
        <v>62883</v>
      </c>
      <c r="NH52" s="559">
        <f t="shared" si="481"/>
        <v>2237</v>
      </c>
      <c r="NI52" s="388">
        <f t="shared" si="481"/>
        <v>2175</v>
      </c>
      <c r="NJ52" s="560">
        <f t="shared" si="482"/>
        <v>4412</v>
      </c>
    </row>
    <row r="53" spans="1:374" x14ac:dyDescent="0.3">
      <c r="A53" s="558" t="s">
        <v>296</v>
      </c>
      <c r="B53" s="592" t="s">
        <v>105</v>
      </c>
      <c r="C53" s="561">
        <v>154</v>
      </c>
      <c r="D53" s="388">
        <v>149</v>
      </c>
      <c r="E53" s="388">
        <f t="shared" si="357"/>
        <v>303</v>
      </c>
      <c r="F53" s="388">
        <v>191</v>
      </c>
      <c r="G53" s="388">
        <v>183</v>
      </c>
      <c r="H53" s="388">
        <f t="shared" si="358"/>
        <v>374</v>
      </c>
      <c r="I53" s="388">
        <v>265</v>
      </c>
      <c r="J53" s="388">
        <v>229</v>
      </c>
      <c r="K53" s="388">
        <f t="shared" si="359"/>
        <v>494</v>
      </c>
      <c r="L53" s="388">
        <v>261</v>
      </c>
      <c r="M53" s="388">
        <v>236</v>
      </c>
      <c r="N53" s="388">
        <f t="shared" si="360"/>
        <v>497</v>
      </c>
      <c r="O53" s="388">
        <v>260</v>
      </c>
      <c r="P53" s="388">
        <v>273</v>
      </c>
      <c r="Q53" s="388">
        <f t="shared" si="361"/>
        <v>533</v>
      </c>
      <c r="R53" s="388">
        <v>313</v>
      </c>
      <c r="S53" s="388">
        <v>269</v>
      </c>
      <c r="T53" s="388">
        <f t="shared" si="362"/>
        <v>582</v>
      </c>
      <c r="U53" s="388">
        <v>337</v>
      </c>
      <c r="V53" s="388">
        <v>325</v>
      </c>
      <c r="W53" s="388">
        <f t="shared" si="363"/>
        <v>662</v>
      </c>
      <c r="X53" s="388">
        <v>317</v>
      </c>
      <c r="Y53" s="388">
        <v>318</v>
      </c>
      <c r="Z53" s="388">
        <f t="shared" si="364"/>
        <v>635</v>
      </c>
      <c r="AA53" s="388">
        <v>370</v>
      </c>
      <c r="AB53" s="388">
        <v>302</v>
      </c>
      <c r="AC53" s="388">
        <f t="shared" si="365"/>
        <v>672</v>
      </c>
      <c r="AD53" s="388">
        <v>340</v>
      </c>
      <c r="AE53" s="388">
        <v>286</v>
      </c>
      <c r="AF53" s="388">
        <f t="shared" si="366"/>
        <v>626</v>
      </c>
      <c r="AG53" s="388">
        <v>336</v>
      </c>
      <c r="AH53" s="388">
        <v>314</v>
      </c>
      <c r="AI53" s="388">
        <f t="shared" si="367"/>
        <v>650</v>
      </c>
      <c r="AJ53" s="388">
        <v>322</v>
      </c>
      <c r="AK53" s="388">
        <v>308</v>
      </c>
      <c r="AL53" s="388">
        <f t="shared" si="368"/>
        <v>630</v>
      </c>
      <c r="AM53" s="388">
        <v>321</v>
      </c>
      <c r="AN53" s="388">
        <v>287</v>
      </c>
      <c r="AO53" s="388">
        <f t="shared" si="369"/>
        <v>608</v>
      </c>
      <c r="AP53" s="388">
        <v>327</v>
      </c>
      <c r="AQ53" s="388">
        <v>282</v>
      </c>
      <c r="AR53" s="388">
        <f t="shared" si="370"/>
        <v>609</v>
      </c>
      <c r="AS53" s="388">
        <v>351</v>
      </c>
      <c r="AT53" s="388">
        <v>303</v>
      </c>
      <c r="AU53" s="388">
        <f t="shared" si="371"/>
        <v>654</v>
      </c>
      <c r="AV53" s="388">
        <v>303</v>
      </c>
      <c r="AW53" s="388">
        <v>317</v>
      </c>
      <c r="AX53" s="388">
        <f t="shared" si="372"/>
        <v>620</v>
      </c>
      <c r="AY53" s="388">
        <v>271</v>
      </c>
      <c r="AZ53" s="388">
        <v>297</v>
      </c>
      <c r="BA53" s="388">
        <f t="shared" si="373"/>
        <v>568</v>
      </c>
      <c r="BB53" s="388">
        <v>281</v>
      </c>
      <c r="BC53" s="388">
        <v>315</v>
      </c>
      <c r="BD53" s="388">
        <f t="shared" si="374"/>
        <v>596</v>
      </c>
      <c r="BE53" s="388">
        <v>267</v>
      </c>
      <c r="BF53" s="388">
        <v>262</v>
      </c>
      <c r="BG53" s="388">
        <f t="shared" si="375"/>
        <v>529</v>
      </c>
      <c r="BH53" s="388">
        <v>311</v>
      </c>
      <c r="BI53" s="388">
        <v>285</v>
      </c>
      <c r="BJ53" s="388">
        <f t="shared" si="376"/>
        <v>596</v>
      </c>
      <c r="BK53" s="388">
        <v>298</v>
      </c>
      <c r="BL53" s="388">
        <v>255</v>
      </c>
      <c r="BM53" s="388">
        <f t="shared" si="377"/>
        <v>553</v>
      </c>
      <c r="BN53" s="388">
        <v>283</v>
      </c>
      <c r="BO53" s="388">
        <v>285</v>
      </c>
      <c r="BP53" s="388">
        <f t="shared" si="378"/>
        <v>568</v>
      </c>
      <c r="BQ53" s="388">
        <v>289</v>
      </c>
      <c r="BR53" s="388">
        <v>300</v>
      </c>
      <c r="BS53" s="388">
        <f t="shared" si="379"/>
        <v>589</v>
      </c>
      <c r="BT53" s="388">
        <v>302</v>
      </c>
      <c r="BU53" s="388">
        <v>311</v>
      </c>
      <c r="BV53" s="388">
        <f t="shared" si="380"/>
        <v>613</v>
      </c>
      <c r="BW53" s="388">
        <v>332</v>
      </c>
      <c r="BX53" s="388">
        <v>308</v>
      </c>
      <c r="BY53" s="388">
        <f t="shared" si="381"/>
        <v>640</v>
      </c>
      <c r="BZ53" s="388">
        <v>336</v>
      </c>
      <c r="CA53" s="388">
        <v>306</v>
      </c>
      <c r="CB53" s="388">
        <f t="shared" si="382"/>
        <v>642</v>
      </c>
      <c r="CC53" s="388">
        <v>331</v>
      </c>
      <c r="CD53" s="388">
        <v>323</v>
      </c>
      <c r="CE53" s="388">
        <f t="shared" si="383"/>
        <v>654</v>
      </c>
      <c r="CF53" s="388">
        <v>300</v>
      </c>
      <c r="CG53" s="388">
        <v>287</v>
      </c>
      <c r="CH53" s="388">
        <f t="shared" si="384"/>
        <v>587</v>
      </c>
      <c r="CI53" s="388">
        <v>336</v>
      </c>
      <c r="CJ53" s="388">
        <v>315</v>
      </c>
      <c r="CK53" s="388">
        <f t="shared" si="385"/>
        <v>651</v>
      </c>
      <c r="CL53" s="388">
        <v>310</v>
      </c>
      <c r="CM53" s="388">
        <v>306</v>
      </c>
      <c r="CN53" s="388">
        <f t="shared" si="386"/>
        <v>616</v>
      </c>
      <c r="CO53" s="388">
        <v>290</v>
      </c>
      <c r="CP53" s="388">
        <v>299</v>
      </c>
      <c r="CQ53" s="388">
        <f t="shared" si="387"/>
        <v>589</v>
      </c>
      <c r="CR53" s="388">
        <v>290</v>
      </c>
      <c r="CS53" s="388">
        <v>358</v>
      </c>
      <c r="CT53" s="388">
        <f t="shared" si="388"/>
        <v>648</v>
      </c>
      <c r="CU53" s="388">
        <v>295</v>
      </c>
      <c r="CV53" s="388">
        <v>346</v>
      </c>
      <c r="CW53" s="388">
        <f t="shared" si="389"/>
        <v>641</v>
      </c>
      <c r="CX53" s="388">
        <v>293</v>
      </c>
      <c r="CY53" s="388">
        <v>348</v>
      </c>
      <c r="CZ53" s="388">
        <f t="shared" si="390"/>
        <v>641</v>
      </c>
      <c r="DA53" s="388">
        <v>321</v>
      </c>
      <c r="DB53" s="388">
        <v>301</v>
      </c>
      <c r="DC53" s="388">
        <f t="shared" si="391"/>
        <v>622</v>
      </c>
      <c r="DD53" s="388">
        <v>321</v>
      </c>
      <c r="DE53" s="388">
        <v>334</v>
      </c>
      <c r="DF53" s="388">
        <f t="shared" si="392"/>
        <v>655</v>
      </c>
      <c r="DG53" s="388">
        <v>285</v>
      </c>
      <c r="DH53" s="388">
        <v>302</v>
      </c>
      <c r="DI53" s="388">
        <f t="shared" si="393"/>
        <v>587</v>
      </c>
      <c r="DJ53" s="388">
        <v>308</v>
      </c>
      <c r="DK53" s="388">
        <v>299</v>
      </c>
      <c r="DL53" s="388">
        <f t="shared" si="394"/>
        <v>607</v>
      </c>
      <c r="DM53" s="388">
        <v>301</v>
      </c>
      <c r="DN53" s="388">
        <v>314</v>
      </c>
      <c r="DO53" s="388">
        <f t="shared" si="395"/>
        <v>615</v>
      </c>
      <c r="DP53" s="388">
        <v>335</v>
      </c>
      <c r="DQ53" s="388">
        <v>334</v>
      </c>
      <c r="DR53" s="388">
        <f t="shared" si="396"/>
        <v>669</v>
      </c>
      <c r="DS53" s="388">
        <v>342</v>
      </c>
      <c r="DT53" s="388">
        <v>306</v>
      </c>
      <c r="DU53" s="388">
        <f t="shared" si="397"/>
        <v>648</v>
      </c>
      <c r="DV53" s="388">
        <v>334</v>
      </c>
      <c r="DW53" s="388">
        <v>335</v>
      </c>
      <c r="DX53" s="388">
        <f t="shared" si="398"/>
        <v>669</v>
      </c>
      <c r="DY53" s="388">
        <v>303</v>
      </c>
      <c r="DZ53" s="388">
        <v>339</v>
      </c>
      <c r="EA53" s="388">
        <f t="shared" si="399"/>
        <v>642</v>
      </c>
      <c r="EB53" s="388">
        <v>332</v>
      </c>
      <c r="EC53" s="388">
        <v>372</v>
      </c>
      <c r="ED53" s="388">
        <f t="shared" si="400"/>
        <v>704</v>
      </c>
      <c r="EE53" s="388">
        <v>332</v>
      </c>
      <c r="EF53" s="388">
        <v>335</v>
      </c>
      <c r="EG53" s="388">
        <f t="shared" si="401"/>
        <v>667</v>
      </c>
      <c r="EH53" s="388">
        <v>317</v>
      </c>
      <c r="EI53" s="388">
        <v>317</v>
      </c>
      <c r="EJ53" s="388">
        <f t="shared" si="402"/>
        <v>634</v>
      </c>
      <c r="EK53" s="388">
        <v>311</v>
      </c>
      <c r="EL53" s="388">
        <v>351</v>
      </c>
      <c r="EM53" s="388">
        <f t="shared" si="403"/>
        <v>662</v>
      </c>
      <c r="EN53" s="388">
        <v>319</v>
      </c>
      <c r="EO53" s="388">
        <v>290</v>
      </c>
      <c r="EP53" s="388">
        <f t="shared" si="404"/>
        <v>609</v>
      </c>
      <c r="EQ53" s="388">
        <v>254</v>
      </c>
      <c r="ER53" s="388">
        <v>273</v>
      </c>
      <c r="ES53" s="388">
        <f t="shared" si="405"/>
        <v>527</v>
      </c>
      <c r="ET53" s="388">
        <v>275</v>
      </c>
      <c r="EU53" s="388">
        <v>286</v>
      </c>
      <c r="EV53" s="388">
        <f t="shared" si="406"/>
        <v>561</v>
      </c>
      <c r="EW53" s="388">
        <v>269</v>
      </c>
      <c r="EX53" s="388">
        <v>291</v>
      </c>
      <c r="EY53" s="388">
        <f t="shared" si="407"/>
        <v>560</v>
      </c>
      <c r="EZ53" s="388">
        <v>244</v>
      </c>
      <c r="FA53" s="388">
        <v>288</v>
      </c>
      <c r="FB53" s="388">
        <f t="shared" si="408"/>
        <v>532</v>
      </c>
      <c r="FC53" s="388">
        <v>231</v>
      </c>
      <c r="FD53" s="388">
        <v>226</v>
      </c>
      <c r="FE53" s="388">
        <f t="shared" si="409"/>
        <v>457</v>
      </c>
      <c r="FF53" s="388">
        <v>223</v>
      </c>
      <c r="FG53" s="388">
        <v>284</v>
      </c>
      <c r="FH53" s="388">
        <f t="shared" si="410"/>
        <v>507</v>
      </c>
      <c r="FI53" s="388">
        <v>228</v>
      </c>
      <c r="FJ53" s="388">
        <v>250</v>
      </c>
      <c r="FK53" s="388">
        <f t="shared" si="411"/>
        <v>478</v>
      </c>
      <c r="FL53" s="388">
        <v>207</v>
      </c>
      <c r="FM53" s="388">
        <v>225</v>
      </c>
      <c r="FN53" s="388">
        <f t="shared" si="412"/>
        <v>432</v>
      </c>
      <c r="FO53" s="388">
        <v>232</v>
      </c>
      <c r="FP53" s="388">
        <v>220</v>
      </c>
      <c r="FQ53" s="388">
        <f t="shared" si="413"/>
        <v>452</v>
      </c>
      <c r="FR53" s="388">
        <v>205</v>
      </c>
      <c r="FS53" s="388">
        <v>224</v>
      </c>
      <c r="FT53" s="388">
        <f t="shared" si="414"/>
        <v>429</v>
      </c>
      <c r="FU53" s="388">
        <v>185</v>
      </c>
      <c r="FV53" s="388">
        <v>185</v>
      </c>
      <c r="FW53" s="388">
        <f t="shared" si="415"/>
        <v>370</v>
      </c>
      <c r="FX53" s="388">
        <v>174</v>
      </c>
      <c r="FY53" s="388">
        <v>191</v>
      </c>
      <c r="FZ53" s="388">
        <f t="shared" si="416"/>
        <v>365</v>
      </c>
      <c r="GA53" s="388">
        <v>192</v>
      </c>
      <c r="GB53" s="388">
        <v>200</v>
      </c>
      <c r="GC53" s="388">
        <f t="shared" si="417"/>
        <v>392</v>
      </c>
      <c r="GD53" s="388">
        <v>173</v>
      </c>
      <c r="GE53" s="388">
        <v>184</v>
      </c>
      <c r="GF53" s="388">
        <f t="shared" si="418"/>
        <v>357</v>
      </c>
      <c r="GG53" s="388">
        <v>170</v>
      </c>
      <c r="GH53" s="388">
        <v>157</v>
      </c>
      <c r="GI53" s="388">
        <f t="shared" si="419"/>
        <v>327</v>
      </c>
      <c r="GJ53" s="388">
        <v>114</v>
      </c>
      <c r="GK53" s="388">
        <v>162</v>
      </c>
      <c r="GL53" s="388">
        <f t="shared" si="420"/>
        <v>276</v>
      </c>
      <c r="GM53" s="388">
        <v>131</v>
      </c>
      <c r="GN53" s="388">
        <v>151</v>
      </c>
      <c r="GO53" s="388">
        <f t="shared" si="421"/>
        <v>282</v>
      </c>
      <c r="GP53" s="388">
        <v>121</v>
      </c>
      <c r="GQ53" s="388">
        <v>175</v>
      </c>
      <c r="GR53" s="388">
        <f t="shared" si="422"/>
        <v>296</v>
      </c>
      <c r="GS53" s="388">
        <v>125</v>
      </c>
      <c r="GT53" s="388">
        <v>152</v>
      </c>
      <c r="GU53" s="388">
        <f t="shared" si="423"/>
        <v>277</v>
      </c>
      <c r="GV53" s="388">
        <v>120</v>
      </c>
      <c r="GW53" s="388">
        <v>172</v>
      </c>
      <c r="GX53" s="388">
        <f t="shared" si="424"/>
        <v>292</v>
      </c>
      <c r="GY53" s="388">
        <v>113</v>
      </c>
      <c r="GZ53" s="388">
        <v>150</v>
      </c>
      <c r="HA53" s="388">
        <f t="shared" si="425"/>
        <v>263</v>
      </c>
      <c r="HB53" s="388">
        <v>99</v>
      </c>
      <c r="HC53" s="388">
        <v>139</v>
      </c>
      <c r="HD53" s="388">
        <f t="shared" si="426"/>
        <v>238</v>
      </c>
      <c r="HE53" s="388">
        <v>91</v>
      </c>
      <c r="HF53" s="388">
        <v>163</v>
      </c>
      <c r="HG53" s="388">
        <f t="shared" si="427"/>
        <v>254</v>
      </c>
      <c r="HH53" s="388">
        <v>105</v>
      </c>
      <c r="HI53" s="388">
        <v>127</v>
      </c>
      <c r="HJ53" s="388">
        <f t="shared" si="428"/>
        <v>232</v>
      </c>
      <c r="HK53" s="388">
        <v>93</v>
      </c>
      <c r="HL53" s="388">
        <v>119</v>
      </c>
      <c r="HM53" s="388">
        <f t="shared" si="429"/>
        <v>212</v>
      </c>
      <c r="HN53" s="388">
        <v>110</v>
      </c>
      <c r="HO53" s="388">
        <v>94</v>
      </c>
      <c r="HP53" s="388">
        <f t="shared" si="430"/>
        <v>204</v>
      </c>
      <c r="HQ53" s="388">
        <v>86</v>
      </c>
      <c r="HR53" s="388">
        <v>77</v>
      </c>
      <c r="HS53" s="388">
        <f t="shared" si="431"/>
        <v>163</v>
      </c>
      <c r="HT53" s="388">
        <v>71</v>
      </c>
      <c r="HU53" s="388">
        <v>72</v>
      </c>
      <c r="HV53" s="388">
        <f t="shared" si="432"/>
        <v>143</v>
      </c>
      <c r="HW53" s="388">
        <v>61</v>
      </c>
      <c r="HX53" s="388">
        <v>67</v>
      </c>
      <c r="HY53" s="388">
        <f t="shared" si="433"/>
        <v>128</v>
      </c>
      <c r="HZ53" s="388">
        <v>55</v>
      </c>
      <c r="IA53" s="388">
        <v>47</v>
      </c>
      <c r="IB53" s="388">
        <f t="shared" si="434"/>
        <v>102</v>
      </c>
      <c r="IC53" s="388">
        <v>49</v>
      </c>
      <c r="ID53" s="388">
        <v>42</v>
      </c>
      <c r="IE53" s="388">
        <f t="shared" si="435"/>
        <v>91</v>
      </c>
      <c r="IF53" s="388">
        <v>27</v>
      </c>
      <c r="IG53" s="388">
        <v>35</v>
      </c>
      <c r="IH53" s="388">
        <f t="shared" si="436"/>
        <v>62</v>
      </c>
      <c r="II53" s="388">
        <v>30</v>
      </c>
      <c r="IJ53" s="388">
        <v>24</v>
      </c>
      <c r="IK53" s="388">
        <f t="shared" si="437"/>
        <v>54</v>
      </c>
      <c r="IL53" s="388">
        <v>29</v>
      </c>
      <c r="IM53" s="388">
        <v>24</v>
      </c>
      <c r="IN53" s="388">
        <f t="shared" si="438"/>
        <v>53</v>
      </c>
      <c r="IO53" s="388">
        <v>20</v>
      </c>
      <c r="IP53" s="388">
        <v>13</v>
      </c>
      <c r="IQ53" s="388">
        <f t="shared" si="439"/>
        <v>33</v>
      </c>
      <c r="IR53" s="388">
        <v>19</v>
      </c>
      <c r="IS53" s="388">
        <v>27</v>
      </c>
      <c r="IT53" s="388">
        <f t="shared" si="440"/>
        <v>46</v>
      </c>
      <c r="IU53" s="388">
        <v>21</v>
      </c>
      <c r="IV53" s="388">
        <v>23</v>
      </c>
      <c r="IW53" s="388">
        <f t="shared" si="441"/>
        <v>44</v>
      </c>
      <c r="IX53" s="388">
        <v>5</v>
      </c>
      <c r="IY53" s="388">
        <v>23</v>
      </c>
      <c r="IZ53" s="388">
        <f t="shared" si="442"/>
        <v>28</v>
      </c>
      <c r="JA53" s="388">
        <v>11</v>
      </c>
      <c r="JB53" s="388">
        <v>11</v>
      </c>
      <c r="JC53" s="388">
        <f t="shared" si="443"/>
        <v>22</v>
      </c>
      <c r="JD53" s="388">
        <v>6</v>
      </c>
      <c r="JE53" s="388">
        <v>7</v>
      </c>
      <c r="JF53" s="388">
        <f t="shared" si="444"/>
        <v>13</v>
      </c>
      <c r="JG53" s="388">
        <v>7</v>
      </c>
      <c r="JH53" s="388">
        <v>13</v>
      </c>
      <c r="JI53" s="388">
        <f t="shared" si="445"/>
        <v>20</v>
      </c>
      <c r="JJ53" s="388">
        <v>2</v>
      </c>
      <c r="JK53" s="388">
        <v>11</v>
      </c>
      <c r="JL53" s="388">
        <f t="shared" si="446"/>
        <v>13</v>
      </c>
      <c r="JM53" s="388">
        <v>4</v>
      </c>
      <c r="JN53" s="388">
        <v>2</v>
      </c>
      <c r="JO53" s="388">
        <f t="shared" si="447"/>
        <v>6</v>
      </c>
      <c r="JP53" s="388">
        <v>6</v>
      </c>
      <c r="JQ53" s="388">
        <v>1</v>
      </c>
      <c r="JR53" s="388">
        <f t="shared" si="448"/>
        <v>7</v>
      </c>
      <c r="JS53" s="388">
        <v>2</v>
      </c>
      <c r="JT53" s="388">
        <v>0</v>
      </c>
      <c r="JU53" s="388">
        <f t="shared" si="449"/>
        <v>2</v>
      </c>
      <c r="JV53" s="388">
        <v>2</v>
      </c>
      <c r="JW53" s="388">
        <v>3</v>
      </c>
      <c r="JX53" s="388">
        <f t="shared" si="450"/>
        <v>5</v>
      </c>
      <c r="JY53" s="388">
        <v>2</v>
      </c>
      <c r="JZ53" s="388">
        <v>1</v>
      </c>
      <c r="KA53" s="388">
        <f t="shared" si="451"/>
        <v>3</v>
      </c>
      <c r="KB53" s="388">
        <v>0</v>
      </c>
      <c r="KC53" s="388">
        <v>2</v>
      </c>
      <c r="KD53" s="388">
        <f t="shared" si="452"/>
        <v>2</v>
      </c>
      <c r="KE53" s="388">
        <v>0</v>
      </c>
      <c r="KF53" s="388">
        <v>0</v>
      </c>
      <c r="KG53" s="388">
        <f t="shared" si="453"/>
        <v>0</v>
      </c>
      <c r="KH53" s="388">
        <v>0</v>
      </c>
      <c r="KI53" s="388">
        <v>0</v>
      </c>
      <c r="KJ53" s="388">
        <f t="shared" si="454"/>
        <v>0</v>
      </c>
      <c r="KK53" s="388">
        <v>0</v>
      </c>
      <c r="KL53" s="388">
        <v>0</v>
      </c>
      <c r="KM53" s="388">
        <f t="shared" si="455"/>
        <v>0</v>
      </c>
      <c r="KN53" s="388">
        <v>0</v>
      </c>
      <c r="KO53" s="388">
        <v>1</v>
      </c>
      <c r="KP53" s="388">
        <f t="shared" si="456"/>
        <v>1</v>
      </c>
      <c r="KQ53" s="388">
        <v>0</v>
      </c>
      <c r="KR53" s="388">
        <v>1</v>
      </c>
      <c r="KS53" s="388">
        <f t="shared" si="457"/>
        <v>1</v>
      </c>
      <c r="KT53" s="388">
        <v>0</v>
      </c>
      <c r="KU53" s="388">
        <v>0</v>
      </c>
      <c r="KV53" s="388">
        <f t="shared" si="458"/>
        <v>0</v>
      </c>
      <c r="KW53" s="388">
        <v>0</v>
      </c>
      <c r="KX53" s="388">
        <v>0</v>
      </c>
      <c r="KY53" s="388">
        <f t="shared" si="459"/>
        <v>0</v>
      </c>
      <c r="KZ53" s="388">
        <v>0</v>
      </c>
      <c r="LA53" s="388">
        <v>0</v>
      </c>
      <c r="LB53" s="388">
        <f t="shared" si="460"/>
        <v>0</v>
      </c>
      <c r="LC53" s="388">
        <v>0</v>
      </c>
      <c r="LD53" s="388">
        <v>0</v>
      </c>
      <c r="LE53" s="388">
        <f t="shared" si="461"/>
        <v>0</v>
      </c>
      <c r="LF53" s="388">
        <v>0</v>
      </c>
      <c r="LG53" s="388">
        <v>0</v>
      </c>
      <c r="LH53" s="388">
        <f t="shared" si="462"/>
        <v>0</v>
      </c>
      <c r="LI53" s="388">
        <v>0</v>
      </c>
      <c r="LJ53" s="388">
        <v>0</v>
      </c>
      <c r="LK53" s="388">
        <f t="shared" si="463"/>
        <v>0</v>
      </c>
      <c r="LL53" s="388">
        <v>0</v>
      </c>
      <c r="LM53" s="388">
        <v>0</v>
      </c>
      <c r="LN53" s="388">
        <f t="shared" si="464"/>
        <v>0</v>
      </c>
      <c r="LO53" s="388">
        <v>0</v>
      </c>
      <c r="LP53" s="388">
        <v>0</v>
      </c>
      <c r="LQ53" s="388">
        <f t="shared" si="465"/>
        <v>0</v>
      </c>
      <c r="LR53" s="388">
        <v>0</v>
      </c>
      <c r="LS53" s="388">
        <v>0</v>
      </c>
      <c r="LT53" s="388">
        <f t="shared" si="466"/>
        <v>0</v>
      </c>
      <c r="LU53" s="388">
        <v>0</v>
      </c>
      <c r="LV53" s="388">
        <v>0</v>
      </c>
      <c r="LW53" s="388">
        <f t="shared" si="467"/>
        <v>0</v>
      </c>
      <c r="LX53" s="388">
        <v>0</v>
      </c>
      <c r="LY53" s="388">
        <v>0</v>
      </c>
      <c r="LZ53" s="388">
        <f t="shared" si="468"/>
        <v>0</v>
      </c>
      <c r="MA53" s="388">
        <v>0</v>
      </c>
      <c r="MB53" s="388">
        <v>0</v>
      </c>
      <c r="MC53" s="388">
        <f t="shared" si="469"/>
        <v>0</v>
      </c>
      <c r="MD53" s="388">
        <v>0</v>
      </c>
      <c r="ME53" s="388">
        <v>0</v>
      </c>
      <c r="MF53" s="388">
        <f t="shared" si="470"/>
        <v>0</v>
      </c>
      <c r="MG53" s="388">
        <v>0</v>
      </c>
      <c r="MH53" s="388">
        <v>0</v>
      </c>
      <c r="MI53" s="388">
        <f t="shared" si="471"/>
        <v>0</v>
      </c>
      <c r="MJ53" s="388">
        <v>0</v>
      </c>
      <c r="MK53" s="388">
        <v>0</v>
      </c>
      <c r="ML53" s="388">
        <f t="shared" si="472"/>
        <v>0</v>
      </c>
      <c r="MM53" s="388">
        <v>0</v>
      </c>
      <c r="MN53" s="388">
        <v>0</v>
      </c>
      <c r="MO53" s="388">
        <f t="shared" si="473"/>
        <v>0</v>
      </c>
      <c r="MP53" s="388">
        <v>0</v>
      </c>
      <c r="MQ53" s="388">
        <v>0</v>
      </c>
      <c r="MR53" s="388">
        <f t="shared" si="474"/>
        <v>0</v>
      </c>
      <c r="MS53" s="388">
        <v>0</v>
      </c>
      <c r="MT53" s="388">
        <v>0</v>
      </c>
      <c r="MU53" s="388">
        <f t="shared" si="475"/>
        <v>0</v>
      </c>
      <c r="MV53" s="388">
        <v>0</v>
      </c>
      <c r="MW53" s="388">
        <v>0</v>
      </c>
      <c r="MX53" s="388">
        <f t="shared" si="476"/>
        <v>0</v>
      </c>
      <c r="MY53" s="388">
        <v>0</v>
      </c>
      <c r="MZ53" s="388">
        <v>0</v>
      </c>
      <c r="NA53" s="562">
        <f t="shared" si="477"/>
        <v>0</v>
      </c>
      <c r="NB53" s="388">
        <v>0</v>
      </c>
      <c r="NC53" s="388">
        <v>0</v>
      </c>
      <c r="ND53" s="560">
        <f t="shared" si="478"/>
        <v>0</v>
      </c>
      <c r="NE53" s="559">
        <f t="shared" si="488"/>
        <v>19643</v>
      </c>
      <c r="NF53" s="388">
        <f t="shared" si="488"/>
        <v>20031</v>
      </c>
      <c r="NG53" s="560">
        <f t="shared" si="480"/>
        <v>39674</v>
      </c>
      <c r="NH53" s="559">
        <f t="shared" si="481"/>
        <v>1444</v>
      </c>
      <c r="NI53" s="388">
        <f t="shared" si="481"/>
        <v>1339</v>
      </c>
      <c r="NJ53" s="560">
        <f t="shared" si="482"/>
        <v>2783</v>
      </c>
    </row>
    <row r="54" spans="1:374" ht="14.5" thickBot="1" x14ac:dyDescent="0.35">
      <c r="A54" s="563" t="s">
        <v>297</v>
      </c>
      <c r="B54" s="593" t="s">
        <v>107</v>
      </c>
      <c r="C54" s="566">
        <v>168</v>
      </c>
      <c r="D54" s="392">
        <v>146</v>
      </c>
      <c r="E54" s="392">
        <f t="shared" si="357"/>
        <v>314</v>
      </c>
      <c r="F54" s="392">
        <v>206</v>
      </c>
      <c r="G54" s="392">
        <v>198</v>
      </c>
      <c r="H54" s="392">
        <f t="shared" si="358"/>
        <v>404</v>
      </c>
      <c r="I54" s="392">
        <v>275</v>
      </c>
      <c r="J54" s="392">
        <v>226</v>
      </c>
      <c r="K54" s="392">
        <f t="shared" si="359"/>
        <v>501</v>
      </c>
      <c r="L54" s="392">
        <v>287</v>
      </c>
      <c r="M54" s="392">
        <v>281</v>
      </c>
      <c r="N54" s="392">
        <f t="shared" si="360"/>
        <v>568</v>
      </c>
      <c r="O54" s="392">
        <v>297</v>
      </c>
      <c r="P54" s="392">
        <v>320</v>
      </c>
      <c r="Q54" s="392">
        <f t="shared" si="361"/>
        <v>617</v>
      </c>
      <c r="R54" s="392">
        <v>356</v>
      </c>
      <c r="S54" s="392">
        <v>305</v>
      </c>
      <c r="T54" s="392">
        <f t="shared" si="362"/>
        <v>661</v>
      </c>
      <c r="U54" s="392">
        <v>388</v>
      </c>
      <c r="V54" s="392">
        <v>335</v>
      </c>
      <c r="W54" s="392">
        <f t="shared" si="363"/>
        <v>723</v>
      </c>
      <c r="X54" s="392">
        <v>388</v>
      </c>
      <c r="Y54" s="392">
        <v>377</v>
      </c>
      <c r="Z54" s="392">
        <f t="shared" si="364"/>
        <v>765</v>
      </c>
      <c r="AA54" s="392">
        <v>360</v>
      </c>
      <c r="AB54" s="392">
        <v>348</v>
      </c>
      <c r="AC54" s="392">
        <f t="shared" si="365"/>
        <v>708</v>
      </c>
      <c r="AD54" s="392">
        <v>357</v>
      </c>
      <c r="AE54" s="392">
        <v>336</v>
      </c>
      <c r="AF54" s="392">
        <f t="shared" si="366"/>
        <v>693</v>
      </c>
      <c r="AG54" s="392">
        <v>377</v>
      </c>
      <c r="AH54" s="392">
        <v>328</v>
      </c>
      <c r="AI54" s="392">
        <f t="shared" si="367"/>
        <v>705</v>
      </c>
      <c r="AJ54" s="392">
        <v>395</v>
      </c>
      <c r="AK54" s="392">
        <v>345</v>
      </c>
      <c r="AL54" s="392">
        <f t="shared" si="368"/>
        <v>740</v>
      </c>
      <c r="AM54" s="392">
        <v>393</v>
      </c>
      <c r="AN54" s="392">
        <v>350</v>
      </c>
      <c r="AO54" s="392">
        <f t="shared" si="369"/>
        <v>743</v>
      </c>
      <c r="AP54" s="392">
        <v>401</v>
      </c>
      <c r="AQ54" s="392">
        <v>344</v>
      </c>
      <c r="AR54" s="392">
        <f t="shared" si="370"/>
        <v>745</v>
      </c>
      <c r="AS54" s="392">
        <v>414</v>
      </c>
      <c r="AT54" s="392">
        <v>394</v>
      </c>
      <c r="AU54" s="392">
        <f t="shared" si="371"/>
        <v>808</v>
      </c>
      <c r="AV54" s="392">
        <v>378</v>
      </c>
      <c r="AW54" s="392">
        <v>366</v>
      </c>
      <c r="AX54" s="392">
        <f t="shared" si="372"/>
        <v>744</v>
      </c>
      <c r="AY54" s="392">
        <v>396</v>
      </c>
      <c r="AZ54" s="392">
        <v>355</v>
      </c>
      <c r="BA54" s="392">
        <f t="shared" si="373"/>
        <v>751</v>
      </c>
      <c r="BB54" s="392">
        <v>353</v>
      </c>
      <c r="BC54" s="392">
        <v>329</v>
      </c>
      <c r="BD54" s="392">
        <f t="shared" si="374"/>
        <v>682</v>
      </c>
      <c r="BE54" s="392">
        <v>349</v>
      </c>
      <c r="BF54" s="392">
        <v>340</v>
      </c>
      <c r="BG54" s="392">
        <f t="shared" si="375"/>
        <v>689</v>
      </c>
      <c r="BH54" s="392">
        <v>355</v>
      </c>
      <c r="BI54" s="392">
        <v>345</v>
      </c>
      <c r="BJ54" s="392">
        <f t="shared" si="376"/>
        <v>700</v>
      </c>
      <c r="BK54" s="392">
        <v>340</v>
      </c>
      <c r="BL54" s="392">
        <v>339</v>
      </c>
      <c r="BM54" s="392">
        <f t="shared" si="377"/>
        <v>679</v>
      </c>
      <c r="BN54" s="392">
        <v>344</v>
      </c>
      <c r="BO54" s="392">
        <v>297</v>
      </c>
      <c r="BP54" s="392">
        <f t="shared" si="378"/>
        <v>641</v>
      </c>
      <c r="BQ54" s="392">
        <v>372</v>
      </c>
      <c r="BR54" s="392">
        <v>344</v>
      </c>
      <c r="BS54" s="392">
        <f t="shared" si="379"/>
        <v>716</v>
      </c>
      <c r="BT54" s="392">
        <v>379</v>
      </c>
      <c r="BU54" s="392">
        <v>369</v>
      </c>
      <c r="BV54" s="392">
        <f t="shared" si="380"/>
        <v>748</v>
      </c>
      <c r="BW54" s="392">
        <v>364</v>
      </c>
      <c r="BX54" s="392">
        <v>356</v>
      </c>
      <c r="BY54" s="392">
        <f t="shared" si="381"/>
        <v>720</v>
      </c>
      <c r="BZ54" s="392">
        <v>383</v>
      </c>
      <c r="CA54" s="392">
        <v>351</v>
      </c>
      <c r="CB54" s="392">
        <f t="shared" si="382"/>
        <v>734</v>
      </c>
      <c r="CC54" s="392">
        <v>339</v>
      </c>
      <c r="CD54" s="392">
        <v>363</v>
      </c>
      <c r="CE54" s="392">
        <f t="shared" si="383"/>
        <v>702</v>
      </c>
      <c r="CF54" s="392">
        <v>315</v>
      </c>
      <c r="CG54" s="392">
        <v>324</v>
      </c>
      <c r="CH54" s="392">
        <f t="shared" si="384"/>
        <v>639</v>
      </c>
      <c r="CI54" s="392">
        <v>340</v>
      </c>
      <c r="CJ54" s="392">
        <v>327</v>
      </c>
      <c r="CK54" s="392">
        <f t="shared" si="385"/>
        <v>667</v>
      </c>
      <c r="CL54" s="392">
        <v>347</v>
      </c>
      <c r="CM54" s="392">
        <v>334</v>
      </c>
      <c r="CN54" s="392">
        <f t="shared" si="386"/>
        <v>681</v>
      </c>
      <c r="CO54" s="392">
        <v>366</v>
      </c>
      <c r="CP54" s="392">
        <v>368</v>
      </c>
      <c r="CQ54" s="392">
        <f t="shared" si="387"/>
        <v>734</v>
      </c>
      <c r="CR54" s="392">
        <v>353</v>
      </c>
      <c r="CS54" s="392">
        <v>375</v>
      </c>
      <c r="CT54" s="392">
        <f t="shared" si="388"/>
        <v>728</v>
      </c>
      <c r="CU54" s="392">
        <v>330</v>
      </c>
      <c r="CV54" s="392">
        <v>316</v>
      </c>
      <c r="CW54" s="392">
        <f t="shared" si="389"/>
        <v>646</v>
      </c>
      <c r="CX54" s="392">
        <v>339</v>
      </c>
      <c r="CY54" s="392">
        <v>338</v>
      </c>
      <c r="CZ54" s="392">
        <f t="shared" si="390"/>
        <v>677</v>
      </c>
      <c r="DA54" s="392">
        <v>351</v>
      </c>
      <c r="DB54" s="392">
        <v>374</v>
      </c>
      <c r="DC54" s="392">
        <f t="shared" si="391"/>
        <v>725</v>
      </c>
      <c r="DD54" s="392">
        <v>338</v>
      </c>
      <c r="DE54" s="392">
        <v>336</v>
      </c>
      <c r="DF54" s="392">
        <f t="shared" si="392"/>
        <v>674</v>
      </c>
      <c r="DG54" s="392">
        <v>300</v>
      </c>
      <c r="DH54" s="392">
        <v>359</v>
      </c>
      <c r="DI54" s="392">
        <f t="shared" si="393"/>
        <v>659</v>
      </c>
      <c r="DJ54" s="392">
        <v>324</v>
      </c>
      <c r="DK54" s="392">
        <v>353</v>
      </c>
      <c r="DL54" s="392">
        <f t="shared" si="394"/>
        <v>677</v>
      </c>
      <c r="DM54" s="392">
        <v>323</v>
      </c>
      <c r="DN54" s="392">
        <v>335</v>
      </c>
      <c r="DO54" s="392">
        <f t="shared" si="395"/>
        <v>658</v>
      </c>
      <c r="DP54" s="392">
        <v>335</v>
      </c>
      <c r="DQ54" s="392">
        <v>329</v>
      </c>
      <c r="DR54" s="392">
        <f t="shared" si="396"/>
        <v>664</v>
      </c>
      <c r="DS54" s="392">
        <v>342</v>
      </c>
      <c r="DT54" s="392">
        <v>397</v>
      </c>
      <c r="DU54" s="392">
        <f t="shared" si="397"/>
        <v>739</v>
      </c>
      <c r="DV54" s="392">
        <v>397</v>
      </c>
      <c r="DW54" s="392">
        <v>386</v>
      </c>
      <c r="DX54" s="392">
        <f t="shared" si="398"/>
        <v>783</v>
      </c>
      <c r="DY54" s="392">
        <v>391</v>
      </c>
      <c r="DZ54" s="392">
        <v>400</v>
      </c>
      <c r="EA54" s="392">
        <f t="shared" si="399"/>
        <v>791</v>
      </c>
      <c r="EB54" s="392">
        <v>370</v>
      </c>
      <c r="EC54" s="392">
        <v>424</v>
      </c>
      <c r="ED54" s="392">
        <f t="shared" si="400"/>
        <v>794</v>
      </c>
      <c r="EE54" s="392">
        <v>405</v>
      </c>
      <c r="EF54" s="392">
        <v>426</v>
      </c>
      <c r="EG54" s="392">
        <f t="shared" si="401"/>
        <v>831</v>
      </c>
      <c r="EH54" s="392">
        <v>384</v>
      </c>
      <c r="EI54" s="392">
        <v>402</v>
      </c>
      <c r="EJ54" s="392">
        <f t="shared" si="402"/>
        <v>786</v>
      </c>
      <c r="EK54" s="392">
        <v>412</v>
      </c>
      <c r="EL54" s="392">
        <v>433</v>
      </c>
      <c r="EM54" s="392">
        <f t="shared" si="403"/>
        <v>845</v>
      </c>
      <c r="EN54" s="392">
        <v>368</v>
      </c>
      <c r="EO54" s="392">
        <v>384</v>
      </c>
      <c r="EP54" s="392">
        <f t="shared" si="404"/>
        <v>752</v>
      </c>
      <c r="EQ54" s="392">
        <v>329</v>
      </c>
      <c r="ER54" s="392">
        <v>375</v>
      </c>
      <c r="ES54" s="392">
        <f t="shared" si="405"/>
        <v>704</v>
      </c>
      <c r="ET54" s="392">
        <v>366</v>
      </c>
      <c r="EU54" s="392">
        <v>329</v>
      </c>
      <c r="EV54" s="392">
        <f t="shared" si="406"/>
        <v>695</v>
      </c>
      <c r="EW54" s="392">
        <v>306</v>
      </c>
      <c r="EX54" s="392">
        <v>338</v>
      </c>
      <c r="EY54" s="392">
        <f t="shared" si="407"/>
        <v>644</v>
      </c>
      <c r="EZ54" s="392">
        <v>296</v>
      </c>
      <c r="FA54" s="392">
        <v>346</v>
      </c>
      <c r="FB54" s="392">
        <f t="shared" si="408"/>
        <v>642</v>
      </c>
      <c r="FC54" s="392">
        <v>299</v>
      </c>
      <c r="FD54" s="392">
        <v>314</v>
      </c>
      <c r="FE54" s="392">
        <f t="shared" si="409"/>
        <v>613</v>
      </c>
      <c r="FF54" s="392">
        <v>308</v>
      </c>
      <c r="FG54" s="392">
        <v>344</v>
      </c>
      <c r="FH54" s="392">
        <f t="shared" si="410"/>
        <v>652</v>
      </c>
      <c r="FI54" s="392">
        <v>306</v>
      </c>
      <c r="FJ54" s="392">
        <v>324</v>
      </c>
      <c r="FK54" s="392">
        <f t="shared" si="411"/>
        <v>630</v>
      </c>
      <c r="FL54" s="392">
        <v>287</v>
      </c>
      <c r="FM54" s="392">
        <v>287</v>
      </c>
      <c r="FN54" s="392">
        <f t="shared" si="412"/>
        <v>574</v>
      </c>
      <c r="FO54" s="392">
        <v>301</v>
      </c>
      <c r="FP54" s="392">
        <v>271</v>
      </c>
      <c r="FQ54" s="392">
        <f t="shared" si="413"/>
        <v>572</v>
      </c>
      <c r="FR54" s="392">
        <v>273</v>
      </c>
      <c r="FS54" s="392">
        <v>276</v>
      </c>
      <c r="FT54" s="392">
        <f t="shared" si="414"/>
        <v>549</v>
      </c>
      <c r="FU54" s="392">
        <v>242</v>
      </c>
      <c r="FV54" s="392">
        <v>253</v>
      </c>
      <c r="FW54" s="392">
        <f t="shared" si="415"/>
        <v>495</v>
      </c>
      <c r="FX54" s="392">
        <v>190</v>
      </c>
      <c r="FY54" s="392">
        <v>187</v>
      </c>
      <c r="FZ54" s="392">
        <f t="shared" si="416"/>
        <v>377</v>
      </c>
      <c r="GA54" s="392">
        <v>201</v>
      </c>
      <c r="GB54" s="392">
        <v>242</v>
      </c>
      <c r="GC54" s="392">
        <f t="shared" si="417"/>
        <v>443</v>
      </c>
      <c r="GD54" s="392">
        <v>187</v>
      </c>
      <c r="GE54" s="392">
        <v>237</v>
      </c>
      <c r="GF54" s="392">
        <f t="shared" si="418"/>
        <v>424</v>
      </c>
      <c r="GG54" s="392">
        <v>164</v>
      </c>
      <c r="GH54" s="392">
        <v>198</v>
      </c>
      <c r="GI54" s="392">
        <f t="shared" si="419"/>
        <v>362</v>
      </c>
      <c r="GJ54" s="392">
        <v>161</v>
      </c>
      <c r="GK54" s="392">
        <v>205</v>
      </c>
      <c r="GL54" s="392">
        <f t="shared" si="420"/>
        <v>366</v>
      </c>
      <c r="GM54" s="392">
        <v>164</v>
      </c>
      <c r="GN54" s="392">
        <v>186</v>
      </c>
      <c r="GO54" s="392">
        <f t="shared" si="421"/>
        <v>350</v>
      </c>
      <c r="GP54" s="392">
        <v>141</v>
      </c>
      <c r="GQ54" s="392">
        <v>194</v>
      </c>
      <c r="GR54" s="392">
        <f t="shared" si="422"/>
        <v>335</v>
      </c>
      <c r="GS54" s="392">
        <v>155</v>
      </c>
      <c r="GT54" s="392">
        <v>200</v>
      </c>
      <c r="GU54" s="392">
        <f t="shared" si="423"/>
        <v>355</v>
      </c>
      <c r="GV54" s="392">
        <v>127</v>
      </c>
      <c r="GW54" s="392">
        <v>197</v>
      </c>
      <c r="GX54" s="392">
        <f t="shared" si="424"/>
        <v>324</v>
      </c>
      <c r="GY54" s="392">
        <v>123</v>
      </c>
      <c r="GZ54" s="392">
        <v>175</v>
      </c>
      <c r="HA54" s="392">
        <f t="shared" si="425"/>
        <v>298</v>
      </c>
      <c r="HB54" s="392">
        <v>117</v>
      </c>
      <c r="HC54" s="392">
        <v>129</v>
      </c>
      <c r="HD54" s="392">
        <f t="shared" si="426"/>
        <v>246</v>
      </c>
      <c r="HE54" s="392">
        <v>119</v>
      </c>
      <c r="HF54" s="392">
        <v>172</v>
      </c>
      <c r="HG54" s="392">
        <f t="shared" si="427"/>
        <v>291</v>
      </c>
      <c r="HH54" s="392">
        <v>142</v>
      </c>
      <c r="HI54" s="392">
        <v>148</v>
      </c>
      <c r="HJ54" s="392">
        <f t="shared" si="428"/>
        <v>290</v>
      </c>
      <c r="HK54" s="392">
        <v>100</v>
      </c>
      <c r="HL54" s="392">
        <v>134</v>
      </c>
      <c r="HM54" s="392">
        <f t="shared" si="429"/>
        <v>234</v>
      </c>
      <c r="HN54" s="392">
        <v>101</v>
      </c>
      <c r="HO54" s="392">
        <v>116</v>
      </c>
      <c r="HP54" s="392">
        <f t="shared" si="430"/>
        <v>217</v>
      </c>
      <c r="HQ54" s="392">
        <v>113</v>
      </c>
      <c r="HR54" s="392">
        <v>69</v>
      </c>
      <c r="HS54" s="392">
        <f t="shared" si="431"/>
        <v>182</v>
      </c>
      <c r="HT54" s="392">
        <v>92</v>
      </c>
      <c r="HU54" s="392">
        <v>83</v>
      </c>
      <c r="HV54" s="392">
        <f t="shared" si="432"/>
        <v>175</v>
      </c>
      <c r="HW54" s="392">
        <v>78</v>
      </c>
      <c r="HX54" s="392">
        <v>76</v>
      </c>
      <c r="HY54" s="392">
        <f t="shared" si="433"/>
        <v>154</v>
      </c>
      <c r="HZ54" s="392">
        <v>55</v>
      </c>
      <c r="IA54" s="392">
        <v>57</v>
      </c>
      <c r="IB54" s="392">
        <f t="shared" si="434"/>
        <v>112</v>
      </c>
      <c r="IC54" s="392">
        <v>48</v>
      </c>
      <c r="ID54" s="392">
        <v>49</v>
      </c>
      <c r="IE54" s="392">
        <f t="shared" si="435"/>
        <v>97</v>
      </c>
      <c r="IF54" s="392">
        <v>45</v>
      </c>
      <c r="IG54" s="392">
        <v>49</v>
      </c>
      <c r="IH54" s="392">
        <f t="shared" si="436"/>
        <v>94</v>
      </c>
      <c r="II54" s="392">
        <v>39</v>
      </c>
      <c r="IJ54" s="392">
        <v>36</v>
      </c>
      <c r="IK54" s="392">
        <f t="shared" si="437"/>
        <v>75</v>
      </c>
      <c r="IL54" s="392">
        <v>32</v>
      </c>
      <c r="IM54" s="392">
        <v>24</v>
      </c>
      <c r="IN54" s="392">
        <f t="shared" si="438"/>
        <v>56</v>
      </c>
      <c r="IO54" s="392">
        <v>27</v>
      </c>
      <c r="IP54" s="392">
        <v>22</v>
      </c>
      <c r="IQ54" s="392">
        <f t="shared" si="439"/>
        <v>49</v>
      </c>
      <c r="IR54" s="392">
        <v>21</v>
      </c>
      <c r="IS54" s="392">
        <v>20</v>
      </c>
      <c r="IT54" s="392">
        <f t="shared" si="440"/>
        <v>41</v>
      </c>
      <c r="IU54" s="392">
        <v>12</v>
      </c>
      <c r="IV54" s="392">
        <v>14</v>
      </c>
      <c r="IW54" s="392">
        <f t="shared" si="441"/>
        <v>26</v>
      </c>
      <c r="IX54" s="392">
        <v>10</v>
      </c>
      <c r="IY54" s="392">
        <v>17</v>
      </c>
      <c r="IZ54" s="392">
        <f t="shared" si="442"/>
        <v>27</v>
      </c>
      <c r="JA54" s="392">
        <v>13</v>
      </c>
      <c r="JB54" s="392">
        <v>19</v>
      </c>
      <c r="JC54" s="392">
        <f t="shared" si="443"/>
        <v>32</v>
      </c>
      <c r="JD54" s="392">
        <v>7</v>
      </c>
      <c r="JE54" s="392">
        <v>7</v>
      </c>
      <c r="JF54" s="392">
        <f t="shared" si="444"/>
        <v>14</v>
      </c>
      <c r="JG54" s="392">
        <v>2</v>
      </c>
      <c r="JH54" s="392">
        <v>9</v>
      </c>
      <c r="JI54" s="392">
        <f t="shared" si="445"/>
        <v>11</v>
      </c>
      <c r="JJ54" s="392">
        <v>5</v>
      </c>
      <c r="JK54" s="392">
        <v>3</v>
      </c>
      <c r="JL54" s="392">
        <f t="shared" si="446"/>
        <v>8</v>
      </c>
      <c r="JM54" s="392">
        <v>3</v>
      </c>
      <c r="JN54" s="392">
        <v>7</v>
      </c>
      <c r="JO54" s="392">
        <f t="shared" si="447"/>
        <v>10</v>
      </c>
      <c r="JP54" s="392">
        <v>1</v>
      </c>
      <c r="JQ54" s="392">
        <v>4</v>
      </c>
      <c r="JR54" s="392">
        <f t="shared" si="448"/>
        <v>5</v>
      </c>
      <c r="JS54" s="392">
        <v>1</v>
      </c>
      <c r="JT54" s="392">
        <v>6</v>
      </c>
      <c r="JU54" s="392">
        <f t="shared" si="449"/>
        <v>7</v>
      </c>
      <c r="JV54" s="392">
        <v>3</v>
      </c>
      <c r="JW54" s="392">
        <v>2</v>
      </c>
      <c r="JX54" s="392">
        <f t="shared" si="450"/>
        <v>5</v>
      </c>
      <c r="JY54" s="392">
        <v>0</v>
      </c>
      <c r="JZ54" s="392">
        <v>0</v>
      </c>
      <c r="KA54" s="392">
        <f t="shared" si="451"/>
        <v>0</v>
      </c>
      <c r="KB54" s="392">
        <v>0</v>
      </c>
      <c r="KC54" s="392">
        <v>0</v>
      </c>
      <c r="KD54" s="392">
        <f t="shared" si="452"/>
        <v>0</v>
      </c>
      <c r="KE54" s="392">
        <v>2</v>
      </c>
      <c r="KF54" s="392">
        <v>0</v>
      </c>
      <c r="KG54" s="392">
        <f t="shared" si="453"/>
        <v>2</v>
      </c>
      <c r="KH54" s="392">
        <v>0</v>
      </c>
      <c r="KI54" s="392">
        <v>0</v>
      </c>
      <c r="KJ54" s="392">
        <f t="shared" si="454"/>
        <v>0</v>
      </c>
      <c r="KK54" s="392">
        <v>0</v>
      </c>
      <c r="KL54" s="392">
        <v>0</v>
      </c>
      <c r="KM54" s="392">
        <f t="shared" si="455"/>
        <v>0</v>
      </c>
      <c r="KN54" s="392">
        <v>0</v>
      </c>
      <c r="KO54" s="392">
        <v>0</v>
      </c>
      <c r="KP54" s="392">
        <f t="shared" si="456"/>
        <v>0</v>
      </c>
      <c r="KQ54" s="392">
        <v>1</v>
      </c>
      <c r="KR54" s="392">
        <v>0</v>
      </c>
      <c r="KS54" s="392">
        <f t="shared" si="457"/>
        <v>1</v>
      </c>
      <c r="KT54" s="392">
        <v>0</v>
      </c>
      <c r="KU54" s="392">
        <v>0</v>
      </c>
      <c r="KV54" s="392">
        <f t="shared" si="458"/>
        <v>0</v>
      </c>
      <c r="KW54" s="392">
        <v>0</v>
      </c>
      <c r="KX54" s="392">
        <v>0</v>
      </c>
      <c r="KY54" s="392">
        <f t="shared" si="459"/>
        <v>0</v>
      </c>
      <c r="KZ54" s="392">
        <v>0</v>
      </c>
      <c r="LA54" s="392">
        <v>0</v>
      </c>
      <c r="LB54" s="392">
        <f t="shared" si="460"/>
        <v>0</v>
      </c>
      <c r="LC54" s="392">
        <v>0</v>
      </c>
      <c r="LD54" s="392">
        <v>0</v>
      </c>
      <c r="LE54" s="392">
        <f t="shared" si="461"/>
        <v>0</v>
      </c>
      <c r="LF54" s="392">
        <v>0</v>
      </c>
      <c r="LG54" s="392">
        <v>0</v>
      </c>
      <c r="LH54" s="392">
        <f t="shared" si="462"/>
        <v>0</v>
      </c>
      <c r="LI54" s="392">
        <v>0</v>
      </c>
      <c r="LJ54" s="392">
        <v>0</v>
      </c>
      <c r="LK54" s="392">
        <f t="shared" si="463"/>
        <v>0</v>
      </c>
      <c r="LL54" s="392">
        <v>0</v>
      </c>
      <c r="LM54" s="392">
        <v>0</v>
      </c>
      <c r="LN54" s="392">
        <f t="shared" si="464"/>
        <v>0</v>
      </c>
      <c r="LO54" s="392">
        <v>0</v>
      </c>
      <c r="LP54" s="392">
        <v>0</v>
      </c>
      <c r="LQ54" s="392">
        <f t="shared" si="465"/>
        <v>0</v>
      </c>
      <c r="LR54" s="392">
        <v>0</v>
      </c>
      <c r="LS54" s="392">
        <v>0</v>
      </c>
      <c r="LT54" s="392">
        <f t="shared" si="466"/>
        <v>0</v>
      </c>
      <c r="LU54" s="392">
        <v>0</v>
      </c>
      <c r="LV54" s="392">
        <v>0</v>
      </c>
      <c r="LW54" s="392">
        <f t="shared" si="467"/>
        <v>0</v>
      </c>
      <c r="LX54" s="392">
        <v>0</v>
      </c>
      <c r="LY54" s="392">
        <v>0</v>
      </c>
      <c r="LZ54" s="392">
        <f t="shared" si="468"/>
        <v>0</v>
      </c>
      <c r="MA54" s="392">
        <v>0</v>
      </c>
      <c r="MB54" s="392">
        <v>0</v>
      </c>
      <c r="MC54" s="392">
        <f t="shared" si="469"/>
        <v>0</v>
      </c>
      <c r="MD54" s="392">
        <v>0</v>
      </c>
      <c r="ME54" s="392">
        <v>0</v>
      </c>
      <c r="MF54" s="392">
        <f t="shared" si="470"/>
        <v>0</v>
      </c>
      <c r="MG54" s="392">
        <v>0</v>
      </c>
      <c r="MH54" s="392">
        <v>0</v>
      </c>
      <c r="MI54" s="392">
        <f t="shared" si="471"/>
        <v>0</v>
      </c>
      <c r="MJ54" s="392">
        <v>0</v>
      </c>
      <c r="MK54" s="392">
        <v>0</v>
      </c>
      <c r="ML54" s="392">
        <f t="shared" si="472"/>
        <v>0</v>
      </c>
      <c r="MM54" s="392">
        <v>0</v>
      </c>
      <c r="MN54" s="392">
        <v>0</v>
      </c>
      <c r="MO54" s="392">
        <f t="shared" si="473"/>
        <v>0</v>
      </c>
      <c r="MP54" s="392">
        <v>0</v>
      </c>
      <c r="MQ54" s="392">
        <v>0</v>
      </c>
      <c r="MR54" s="392">
        <f t="shared" si="474"/>
        <v>0</v>
      </c>
      <c r="MS54" s="392">
        <v>0</v>
      </c>
      <c r="MT54" s="392">
        <v>0</v>
      </c>
      <c r="MU54" s="392">
        <f t="shared" si="475"/>
        <v>0</v>
      </c>
      <c r="MV54" s="392">
        <v>0</v>
      </c>
      <c r="MW54" s="392">
        <v>0</v>
      </c>
      <c r="MX54" s="392">
        <f t="shared" si="476"/>
        <v>0</v>
      </c>
      <c r="MY54" s="392">
        <v>0</v>
      </c>
      <c r="MZ54" s="392">
        <v>0</v>
      </c>
      <c r="NA54" s="567">
        <f t="shared" si="477"/>
        <v>0</v>
      </c>
      <c r="NB54" s="392">
        <v>0</v>
      </c>
      <c r="NC54" s="392">
        <v>0</v>
      </c>
      <c r="ND54" s="565">
        <f t="shared" si="478"/>
        <v>0</v>
      </c>
      <c r="NE54" s="559">
        <f t="shared" si="488"/>
        <v>22959</v>
      </c>
      <c r="NF54" s="388">
        <f t="shared" si="488"/>
        <v>23257</v>
      </c>
      <c r="NG54" s="576">
        <f t="shared" si="480"/>
        <v>46216</v>
      </c>
      <c r="NH54" s="575">
        <f t="shared" si="481"/>
        <v>1589</v>
      </c>
      <c r="NI54" s="396">
        <f t="shared" si="481"/>
        <v>1476</v>
      </c>
      <c r="NJ54" s="576">
        <f t="shared" si="482"/>
        <v>3065</v>
      </c>
    </row>
    <row r="55" spans="1:374" x14ac:dyDescent="0.3">
      <c r="A55" s="587" t="s">
        <v>298</v>
      </c>
      <c r="B55" s="588" t="s">
        <v>112</v>
      </c>
      <c r="C55" s="538">
        <v>1060</v>
      </c>
      <c r="D55" s="372">
        <v>986</v>
      </c>
      <c r="E55" s="372">
        <f t="shared" si="357"/>
        <v>2046</v>
      </c>
      <c r="F55" s="372">
        <v>1326</v>
      </c>
      <c r="G55" s="372">
        <v>1279</v>
      </c>
      <c r="H55" s="372">
        <f t="shared" si="358"/>
        <v>2605</v>
      </c>
      <c r="I55" s="372">
        <v>1639</v>
      </c>
      <c r="J55" s="372">
        <v>1469</v>
      </c>
      <c r="K55" s="372">
        <f t="shared" si="359"/>
        <v>3108</v>
      </c>
      <c r="L55" s="372">
        <v>1743</v>
      </c>
      <c r="M55" s="372">
        <v>1630</v>
      </c>
      <c r="N55" s="372">
        <f t="shared" si="360"/>
        <v>3373</v>
      </c>
      <c r="O55" s="372">
        <v>1943</v>
      </c>
      <c r="P55" s="372">
        <v>1895</v>
      </c>
      <c r="Q55" s="372">
        <f t="shared" si="361"/>
        <v>3838</v>
      </c>
      <c r="R55" s="372">
        <v>1945</v>
      </c>
      <c r="S55" s="372">
        <v>1960</v>
      </c>
      <c r="T55" s="372">
        <f t="shared" si="362"/>
        <v>3905</v>
      </c>
      <c r="U55" s="372">
        <v>2108</v>
      </c>
      <c r="V55" s="372">
        <v>2166</v>
      </c>
      <c r="W55" s="372">
        <f t="shared" si="363"/>
        <v>4274</v>
      </c>
      <c r="X55" s="372">
        <v>2298</v>
      </c>
      <c r="Y55" s="372">
        <v>2141</v>
      </c>
      <c r="Z55" s="372">
        <f t="shared" si="364"/>
        <v>4439</v>
      </c>
      <c r="AA55" s="372">
        <v>2196</v>
      </c>
      <c r="AB55" s="372">
        <v>2079</v>
      </c>
      <c r="AC55" s="372">
        <f t="shared" si="365"/>
        <v>4275</v>
      </c>
      <c r="AD55" s="372">
        <v>2169</v>
      </c>
      <c r="AE55" s="372">
        <v>2128</v>
      </c>
      <c r="AF55" s="372">
        <f t="shared" si="366"/>
        <v>4297</v>
      </c>
      <c r="AG55" s="372">
        <v>2180</v>
      </c>
      <c r="AH55" s="372">
        <v>2080</v>
      </c>
      <c r="AI55" s="372">
        <f t="shared" si="367"/>
        <v>4260</v>
      </c>
      <c r="AJ55" s="372">
        <v>2222</v>
      </c>
      <c r="AK55" s="372">
        <v>2082</v>
      </c>
      <c r="AL55" s="372">
        <f t="shared" si="368"/>
        <v>4304</v>
      </c>
      <c r="AM55" s="372">
        <v>2243</v>
      </c>
      <c r="AN55" s="372">
        <v>2055</v>
      </c>
      <c r="AO55" s="372">
        <f t="shared" si="369"/>
        <v>4298</v>
      </c>
      <c r="AP55" s="372">
        <v>2249</v>
      </c>
      <c r="AQ55" s="372">
        <v>2109</v>
      </c>
      <c r="AR55" s="372">
        <f t="shared" si="370"/>
        <v>4358</v>
      </c>
      <c r="AS55" s="372">
        <v>2299</v>
      </c>
      <c r="AT55" s="372">
        <v>2126</v>
      </c>
      <c r="AU55" s="372">
        <f t="shared" si="371"/>
        <v>4425</v>
      </c>
      <c r="AV55" s="372">
        <v>2201</v>
      </c>
      <c r="AW55" s="372">
        <v>2055</v>
      </c>
      <c r="AX55" s="372">
        <f t="shared" si="372"/>
        <v>4256</v>
      </c>
      <c r="AY55" s="372">
        <v>2235</v>
      </c>
      <c r="AZ55" s="372">
        <v>2030</v>
      </c>
      <c r="BA55" s="372">
        <f t="shared" si="373"/>
        <v>4265</v>
      </c>
      <c r="BB55" s="372">
        <v>1941</v>
      </c>
      <c r="BC55" s="372">
        <v>1982</v>
      </c>
      <c r="BD55" s="372">
        <f t="shared" si="374"/>
        <v>3923</v>
      </c>
      <c r="BE55" s="372">
        <v>2120</v>
      </c>
      <c r="BF55" s="372">
        <v>2012</v>
      </c>
      <c r="BG55" s="372">
        <f t="shared" si="375"/>
        <v>4132</v>
      </c>
      <c r="BH55" s="372">
        <v>2153</v>
      </c>
      <c r="BI55" s="372">
        <v>2073</v>
      </c>
      <c r="BJ55" s="372">
        <f t="shared" si="376"/>
        <v>4226</v>
      </c>
      <c r="BK55" s="372">
        <v>2016</v>
      </c>
      <c r="BL55" s="372">
        <v>1901</v>
      </c>
      <c r="BM55" s="372">
        <f t="shared" si="377"/>
        <v>3917</v>
      </c>
      <c r="BN55" s="372">
        <v>2079</v>
      </c>
      <c r="BO55" s="372">
        <v>1949</v>
      </c>
      <c r="BP55" s="372">
        <f t="shared" si="378"/>
        <v>4028</v>
      </c>
      <c r="BQ55" s="372">
        <v>2170</v>
      </c>
      <c r="BR55" s="372">
        <v>1992</v>
      </c>
      <c r="BS55" s="372">
        <f t="shared" si="379"/>
        <v>4162</v>
      </c>
      <c r="BT55" s="372">
        <v>2188</v>
      </c>
      <c r="BU55" s="372">
        <v>2037</v>
      </c>
      <c r="BV55" s="372">
        <f t="shared" si="380"/>
        <v>4225</v>
      </c>
      <c r="BW55" s="372">
        <v>2107</v>
      </c>
      <c r="BX55" s="372">
        <v>1931</v>
      </c>
      <c r="BY55" s="372">
        <f t="shared" si="381"/>
        <v>4038</v>
      </c>
      <c r="BZ55" s="372">
        <v>2154</v>
      </c>
      <c r="CA55" s="372">
        <v>2066</v>
      </c>
      <c r="CB55" s="372">
        <f t="shared" si="382"/>
        <v>4220</v>
      </c>
      <c r="CC55" s="372">
        <v>2165</v>
      </c>
      <c r="CD55" s="372">
        <v>2210</v>
      </c>
      <c r="CE55" s="372">
        <f t="shared" si="383"/>
        <v>4375</v>
      </c>
      <c r="CF55" s="372">
        <v>1870</v>
      </c>
      <c r="CG55" s="372">
        <v>1926</v>
      </c>
      <c r="CH55" s="372">
        <f t="shared" si="384"/>
        <v>3796</v>
      </c>
      <c r="CI55" s="372">
        <v>1996</v>
      </c>
      <c r="CJ55" s="372">
        <v>2016</v>
      </c>
      <c r="CK55" s="372">
        <f t="shared" si="385"/>
        <v>4012</v>
      </c>
      <c r="CL55" s="372">
        <v>1977</v>
      </c>
      <c r="CM55" s="372">
        <v>2035</v>
      </c>
      <c r="CN55" s="372">
        <f t="shared" si="386"/>
        <v>4012</v>
      </c>
      <c r="CO55" s="372">
        <v>2030</v>
      </c>
      <c r="CP55" s="372">
        <v>2094</v>
      </c>
      <c r="CQ55" s="372">
        <f t="shared" si="387"/>
        <v>4124</v>
      </c>
      <c r="CR55" s="372">
        <v>2003</v>
      </c>
      <c r="CS55" s="372">
        <v>2100</v>
      </c>
      <c r="CT55" s="372">
        <f t="shared" si="388"/>
        <v>4103</v>
      </c>
      <c r="CU55" s="372">
        <v>2036</v>
      </c>
      <c r="CV55" s="372">
        <v>1983</v>
      </c>
      <c r="CW55" s="372">
        <f t="shared" si="389"/>
        <v>4019</v>
      </c>
      <c r="CX55" s="372">
        <v>1930</v>
      </c>
      <c r="CY55" s="372">
        <v>1961</v>
      </c>
      <c r="CZ55" s="372">
        <f t="shared" si="390"/>
        <v>3891</v>
      </c>
      <c r="DA55" s="372">
        <v>1880</v>
      </c>
      <c r="DB55" s="372">
        <v>2004</v>
      </c>
      <c r="DC55" s="372">
        <f t="shared" si="391"/>
        <v>3884</v>
      </c>
      <c r="DD55" s="372">
        <v>1837</v>
      </c>
      <c r="DE55" s="372">
        <v>2008</v>
      </c>
      <c r="DF55" s="372">
        <f t="shared" si="392"/>
        <v>3845</v>
      </c>
      <c r="DG55" s="372">
        <v>1917</v>
      </c>
      <c r="DH55" s="372">
        <v>2043</v>
      </c>
      <c r="DI55" s="372">
        <f t="shared" si="393"/>
        <v>3960</v>
      </c>
      <c r="DJ55" s="372">
        <v>1715</v>
      </c>
      <c r="DK55" s="372">
        <v>1830</v>
      </c>
      <c r="DL55" s="372">
        <f t="shared" si="394"/>
        <v>3545</v>
      </c>
      <c r="DM55" s="372">
        <v>1818</v>
      </c>
      <c r="DN55" s="372">
        <v>1826</v>
      </c>
      <c r="DO55" s="372">
        <f t="shared" si="395"/>
        <v>3644</v>
      </c>
      <c r="DP55" s="372">
        <v>1797</v>
      </c>
      <c r="DQ55" s="372">
        <v>1862</v>
      </c>
      <c r="DR55" s="372">
        <f t="shared" si="396"/>
        <v>3659</v>
      </c>
      <c r="DS55" s="372">
        <v>1899</v>
      </c>
      <c r="DT55" s="372">
        <v>1990</v>
      </c>
      <c r="DU55" s="372">
        <f t="shared" si="397"/>
        <v>3889</v>
      </c>
      <c r="DV55" s="372">
        <v>1855</v>
      </c>
      <c r="DW55" s="372">
        <v>2016</v>
      </c>
      <c r="DX55" s="372">
        <f t="shared" si="398"/>
        <v>3871</v>
      </c>
      <c r="DY55" s="372">
        <v>1952</v>
      </c>
      <c r="DZ55" s="372">
        <v>2022</v>
      </c>
      <c r="EA55" s="372">
        <f t="shared" si="399"/>
        <v>3974</v>
      </c>
      <c r="EB55" s="372">
        <v>2074</v>
      </c>
      <c r="EC55" s="372">
        <v>2015</v>
      </c>
      <c r="ED55" s="372">
        <f t="shared" si="400"/>
        <v>4089</v>
      </c>
      <c r="EE55" s="372">
        <v>1872</v>
      </c>
      <c r="EF55" s="372">
        <v>2055</v>
      </c>
      <c r="EG55" s="372">
        <f t="shared" si="401"/>
        <v>3927</v>
      </c>
      <c r="EH55" s="372">
        <v>1815</v>
      </c>
      <c r="EI55" s="372">
        <v>1964</v>
      </c>
      <c r="EJ55" s="372">
        <f t="shared" si="402"/>
        <v>3779</v>
      </c>
      <c r="EK55" s="372">
        <v>1865</v>
      </c>
      <c r="EL55" s="372">
        <v>2064</v>
      </c>
      <c r="EM55" s="372">
        <f t="shared" si="403"/>
        <v>3929</v>
      </c>
      <c r="EN55" s="372">
        <v>1864</v>
      </c>
      <c r="EO55" s="372">
        <v>1922</v>
      </c>
      <c r="EP55" s="372">
        <f t="shared" si="404"/>
        <v>3786</v>
      </c>
      <c r="EQ55" s="372">
        <v>1763</v>
      </c>
      <c r="ER55" s="372">
        <v>1786</v>
      </c>
      <c r="ES55" s="372">
        <f t="shared" si="405"/>
        <v>3549</v>
      </c>
      <c r="ET55" s="372">
        <v>1734</v>
      </c>
      <c r="EU55" s="372">
        <v>1884</v>
      </c>
      <c r="EV55" s="372">
        <f t="shared" si="406"/>
        <v>3618</v>
      </c>
      <c r="EW55" s="372">
        <v>1750</v>
      </c>
      <c r="EX55" s="372">
        <v>1861</v>
      </c>
      <c r="EY55" s="372">
        <f t="shared" si="407"/>
        <v>3611</v>
      </c>
      <c r="EZ55" s="372">
        <v>1692</v>
      </c>
      <c r="FA55" s="372">
        <v>1858</v>
      </c>
      <c r="FB55" s="372">
        <f t="shared" si="408"/>
        <v>3550</v>
      </c>
      <c r="FC55" s="372">
        <v>1562</v>
      </c>
      <c r="FD55" s="372">
        <v>1626</v>
      </c>
      <c r="FE55" s="372">
        <f t="shared" si="409"/>
        <v>3188</v>
      </c>
      <c r="FF55" s="372">
        <v>1712</v>
      </c>
      <c r="FG55" s="372">
        <v>1763</v>
      </c>
      <c r="FH55" s="372">
        <f t="shared" si="410"/>
        <v>3475</v>
      </c>
      <c r="FI55" s="372">
        <v>1530</v>
      </c>
      <c r="FJ55" s="372">
        <v>1616</v>
      </c>
      <c r="FK55" s="372">
        <f t="shared" si="411"/>
        <v>3146</v>
      </c>
      <c r="FL55" s="372">
        <v>1498</v>
      </c>
      <c r="FM55" s="372">
        <v>1520</v>
      </c>
      <c r="FN55" s="372">
        <f t="shared" si="412"/>
        <v>3018</v>
      </c>
      <c r="FO55" s="372">
        <v>1582</v>
      </c>
      <c r="FP55" s="372">
        <v>1578</v>
      </c>
      <c r="FQ55" s="372">
        <f t="shared" si="413"/>
        <v>3160</v>
      </c>
      <c r="FR55" s="372">
        <v>1395</v>
      </c>
      <c r="FS55" s="372">
        <v>1389</v>
      </c>
      <c r="FT55" s="372">
        <f t="shared" si="414"/>
        <v>2784</v>
      </c>
      <c r="FU55" s="372">
        <v>1262</v>
      </c>
      <c r="FV55" s="372">
        <v>1387</v>
      </c>
      <c r="FW55" s="372">
        <f t="shared" si="415"/>
        <v>2649</v>
      </c>
      <c r="FX55" s="372">
        <v>1178</v>
      </c>
      <c r="FY55" s="372">
        <v>1164</v>
      </c>
      <c r="FZ55" s="372">
        <f t="shared" si="416"/>
        <v>2342</v>
      </c>
      <c r="GA55" s="372">
        <v>1242</v>
      </c>
      <c r="GB55" s="372">
        <v>1266</v>
      </c>
      <c r="GC55" s="372">
        <f t="shared" si="417"/>
        <v>2508</v>
      </c>
      <c r="GD55" s="372">
        <v>1046</v>
      </c>
      <c r="GE55" s="372">
        <v>1207</v>
      </c>
      <c r="GF55" s="372">
        <f t="shared" si="418"/>
        <v>2253</v>
      </c>
      <c r="GG55" s="372">
        <v>1001</v>
      </c>
      <c r="GH55" s="372">
        <v>1049</v>
      </c>
      <c r="GI55" s="372">
        <f t="shared" si="419"/>
        <v>2050</v>
      </c>
      <c r="GJ55" s="372">
        <v>943</v>
      </c>
      <c r="GK55" s="372">
        <v>980</v>
      </c>
      <c r="GL55" s="372">
        <f t="shared" si="420"/>
        <v>1923</v>
      </c>
      <c r="GM55" s="372">
        <v>812</v>
      </c>
      <c r="GN55" s="372">
        <v>860</v>
      </c>
      <c r="GO55" s="372">
        <f t="shared" si="421"/>
        <v>1672</v>
      </c>
      <c r="GP55" s="372">
        <v>805</v>
      </c>
      <c r="GQ55" s="372">
        <v>826</v>
      </c>
      <c r="GR55" s="372">
        <f t="shared" si="422"/>
        <v>1631</v>
      </c>
      <c r="GS55" s="372">
        <v>741</v>
      </c>
      <c r="GT55" s="372">
        <v>829</v>
      </c>
      <c r="GU55" s="372">
        <f t="shared" si="423"/>
        <v>1570</v>
      </c>
      <c r="GV55" s="372">
        <v>719</v>
      </c>
      <c r="GW55" s="372">
        <v>713</v>
      </c>
      <c r="GX55" s="372">
        <f t="shared" si="424"/>
        <v>1432</v>
      </c>
      <c r="GY55" s="372">
        <v>581</v>
      </c>
      <c r="GZ55" s="372">
        <v>663</v>
      </c>
      <c r="HA55" s="372">
        <f t="shared" si="425"/>
        <v>1244</v>
      </c>
      <c r="HB55" s="372">
        <v>507</v>
      </c>
      <c r="HC55" s="372">
        <v>538</v>
      </c>
      <c r="HD55" s="372">
        <f t="shared" si="426"/>
        <v>1045</v>
      </c>
      <c r="HE55" s="372">
        <v>458</v>
      </c>
      <c r="HF55" s="372">
        <v>545</v>
      </c>
      <c r="HG55" s="372">
        <f t="shared" si="427"/>
        <v>1003</v>
      </c>
      <c r="HH55" s="372">
        <v>435</v>
      </c>
      <c r="HI55" s="372">
        <v>529</v>
      </c>
      <c r="HJ55" s="372">
        <f t="shared" si="428"/>
        <v>964</v>
      </c>
      <c r="HK55" s="372">
        <v>394</v>
      </c>
      <c r="HL55" s="372">
        <v>413</v>
      </c>
      <c r="HM55" s="372">
        <f t="shared" si="429"/>
        <v>807</v>
      </c>
      <c r="HN55" s="372">
        <v>389</v>
      </c>
      <c r="HO55" s="372">
        <v>366</v>
      </c>
      <c r="HP55" s="372">
        <f t="shared" si="430"/>
        <v>755</v>
      </c>
      <c r="HQ55" s="372">
        <v>301</v>
      </c>
      <c r="HR55" s="372">
        <v>323</v>
      </c>
      <c r="HS55" s="372">
        <f t="shared" si="431"/>
        <v>624</v>
      </c>
      <c r="HT55" s="372">
        <v>267</v>
      </c>
      <c r="HU55" s="372">
        <v>277</v>
      </c>
      <c r="HV55" s="372">
        <f t="shared" si="432"/>
        <v>544</v>
      </c>
      <c r="HW55" s="372">
        <v>229</v>
      </c>
      <c r="HX55" s="372">
        <v>329</v>
      </c>
      <c r="HY55" s="372">
        <f t="shared" si="433"/>
        <v>558</v>
      </c>
      <c r="HZ55" s="372">
        <v>159</v>
      </c>
      <c r="IA55" s="372">
        <v>213</v>
      </c>
      <c r="IB55" s="372">
        <f t="shared" si="434"/>
        <v>372</v>
      </c>
      <c r="IC55" s="372">
        <v>137</v>
      </c>
      <c r="ID55" s="372">
        <v>220</v>
      </c>
      <c r="IE55" s="372">
        <f t="shared" si="435"/>
        <v>357</v>
      </c>
      <c r="IF55" s="372">
        <v>124</v>
      </c>
      <c r="IG55" s="372">
        <v>154</v>
      </c>
      <c r="IH55" s="372">
        <f t="shared" si="436"/>
        <v>278</v>
      </c>
      <c r="II55" s="372">
        <v>134</v>
      </c>
      <c r="IJ55" s="372">
        <v>175</v>
      </c>
      <c r="IK55" s="372">
        <f t="shared" si="437"/>
        <v>309</v>
      </c>
      <c r="IL55" s="372">
        <v>103</v>
      </c>
      <c r="IM55" s="372">
        <v>158</v>
      </c>
      <c r="IN55" s="372">
        <f t="shared" si="438"/>
        <v>261</v>
      </c>
      <c r="IO55" s="372">
        <v>106</v>
      </c>
      <c r="IP55" s="372">
        <v>141</v>
      </c>
      <c r="IQ55" s="372">
        <f t="shared" si="439"/>
        <v>247</v>
      </c>
      <c r="IR55" s="372">
        <v>106</v>
      </c>
      <c r="IS55" s="372">
        <v>149</v>
      </c>
      <c r="IT55" s="372">
        <f t="shared" si="440"/>
        <v>255</v>
      </c>
      <c r="IU55" s="372">
        <v>87</v>
      </c>
      <c r="IV55" s="372">
        <v>96</v>
      </c>
      <c r="IW55" s="372">
        <f t="shared" si="441"/>
        <v>183</v>
      </c>
      <c r="IX55" s="372">
        <v>71</v>
      </c>
      <c r="IY55" s="372">
        <v>72</v>
      </c>
      <c r="IZ55" s="372">
        <f t="shared" si="442"/>
        <v>143</v>
      </c>
      <c r="JA55" s="372">
        <v>70</v>
      </c>
      <c r="JB55" s="372">
        <v>92</v>
      </c>
      <c r="JC55" s="372">
        <f t="shared" si="443"/>
        <v>162</v>
      </c>
      <c r="JD55" s="372">
        <v>42</v>
      </c>
      <c r="JE55" s="372">
        <v>44</v>
      </c>
      <c r="JF55" s="372">
        <f t="shared" si="444"/>
        <v>86</v>
      </c>
      <c r="JG55" s="372">
        <v>33</v>
      </c>
      <c r="JH55" s="372">
        <v>52</v>
      </c>
      <c r="JI55" s="372">
        <f t="shared" si="445"/>
        <v>85</v>
      </c>
      <c r="JJ55" s="372">
        <v>25</v>
      </c>
      <c r="JK55" s="372">
        <v>28</v>
      </c>
      <c r="JL55" s="372">
        <f t="shared" si="446"/>
        <v>53</v>
      </c>
      <c r="JM55" s="372">
        <v>12</v>
      </c>
      <c r="JN55" s="372">
        <v>25</v>
      </c>
      <c r="JO55" s="372">
        <f t="shared" si="447"/>
        <v>37</v>
      </c>
      <c r="JP55" s="372">
        <v>19</v>
      </c>
      <c r="JQ55" s="372">
        <v>42</v>
      </c>
      <c r="JR55" s="372">
        <f t="shared" si="448"/>
        <v>61</v>
      </c>
      <c r="JS55" s="372">
        <v>11</v>
      </c>
      <c r="JT55" s="372">
        <v>23</v>
      </c>
      <c r="JU55" s="372">
        <f t="shared" si="449"/>
        <v>34</v>
      </c>
      <c r="JV55" s="372">
        <v>11</v>
      </c>
      <c r="JW55" s="372">
        <v>27</v>
      </c>
      <c r="JX55" s="372">
        <f t="shared" si="450"/>
        <v>38</v>
      </c>
      <c r="JY55" s="372">
        <v>10</v>
      </c>
      <c r="JZ55" s="372">
        <v>10</v>
      </c>
      <c r="KA55" s="372">
        <f t="shared" si="451"/>
        <v>20</v>
      </c>
      <c r="KB55" s="372">
        <v>4</v>
      </c>
      <c r="KC55" s="372">
        <v>4</v>
      </c>
      <c r="KD55" s="372">
        <f t="shared" si="452"/>
        <v>8</v>
      </c>
      <c r="KE55" s="372">
        <v>4</v>
      </c>
      <c r="KF55" s="372">
        <v>7</v>
      </c>
      <c r="KG55" s="372">
        <f t="shared" si="453"/>
        <v>11</v>
      </c>
      <c r="KH55" s="372">
        <v>2</v>
      </c>
      <c r="KI55" s="372">
        <v>0</v>
      </c>
      <c r="KJ55" s="372">
        <f t="shared" si="454"/>
        <v>2</v>
      </c>
      <c r="KK55" s="372">
        <v>0</v>
      </c>
      <c r="KL55" s="372">
        <v>2</v>
      </c>
      <c r="KM55" s="372">
        <f t="shared" si="455"/>
        <v>2</v>
      </c>
      <c r="KN55" s="372">
        <v>0</v>
      </c>
      <c r="KO55" s="372">
        <v>1</v>
      </c>
      <c r="KP55" s="372">
        <f t="shared" si="456"/>
        <v>1</v>
      </c>
      <c r="KQ55" s="372">
        <v>0</v>
      </c>
      <c r="KR55" s="372">
        <v>0</v>
      </c>
      <c r="KS55" s="372">
        <f t="shared" si="457"/>
        <v>0</v>
      </c>
      <c r="KT55" s="372">
        <v>1</v>
      </c>
      <c r="KU55" s="372">
        <v>1</v>
      </c>
      <c r="KV55" s="372">
        <f t="shared" si="458"/>
        <v>2</v>
      </c>
      <c r="KW55" s="372">
        <v>0</v>
      </c>
      <c r="KX55" s="372">
        <v>0</v>
      </c>
      <c r="KY55" s="372">
        <f t="shared" si="459"/>
        <v>0</v>
      </c>
      <c r="KZ55" s="372">
        <v>0</v>
      </c>
      <c r="LA55" s="372">
        <v>0</v>
      </c>
      <c r="LB55" s="372">
        <f t="shared" si="460"/>
        <v>0</v>
      </c>
      <c r="LC55" s="372">
        <v>0</v>
      </c>
      <c r="LD55" s="372">
        <v>0</v>
      </c>
      <c r="LE55" s="372">
        <f t="shared" si="461"/>
        <v>0</v>
      </c>
      <c r="LF55" s="372">
        <v>0</v>
      </c>
      <c r="LG55" s="372">
        <v>0</v>
      </c>
      <c r="LH55" s="372">
        <f t="shared" si="462"/>
        <v>0</v>
      </c>
      <c r="LI55" s="372">
        <v>0</v>
      </c>
      <c r="LJ55" s="372">
        <v>0</v>
      </c>
      <c r="LK55" s="372">
        <f t="shared" si="463"/>
        <v>0</v>
      </c>
      <c r="LL55" s="372">
        <v>0</v>
      </c>
      <c r="LM55" s="372">
        <v>0</v>
      </c>
      <c r="LN55" s="372">
        <f t="shared" si="464"/>
        <v>0</v>
      </c>
      <c r="LO55" s="372">
        <v>0</v>
      </c>
      <c r="LP55" s="372">
        <v>0</v>
      </c>
      <c r="LQ55" s="372">
        <f t="shared" si="465"/>
        <v>0</v>
      </c>
      <c r="LR55" s="372">
        <v>0</v>
      </c>
      <c r="LS55" s="372">
        <v>0</v>
      </c>
      <c r="LT55" s="372">
        <f t="shared" si="466"/>
        <v>0</v>
      </c>
      <c r="LU55" s="372">
        <v>0</v>
      </c>
      <c r="LV55" s="372">
        <v>0</v>
      </c>
      <c r="LW55" s="372">
        <f t="shared" si="467"/>
        <v>0</v>
      </c>
      <c r="LX55" s="372">
        <v>0</v>
      </c>
      <c r="LY55" s="372">
        <v>0</v>
      </c>
      <c r="LZ55" s="372">
        <f t="shared" si="468"/>
        <v>0</v>
      </c>
      <c r="MA55" s="372">
        <v>0</v>
      </c>
      <c r="MB55" s="372">
        <v>0</v>
      </c>
      <c r="MC55" s="372">
        <f t="shared" si="469"/>
        <v>0</v>
      </c>
      <c r="MD55" s="372">
        <v>0</v>
      </c>
      <c r="ME55" s="372">
        <v>0</v>
      </c>
      <c r="MF55" s="372">
        <f t="shared" si="470"/>
        <v>0</v>
      </c>
      <c r="MG55" s="372">
        <v>0</v>
      </c>
      <c r="MH55" s="372">
        <v>0</v>
      </c>
      <c r="MI55" s="372">
        <f t="shared" si="471"/>
        <v>0</v>
      </c>
      <c r="MJ55" s="372">
        <v>0</v>
      </c>
      <c r="MK55" s="372">
        <v>0</v>
      </c>
      <c r="ML55" s="372">
        <f t="shared" si="472"/>
        <v>0</v>
      </c>
      <c r="MM55" s="372">
        <v>0</v>
      </c>
      <c r="MN55" s="372">
        <v>0</v>
      </c>
      <c r="MO55" s="372">
        <f t="shared" si="473"/>
        <v>0</v>
      </c>
      <c r="MP55" s="372">
        <v>0</v>
      </c>
      <c r="MQ55" s="372">
        <v>0</v>
      </c>
      <c r="MR55" s="372">
        <f t="shared" si="474"/>
        <v>0</v>
      </c>
      <c r="MS55" s="372">
        <v>0</v>
      </c>
      <c r="MT55" s="372">
        <v>0</v>
      </c>
      <c r="MU55" s="372">
        <f t="shared" si="475"/>
        <v>0</v>
      </c>
      <c r="MV55" s="372">
        <v>0</v>
      </c>
      <c r="MW55" s="372">
        <v>0</v>
      </c>
      <c r="MX55" s="372">
        <f t="shared" si="476"/>
        <v>0</v>
      </c>
      <c r="MY55" s="372">
        <v>0</v>
      </c>
      <c r="MZ55" s="372">
        <v>0</v>
      </c>
      <c r="NA55" s="539">
        <f t="shared" si="477"/>
        <v>0</v>
      </c>
      <c r="NB55" s="372">
        <v>0</v>
      </c>
      <c r="NC55" s="372">
        <v>0</v>
      </c>
      <c r="ND55" s="537">
        <f t="shared" si="478"/>
        <v>0</v>
      </c>
      <c r="NE55" s="536">
        <f>SUM(C55,F55,I55,L55,O55,R55,U55,X55,AA55,AD55,AG55,AJ55,AM55,AP55,AS55,AV55,AY55,BB55,BE55,BH55,BK55,BN55,BQ55,BT55,BW55,BZ55,CC55,CF55,CI55,CL55,CO55,CR55,CU55,CX55,DA55,DD55,DG55,DJ55,DM55,DP55,DS55,DV55,DY55,EB55,EE55,EH55,EK55,EN55,EQ55,ET55,EW55,EZ55,FC55,FF55,FI55,FL55,FO55,FR55,FU55,FX55,GA55,GD55,GG55,GJ55,GM55,GP55,GS55,GV55,GY55,HB55,HE55,HH55,HK55,HN55,HQ55,HT55,HW55,HZ55,IC55,IF55,II55,IL55,IO55,IR55,IU55,IX55,JA55,JD55,JG55,JJ55,JM55,JP55,JS55,JV55,JY55,KB55,KE55,KH55,KK55,KN55,KQ55,KT55,KW55,KZ55,LC55,LF55,LI55,LL55,LO55,LR55,LU55,LX55,MA55,MD55,MG55,MJ55,MM55,MP55,MS55,MV55,MY55)</f>
        <v>125950</v>
      </c>
      <c r="NF55" s="372">
        <f>SUM(D55,G55,J55,M55,P55,S55,V55,Y55,AB55,AE55,AH55,AK55,AN55,AQ55,AT55,AW55,AZ55,BC55,BF55,BI55,BL55,BO55,BR55,BU55,BX55,CA55,CD55,CG55,CJ55,CM55,CP55,CS55,CV55,CY55,DB55,DE55,DH55,DK55,DN55,DQ55,DT55,DW55,DZ55,EC55,EF55,EI55,EL55,EO55,ER55,EU55,EX55,FA55,FD55,FG55,FJ55,FM55,FP55,FS55,FV55,FY55,GB55,GE55,GH55,GK55,GN55,GQ55,GT55,GW55,GZ55,HC55,HF55,HI55,HL55,HO55,HR55,HU55,HX55,IA55,ID55,IG55,IJ55,IM55,IP55,IS55,IV55,IY55,JB55,JE55,JH55,JK55,JN55,JQ55,JT55,JW55,JZ55,KC55,KF55,KI55,KL55,KO55,KR55,KU55,KX55,LA55,LD55,LG55,LJ55,LM55,LP55,LS55,LV55,LY55,MB55,ME55,MH55,MK55,MN55,MQ55,MT55,MW55,MZ55)</f>
        <v>127040</v>
      </c>
      <c r="NG55" s="595">
        <f t="shared" si="480"/>
        <v>252990</v>
      </c>
      <c r="NH55" s="596">
        <f t="shared" si="481"/>
        <v>9656</v>
      </c>
      <c r="NI55" s="597">
        <f t="shared" si="481"/>
        <v>9219</v>
      </c>
      <c r="NJ55" s="595">
        <f t="shared" si="482"/>
        <v>18875</v>
      </c>
    </row>
    <row r="56" spans="1:374" x14ac:dyDescent="0.3">
      <c r="A56" s="541" t="s">
        <v>299</v>
      </c>
      <c r="B56" s="589" t="s">
        <v>110</v>
      </c>
      <c r="C56" s="544">
        <v>186</v>
      </c>
      <c r="D56" s="376">
        <v>162</v>
      </c>
      <c r="E56" s="376">
        <f t="shared" si="357"/>
        <v>348</v>
      </c>
      <c r="F56" s="376">
        <v>225</v>
      </c>
      <c r="G56" s="376">
        <v>216</v>
      </c>
      <c r="H56" s="376">
        <f t="shared" si="358"/>
        <v>441</v>
      </c>
      <c r="I56" s="376">
        <v>283</v>
      </c>
      <c r="J56" s="376">
        <v>239</v>
      </c>
      <c r="K56" s="376">
        <f t="shared" si="359"/>
        <v>522</v>
      </c>
      <c r="L56" s="376">
        <v>304</v>
      </c>
      <c r="M56" s="376">
        <v>280</v>
      </c>
      <c r="N56" s="376">
        <f t="shared" si="360"/>
        <v>584</v>
      </c>
      <c r="O56" s="376">
        <v>330</v>
      </c>
      <c r="P56" s="376">
        <v>298</v>
      </c>
      <c r="Q56" s="376">
        <f t="shared" si="361"/>
        <v>628</v>
      </c>
      <c r="R56" s="376">
        <v>323</v>
      </c>
      <c r="S56" s="376">
        <v>314</v>
      </c>
      <c r="T56" s="376">
        <f t="shared" si="362"/>
        <v>637</v>
      </c>
      <c r="U56" s="376">
        <v>342</v>
      </c>
      <c r="V56" s="376">
        <v>330</v>
      </c>
      <c r="W56" s="376">
        <f t="shared" si="363"/>
        <v>672</v>
      </c>
      <c r="X56" s="376">
        <v>360</v>
      </c>
      <c r="Y56" s="376">
        <v>375</v>
      </c>
      <c r="Z56" s="376">
        <f t="shared" si="364"/>
        <v>735</v>
      </c>
      <c r="AA56" s="376">
        <v>363</v>
      </c>
      <c r="AB56" s="376">
        <v>331</v>
      </c>
      <c r="AC56" s="376">
        <f t="shared" si="365"/>
        <v>694</v>
      </c>
      <c r="AD56" s="376">
        <v>349</v>
      </c>
      <c r="AE56" s="376">
        <v>355</v>
      </c>
      <c r="AF56" s="376">
        <f t="shared" si="366"/>
        <v>704</v>
      </c>
      <c r="AG56" s="376">
        <v>348</v>
      </c>
      <c r="AH56" s="376">
        <v>327</v>
      </c>
      <c r="AI56" s="376">
        <f t="shared" si="367"/>
        <v>675</v>
      </c>
      <c r="AJ56" s="376">
        <v>375</v>
      </c>
      <c r="AK56" s="376">
        <v>346</v>
      </c>
      <c r="AL56" s="376">
        <f t="shared" si="368"/>
        <v>721</v>
      </c>
      <c r="AM56" s="376">
        <v>391</v>
      </c>
      <c r="AN56" s="376">
        <v>334</v>
      </c>
      <c r="AO56" s="376">
        <f t="shared" si="369"/>
        <v>725</v>
      </c>
      <c r="AP56" s="376">
        <v>370</v>
      </c>
      <c r="AQ56" s="376">
        <v>357</v>
      </c>
      <c r="AR56" s="376">
        <f t="shared" si="370"/>
        <v>727</v>
      </c>
      <c r="AS56" s="376">
        <v>372</v>
      </c>
      <c r="AT56" s="376">
        <v>360</v>
      </c>
      <c r="AU56" s="376">
        <f t="shared" si="371"/>
        <v>732</v>
      </c>
      <c r="AV56" s="376">
        <v>341</v>
      </c>
      <c r="AW56" s="376">
        <v>322</v>
      </c>
      <c r="AX56" s="376">
        <f t="shared" si="372"/>
        <v>663</v>
      </c>
      <c r="AY56" s="376">
        <v>346</v>
      </c>
      <c r="AZ56" s="376">
        <v>341</v>
      </c>
      <c r="BA56" s="376">
        <f t="shared" si="373"/>
        <v>687</v>
      </c>
      <c r="BB56" s="376">
        <v>322</v>
      </c>
      <c r="BC56" s="376">
        <v>343</v>
      </c>
      <c r="BD56" s="376">
        <f t="shared" si="374"/>
        <v>665</v>
      </c>
      <c r="BE56" s="376">
        <v>338</v>
      </c>
      <c r="BF56" s="376">
        <v>308</v>
      </c>
      <c r="BG56" s="376">
        <f t="shared" si="375"/>
        <v>646</v>
      </c>
      <c r="BH56" s="376">
        <v>360</v>
      </c>
      <c r="BI56" s="376">
        <v>357</v>
      </c>
      <c r="BJ56" s="376">
        <f t="shared" si="376"/>
        <v>717</v>
      </c>
      <c r="BK56" s="376">
        <v>324</v>
      </c>
      <c r="BL56" s="376">
        <v>291</v>
      </c>
      <c r="BM56" s="376">
        <f t="shared" si="377"/>
        <v>615</v>
      </c>
      <c r="BN56" s="376">
        <v>337</v>
      </c>
      <c r="BO56" s="376">
        <v>331</v>
      </c>
      <c r="BP56" s="376">
        <f t="shared" si="378"/>
        <v>668</v>
      </c>
      <c r="BQ56" s="376">
        <v>369</v>
      </c>
      <c r="BR56" s="376">
        <v>328</v>
      </c>
      <c r="BS56" s="376">
        <f t="shared" si="379"/>
        <v>697</v>
      </c>
      <c r="BT56" s="376">
        <v>326</v>
      </c>
      <c r="BU56" s="376">
        <v>357</v>
      </c>
      <c r="BV56" s="376">
        <f t="shared" si="380"/>
        <v>683</v>
      </c>
      <c r="BW56" s="376">
        <v>352</v>
      </c>
      <c r="BX56" s="376">
        <v>328</v>
      </c>
      <c r="BY56" s="376">
        <f t="shared" si="381"/>
        <v>680</v>
      </c>
      <c r="BZ56" s="376">
        <v>362</v>
      </c>
      <c r="CA56" s="376">
        <v>349</v>
      </c>
      <c r="CB56" s="376">
        <f t="shared" si="382"/>
        <v>711</v>
      </c>
      <c r="CC56" s="376">
        <v>371</v>
      </c>
      <c r="CD56" s="376">
        <v>371</v>
      </c>
      <c r="CE56" s="376">
        <f t="shared" si="383"/>
        <v>742</v>
      </c>
      <c r="CF56" s="376">
        <v>309</v>
      </c>
      <c r="CG56" s="376">
        <v>340</v>
      </c>
      <c r="CH56" s="376">
        <f t="shared" si="384"/>
        <v>649</v>
      </c>
      <c r="CI56" s="376">
        <v>333</v>
      </c>
      <c r="CJ56" s="376">
        <v>313</v>
      </c>
      <c r="CK56" s="376">
        <f t="shared" si="385"/>
        <v>646</v>
      </c>
      <c r="CL56" s="376">
        <v>353</v>
      </c>
      <c r="CM56" s="376">
        <v>324</v>
      </c>
      <c r="CN56" s="376">
        <f t="shared" si="386"/>
        <v>677</v>
      </c>
      <c r="CO56" s="376">
        <v>334</v>
      </c>
      <c r="CP56" s="376">
        <v>360</v>
      </c>
      <c r="CQ56" s="376">
        <f t="shared" si="387"/>
        <v>694</v>
      </c>
      <c r="CR56" s="376">
        <v>342</v>
      </c>
      <c r="CS56" s="376">
        <v>357</v>
      </c>
      <c r="CT56" s="376">
        <f t="shared" si="388"/>
        <v>699</v>
      </c>
      <c r="CU56" s="376">
        <v>337</v>
      </c>
      <c r="CV56" s="376">
        <v>301</v>
      </c>
      <c r="CW56" s="376">
        <f t="shared" si="389"/>
        <v>638</v>
      </c>
      <c r="CX56" s="376">
        <v>332</v>
      </c>
      <c r="CY56" s="376">
        <v>304</v>
      </c>
      <c r="CZ56" s="376">
        <f t="shared" si="390"/>
        <v>636</v>
      </c>
      <c r="DA56" s="376">
        <v>342</v>
      </c>
      <c r="DB56" s="376">
        <v>328</v>
      </c>
      <c r="DC56" s="376">
        <f t="shared" si="391"/>
        <v>670</v>
      </c>
      <c r="DD56" s="376">
        <v>320</v>
      </c>
      <c r="DE56" s="376">
        <v>350</v>
      </c>
      <c r="DF56" s="376">
        <f t="shared" si="392"/>
        <v>670</v>
      </c>
      <c r="DG56" s="376">
        <v>309</v>
      </c>
      <c r="DH56" s="376">
        <v>364</v>
      </c>
      <c r="DI56" s="376">
        <f t="shared" si="393"/>
        <v>673</v>
      </c>
      <c r="DJ56" s="376">
        <v>299</v>
      </c>
      <c r="DK56" s="376">
        <v>301</v>
      </c>
      <c r="DL56" s="376">
        <f t="shared" si="394"/>
        <v>600</v>
      </c>
      <c r="DM56" s="376">
        <v>293</v>
      </c>
      <c r="DN56" s="376">
        <v>281</v>
      </c>
      <c r="DO56" s="376">
        <f t="shared" si="395"/>
        <v>574</v>
      </c>
      <c r="DP56" s="376">
        <v>326</v>
      </c>
      <c r="DQ56" s="376">
        <v>336</v>
      </c>
      <c r="DR56" s="376">
        <f t="shared" si="396"/>
        <v>662</v>
      </c>
      <c r="DS56" s="376">
        <v>327</v>
      </c>
      <c r="DT56" s="376">
        <v>321</v>
      </c>
      <c r="DU56" s="376">
        <f t="shared" si="397"/>
        <v>648</v>
      </c>
      <c r="DV56" s="376">
        <v>322</v>
      </c>
      <c r="DW56" s="376">
        <v>318</v>
      </c>
      <c r="DX56" s="376">
        <f t="shared" si="398"/>
        <v>640</v>
      </c>
      <c r="DY56" s="376">
        <v>342</v>
      </c>
      <c r="DZ56" s="376">
        <v>322</v>
      </c>
      <c r="EA56" s="376">
        <f t="shared" si="399"/>
        <v>664</v>
      </c>
      <c r="EB56" s="376">
        <v>335</v>
      </c>
      <c r="EC56" s="376">
        <v>356</v>
      </c>
      <c r="ED56" s="376">
        <f t="shared" si="400"/>
        <v>691</v>
      </c>
      <c r="EE56" s="376">
        <v>315</v>
      </c>
      <c r="EF56" s="376">
        <v>326</v>
      </c>
      <c r="EG56" s="376">
        <f t="shared" si="401"/>
        <v>641</v>
      </c>
      <c r="EH56" s="376">
        <v>306</v>
      </c>
      <c r="EI56" s="376">
        <v>332</v>
      </c>
      <c r="EJ56" s="376">
        <f t="shared" si="402"/>
        <v>638</v>
      </c>
      <c r="EK56" s="376">
        <v>286</v>
      </c>
      <c r="EL56" s="376">
        <v>310</v>
      </c>
      <c r="EM56" s="376">
        <f t="shared" si="403"/>
        <v>596</v>
      </c>
      <c r="EN56" s="376">
        <v>302</v>
      </c>
      <c r="EO56" s="376">
        <v>300</v>
      </c>
      <c r="EP56" s="376">
        <f t="shared" si="404"/>
        <v>602</v>
      </c>
      <c r="EQ56" s="376">
        <v>268</v>
      </c>
      <c r="ER56" s="376">
        <v>276</v>
      </c>
      <c r="ES56" s="376">
        <f t="shared" si="405"/>
        <v>544</v>
      </c>
      <c r="ET56" s="376">
        <v>278</v>
      </c>
      <c r="EU56" s="376">
        <v>292</v>
      </c>
      <c r="EV56" s="376">
        <f t="shared" si="406"/>
        <v>570</v>
      </c>
      <c r="EW56" s="376">
        <v>294</v>
      </c>
      <c r="EX56" s="376">
        <v>321</v>
      </c>
      <c r="EY56" s="376">
        <f t="shared" si="407"/>
        <v>615</v>
      </c>
      <c r="EZ56" s="376">
        <v>264</v>
      </c>
      <c r="FA56" s="376">
        <v>285</v>
      </c>
      <c r="FB56" s="376">
        <f t="shared" si="408"/>
        <v>549</v>
      </c>
      <c r="FC56" s="376">
        <v>265</v>
      </c>
      <c r="FD56" s="376">
        <v>269</v>
      </c>
      <c r="FE56" s="376">
        <f t="shared" si="409"/>
        <v>534</v>
      </c>
      <c r="FF56" s="376">
        <v>285</v>
      </c>
      <c r="FG56" s="376">
        <v>293</v>
      </c>
      <c r="FH56" s="376">
        <f t="shared" si="410"/>
        <v>578</v>
      </c>
      <c r="FI56" s="376">
        <v>243</v>
      </c>
      <c r="FJ56" s="376">
        <v>256</v>
      </c>
      <c r="FK56" s="376">
        <f t="shared" si="411"/>
        <v>499</v>
      </c>
      <c r="FL56" s="376">
        <v>253</v>
      </c>
      <c r="FM56" s="376">
        <v>250</v>
      </c>
      <c r="FN56" s="376">
        <f t="shared" si="412"/>
        <v>503</v>
      </c>
      <c r="FO56" s="376">
        <v>267</v>
      </c>
      <c r="FP56" s="376">
        <v>296</v>
      </c>
      <c r="FQ56" s="376">
        <f t="shared" si="413"/>
        <v>563</v>
      </c>
      <c r="FR56" s="376">
        <v>216</v>
      </c>
      <c r="FS56" s="376">
        <v>230</v>
      </c>
      <c r="FT56" s="376">
        <f t="shared" si="414"/>
        <v>446</v>
      </c>
      <c r="FU56" s="376">
        <v>189</v>
      </c>
      <c r="FV56" s="376">
        <v>259</v>
      </c>
      <c r="FW56" s="376">
        <f t="shared" si="415"/>
        <v>448</v>
      </c>
      <c r="FX56" s="376">
        <v>230</v>
      </c>
      <c r="FY56" s="376">
        <v>177</v>
      </c>
      <c r="FZ56" s="376">
        <f t="shared" si="416"/>
        <v>407</v>
      </c>
      <c r="GA56" s="376">
        <v>192</v>
      </c>
      <c r="GB56" s="376">
        <v>209</v>
      </c>
      <c r="GC56" s="376">
        <f t="shared" si="417"/>
        <v>401</v>
      </c>
      <c r="GD56" s="376">
        <v>204</v>
      </c>
      <c r="GE56" s="376">
        <v>236</v>
      </c>
      <c r="GF56" s="376">
        <f t="shared" si="418"/>
        <v>440</v>
      </c>
      <c r="GG56" s="376">
        <v>176</v>
      </c>
      <c r="GH56" s="376">
        <v>172</v>
      </c>
      <c r="GI56" s="376">
        <f t="shared" si="419"/>
        <v>348</v>
      </c>
      <c r="GJ56" s="376">
        <v>142</v>
      </c>
      <c r="GK56" s="376">
        <v>164</v>
      </c>
      <c r="GL56" s="376">
        <f t="shared" si="420"/>
        <v>306</v>
      </c>
      <c r="GM56" s="376">
        <v>131</v>
      </c>
      <c r="GN56" s="376">
        <v>146</v>
      </c>
      <c r="GO56" s="376">
        <f t="shared" si="421"/>
        <v>277</v>
      </c>
      <c r="GP56" s="376">
        <v>159</v>
      </c>
      <c r="GQ56" s="376">
        <v>158</v>
      </c>
      <c r="GR56" s="376">
        <f t="shared" si="422"/>
        <v>317</v>
      </c>
      <c r="GS56" s="376">
        <v>127</v>
      </c>
      <c r="GT56" s="376">
        <v>157</v>
      </c>
      <c r="GU56" s="376">
        <f t="shared" si="423"/>
        <v>284</v>
      </c>
      <c r="GV56" s="376">
        <v>137</v>
      </c>
      <c r="GW56" s="376">
        <v>131</v>
      </c>
      <c r="GX56" s="376">
        <f t="shared" si="424"/>
        <v>268</v>
      </c>
      <c r="GY56" s="376">
        <v>97</v>
      </c>
      <c r="GZ56" s="376">
        <v>125</v>
      </c>
      <c r="HA56" s="376">
        <f t="shared" si="425"/>
        <v>222</v>
      </c>
      <c r="HB56" s="376">
        <v>91</v>
      </c>
      <c r="HC56" s="376">
        <v>112</v>
      </c>
      <c r="HD56" s="376">
        <f t="shared" si="426"/>
        <v>203</v>
      </c>
      <c r="HE56" s="376">
        <v>82</v>
      </c>
      <c r="HF56" s="376">
        <v>103</v>
      </c>
      <c r="HG56" s="376">
        <f t="shared" si="427"/>
        <v>185</v>
      </c>
      <c r="HH56" s="376">
        <v>84</v>
      </c>
      <c r="HI56" s="376">
        <v>90</v>
      </c>
      <c r="HJ56" s="376">
        <f t="shared" si="428"/>
        <v>174</v>
      </c>
      <c r="HK56" s="376">
        <v>76</v>
      </c>
      <c r="HL56" s="376">
        <v>68</v>
      </c>
      <c r="HM56" s="376">
        <f t="shared" si="429"/>
        <v>144</v>
      </c>
      <c r="HN56" s="376">
        <v>83</v>
      </c>
      <c r="HO56" s="376">
        <v>68</v>
      </c>
      <c r="HP56" s="376">
        <f t="shared" si="430"/>
        <v>151</v>
      </c>
      <c r="HQ56" s="376">
        <v>55</v>
      </c>
      <c r="HR56" s="376">
        <v>61</v>
      </c>
      <c r="HS56" s="376">
        <f t="shared" si="431"/>
        <v>116</v>
      </c>
      <c r="HT56" s="376">
        <v>37</v>
      </c>
      <c r="HU56" s="376">
        <v>50</v>
      </c>
      <c r="HV56" s="376">
        <f t="shared" si="432"/>
        <v>87</v>
      </c>
      <c r="HW56" s="376">
        <v>61</v>
      </c>
      <c r="HX56" s="376">
        <v>78</v>
      </c>
      <c r="HY56" s="376">
        <f t="shared" si="433"/>
        <v>139</v>
      </c>
      <c r="HZ56" s="376">
        <v>35</v>
      </c>
      <c r="IA56" s="376">
        <v>42</v>
      </c>
      <c r="IB56" s="376">
        <f t="shared" si="434"/>
        <v>77</v>
      </c>
      <c r="IC56" s="376">
        <v>30</v>
      </c>
      <c r="ID56" s="376">
        <v>46</v>
      </c>
      <c r="IE56" s="376">
        <f t="shared" si="435"/>
        <v>76</v>
      </c>
      <c r="IF56" s="376">
        <v>24</v>
      </c>
      <c r="IG56" s="376">
        <v>32</v>
      </c>
      <c r="IH56" s="376">
        <f t="shared" si="436"/>
        <v>56</v>
      </c>
      <c r="II56" s="376">
        <v>29</v>
      </c>
      <c r="IJ56" s="376">
        <v>32</v>
      </c>
      <c r="IK56" s="376">
        <f t="shared" si="437"/>
        <v>61</v>
      </c>
      <c r="IL56" s="376">
        <v>21</v>
      </c>
      <c r="IM56" s="376">
        <v>17</v>
      </c>
      <c r="IN56" s="376">
        <f t="shared" si="438"/>
        <v>38</v>
      </c>
      <c r="IO56" s="376">
        <v>14</v>
      </c>
      <c r="IP56" s="376">
        <v>25</v>
      </c>
      <c r="IQ56" s="376">
        <f t="shared" si="439"/>
        <v>39</v>
      </c>
      <c r="IR56" s="376">
        <v>24</v>
      </c>
      <c r="IS56" s="376">
        <v>22</v>
      </c>
      <c r="IT56" s="376">
        <f t="shared" si="440"/>
        <v>46</v>
      </c>
      <c r="IU56" s="376">
        <v>12</v>
      </c>
      <c r="IV56" s="376">
        <v>11</v>
      </c>
      <c r="IW56" s="376">
        <f t="shared" si="441"/>
        <v>23</v>
      </c>
      <c r="IX56" s="376">
        <v>7</v>
      </c>
      <c r="IY56" s="376">
        <v>13</v>
      </c>
      <c r="IZ56" s="376">
        <f t="shared" si="442"/>
        <v>20</v>
      </c>
      <c r="JA56" s="376">
        <v>13</v>
      </c>
      <c r="JB56" s="376">
        <v>25</v>
      </c>
      <c r="JC56" s="376">
        <f t="shared" si="443"/>
        <v>38</v>
      </c>
      <c r="JD56" s="376">
        <v>4</v>
      </c>
      <c r="JE56" s="376">
        <v>6</v>
      </c>
      <c r="JF56" s="376">
        <f t="shared" si="444"/>
        <v>10</v>
      </c>
      <c r="JG56" s="376">
        <v>7</v>
      </c>
      <c r="JH56" s="376">
        <v>7</v>
      </c>
      <c r="JI56" s="376">
        <f t="shared" si="445"/>
        <v>14</v>
      </c>
      <c r="JJ56" s="376">
        <v>7</v>
      </c>
      <c r="JK56" s="376">
        <v>3</v>
      </c>
      <c r="JL56" s="376">
        <f t="shared" si="446"/>
        <v>10</v>
      </c>
      <c r="JM56" s="376">
        <v>1</v>
      </c>
      <c r="JN56" s="376">
        <v>5</v>
      </c>
      <c r="JO56" s="376">
        <f t="shared" si="447"/>
        <v>6</v>
      </c>
      <c r="JP56" s="376">
        <v>4</v>
      </c>
      <c r="JQ56" s="376">
        <v>4</v>
      </c>
      <c r="JR56" s="376">
        <f t="shared" si="448"/>
        <v>8</v>
      </c>
      <c r="JS56" s="376">
        <v>1</v>
      </c>
      <c r="JT56" s="376">
        <v>5</v>
      </c>
      <c r="JU56" s="376">
        <f t="shared" si="449"/>
        <v>6</v>
      </c>
      <c r="JV56" s="376">
        <v>1</v>
      </c>
      <c r="JW56" s="376">
        <v>0</v>
      </c>
      <c r="JX56" s="376">
        <f t="shared" si="450"/>
        <v>1</v>
      </c>
      <c r="JY56" s="376">
        <v>0</v>
      </c>
      <c r="JZ56" s="376">
        <v>0</v>
      </c>
      <c r="KA56" s="376">
        <f t="shared" si="451"/>
        <v>0</v>
      </c>
      <c r="KB56" s="376">
        <v>0</v>
      </c>
      <c r="KC56" s="376">
        <v>0</v>
      </c>
      <c r="KD56" s="376">
        <f t="shared" si="452"/>
        <v>0</v>
      </c>
      <c r="KE56" s="376">
        <v>0</v>
      </c>
      <c r="KF56" s="376">
        <v>2</v>
      </c>
      <c r="KG56" s="376">
        <f t="shared" si="453"/>
        <v>2</v>
      </c>
      <c r="KH56" s="376">
        <v>0</v>
      </c>
      <c r="KI56" s="376">
        <v>0</v>
      </c>
      <c r="KJ56" s="376">
        <f t="shared" si="454"/>
        <v>0</v>
      </c>
      <c r="KK56" s="376">
        <v>0</v>
      </c>
      <c r="KL56" s="376">
        <v>0</v>
      </c>
      <c r="KM56" s="376">
        <f t="shared" si="455"/>
        <v>0</v>
      </c>
      <c r="KN56" s="376">
        <v>0</v>
      </c>
      <c r="KO56" s="376">
        <v>0</v>
      </c>
      <c r="KP56" s="376">
        <f t="shared" si="456"/>
        <v>0</v>
      </c>
      <c r="KQ56" s="376">
        <v>0</v>
      </c>
      <c r="KR56" s="376">
        <v>0</v>
      </c>
      <c r="KS56" s="376">
        <f t="shared" si="457"/>
        <v>0</v>
      </c>
      <c r="KT56" s="376">
        <v>0</v>
      </c>
      <c r="KU56" s="376">
        <v>0</v>
      </c>
      <c r="KV56" s="376">
        <f t="shared" si="458"/>
        <v>0</v>
      </c>
      <c r="KW56" s="376">
        <v>0</v>
      </c>
      <c r="KX56" s="376">
        <v>0</v>
      </c>
      <c r="KY56" s="376">
        <f t="shared" si="459"/>
        <v>0</v>
      </c>
      <c r="KZ56" s="376">
        <v>0</v>
      </c>
      <c r="LA56" s="376">
        <v>0</v>
      </c>
      <c r="LB56" s="376">
        <f t="shared" si="460"/>
        <v>0</v>
      </c>
      <c r="LC56" s="376">
        <v>0</v>
      </c>
      <c r="LD56" s="376">
        <v>0</v>
      </c>
      <c r="LE56" s="376">
        <f t="shared" si="461"/>
        <v>0</v>
      </c>
      <c r="LF56" s="376">
        <v>0</v>
      </c>
      <c r="LG56" s="376">
        <v>0</v>
      </c>
      <c r="LH56" s="376">
        <f t="shared" si="462"/>
        <v>0</v>
      </c>
      <c r="LI56" s="376">
        <v>0</v>
      </c>
      <c r="LJ56" s="376">
        <v>0</v>
      </c>
      <c r="LK56" s="376">
        <f t="shared" si="463"/>
        <v>0</v>
      </c>
      <c r="LL56" s="376">
        <v>0</v>
      </c>
      <c r="LM56" s="376">
        <v>0</v>
      </c>
      <c r="LN56" s="376">
        <f t="shared" si="464"/>
        <v>0</v>
      </c>
      <c r="LO56" s="376">
        <v>0</v>
      </c>
      <c r="LP56" s="376">
        <v>0</v>
      </c>
      <c r="LQ56" s="376">
        <f t="shared" si="465"/>
        <v>0</v>
      </c>
      <c r="LR56" s="376">
        <v>0</v>
      </c>
      <c r="LS56" s="376">
        <v>0</v>
      </c>
      <c r="LT56" s="376">
        <f t="shared" si="466"/>
        <v>0</v>
      </c>
      <c r="LU56" s="376">
        <v>0</v>
      </c>
      <c r="LV56" s="376">
        <v>0</v>
      </c>
      <c r="LW56" s="376">
        <f t="shared" si="467"/>
        <v>0</v>
      </c>
      <c r="LX56" s="376">
        <v>0</v>
      </c>
      <c r="LY56" s="376">
        <v>0</v>
      </c>
      <c r="LZ56" s="376">
        <f t="shared" si="468"/>
        <v>0</v>
      </c>
      <c r="MA56" s="376">
        <v>0</v>
      </c>
      <c r="MB56" s="376">
        <v>0</v>
      </c>
      <c r="MC56" s="376">
        <f t="shared" si="469"/>
        <v>0</v>
      </c>
      <c r="MD56" s="376">
        <v>0</v>
      </c>
      <c r="ME56" s="376">
        <v>0</v>
      </c>
      <c r="MF56" s="376">
        <f t="shared" si="470"/>
        <v>0</v>
      </c>
      <c r="MG56" s="376">
        <v>0</v>
      </c>
      <c r="MH56" s="376">
        <v>0</v>
      </c>
      <c r="MI56" s="376">
        <f t="shared" si="471"/>
        <v>0</v>
      </c>
      <c r="MJ56" s="376">
        <v>0</v>
      </c>
      <c r="MK56" s="376">
        <v>0</v>
      </c>
      <c r="ML56" s="376">
        <f t="shared" si="472"/>
        <v>0</v>
      </c>
      <c r="MM56" s="376">
        <v>0</v>
      </c>
      <c r="MN56" s="376">
        <v>0</v>
      </c>
      <c r="MO56" s="376">
        <f t="shared" si="473"/>
        <v>0</v>
      </c>
      <c r="MP56" s="376">
        <v>0</v>
      </c>
      <c r="MQ56" s="376">
        <v>0</v>
      </c>
      <c r="MR56" s="376">
        <f t="shared" si="474"/>
        <v>0</v>
      </c>
      <c r="MS56" s="376">
        <v>0</v>
      </c>
      <c r="MT56" s="376">
        <v>0</v>
      </c>
      <c r="MU56" s="376">
        <f t="shared" si="475"/>
        <v>0</v>
      </c>
      <c r="MV56" s="376">
        <v>0</v>
      </c>
      <c r="MW56" s="376">
        <v>0</v>
      </c>
      <c r="MX56" s="376">
        <f t="shared" si="476"/>
        <v>0</v>
      </c>
      <c r="MY56" s="376">
        <v>0</v>
      </c>
      <c r="MZ56" s="376">
        <v>0</v>
      </c>
      <c r="NA56" s="545">
        <f t="shared" si="477"/>
        <v>0</v>
      </c>
      <c r="NB56" s="376">
        <v>0</v>
      </c>
      <c r="NC56" s="376">
        <v>0</v>
      </c>
      <c r="ND56" s="543">
        <f t="shared" si="478"/>
        <v>0</v>
      </c>
      <c r="NE56" s="542">
        <f>SUM(C56,F56,I56,L56,O56,R56,U56,X56,AA56,AD56,AG56,AJ56,AM56,AP56,AS56,AV56,AY56,BB56,BE56,BH56,BK56,BN56,BQ56,BT56,BW56,BZ56,CC56,CF56,CI56,CL56,CO56,CR56,CU56,CX56,DA56,DD56,DG56,DJ56,DM56,DP56,DS56,DV56,DY56,EB56,EE56,EH56,EK56,EN56,EQ56,ET56,EW56,EZ56,FC56,FF56,FI56,FL56,FO56,FR56,FU56,FX56,GA56,GD56,GG56,GJ56,GM56,GP56,GS56,GV56,GY56,HB56,HE56,HH56,HK56,HN56,HQ56,HT56,HW56,HZ56,IC56,IF56,II56,IL56,IO56,IR56,IU56,IX56,JA56,JD56,JG56,JJ56,JM56,JP56,JS56,JV56,JY56,KB56,KE56,KH56,KK56,KN56,KQ56,KT56,KW56,KZ56,LC56,LF56,LI56,LL56,LO56,LR56,LU56,LX56,MA56,MD56,MG56,MJ56,MM56,MP56,MS56,MV56,MY56)</f>
        <v>21053</v>
      </c>
      <c r="NF56" s="376">
        <f>SUM(D56,G56,J56,M56,P56,S56,V56,Y56,AB56,AE56,AH56,AK56,AN56,AQ56,AT56,AW56,AZ56,BC56,BF56,BI56,BL56,BO56,BR56,BU56,BX56,CA56,CD56,CG56,CJ56,CM56,CP56,CS56,CV56,CY56,DB56,DE56,DH56,DK56,DN56,DQ56,DT56,DW56,DZ56,EC56,EF56,EI56,EL56,EO56,ER56,EU56,EX56,FA56,FD56,FG56,FJ56,FM56,FP56,FS56,FV56,FY56,GB56,GE56,GH56,GK56,GN56,GQ56,GT56,GW56,GZ56,HC56,HF56,HI56,HL56,HO56,HR56,HU56,HX56,IA56,ID56,IG56,IJ56,IM56,IP56,IS56,IV56,IY56,JB56,JE56,JH56,JK56,JN56,JQ56,JT56,JW56,JZ56,KC56,KF56,KI56,KL56,KO56,KR56,KU56,KX56,LA56,LD56,LG56,LJ56,LM56,LP56,LS56,LV56,LY56,MB56,ME56,MH56,MK56,MN56,MQ56,MT56,MW56,MZ56)</f>
        <v>21123</v>
      </c>
      <c r="NG56" s="543">
        <f t="shared" si="480"/>
        <v>42176</v>
      </c>
      <c r="NH56" s="542">
        <f t="shared" si="481"/>
        <v>1651</v>
      </c>
      <c r="NI56" s="376">
        <f t="shared" si="481"/>
        <v>1509</v>
      </c>
      <c r="NJ56" s="543">
        <f t="shared" si="482"/>
        <v>3160</v>
      </c>
    </row>
    <row r="57" spans="1:374" x14ac:dyDescent="0.3">
      <c r="A57" s="541" t="s">
        <v>300</v>
      </c>
      <c r="B57" s="589" t="s">
        <v>112</v>
      </c>
      <c r="C57" s="544">
        <v>167</v>
      </c>
      <c r="D57" s="376">
        <v>158</v>
      </c>
      <c r="E57" s="376">
        <f t="shared" si="357"/>
        <v>325</v>
      </c>
      <c r="F57" s="376">
        <v>200</v>
      </c>
      <c r="G57" s="376">
        <v>168</v>
      </c>
      <c r="H57" s="376">
        <f t="shared" si="358"/>
        <v>368</v>
      </c>
      <c r="I57" s="376">
        <v>242</v>
      </c>
      <c r="J57" s="376">
        <v>216</v>
      </c>
      <c r="K57" s="376">
        <f t="shared" si="359"/>
        <v>458</v>
      </c>
      <c r="L57" s="376">
        <v>258</v>
      </c>
      <c r="M57" s="376">
        <v>239</v>
      </c>
      <c r="N57" s="376">
        <f t="shared" si="360"/>
        <v>497</v>
      </c>
      <c r="O57" s="376">
        <v>265</v>
      </c>
      <c r="P57" s="376">
        <v>254</v>
      </c>
      <c r="Q57" s="376">
        <f t="shared" si="361"/>
        <v>519</v>
      </c>
      <c r="R57" s="376">
        <v>306</v>
      </c>
      <c r="S57" s="376">
        <v>305</v>
      </c>
      <c r="T57" s="376">
        <f t="shared" si="362"/>
        <v>611</v>
      </c>
      <c r="U57" s="376">
        <v>319</v>
      </c>
      <c r="V57" s="376">
        <v>324</v>
      </c>
      <c r="W57" s="376">
        <f t="shared" si="363"/>
        <v>643</v>
      </c>
      <c r="X57" s="376">
        <v>338</v>
      </c>
      <c r="Y57" s="376">
        <v>318</v>
      </c>
      <c r="Z57" s="376">
        <f t="shared" si="364"/>
        <v>656</v>
      </c>
      <c r="AA57" s="376">
        <v>329</v>
      </c>
      <c r="AB57" s="376">
        <v>321</v>
      </c>
      <c r="AC57" s="376">
        <f t="shared" si="365"/>
        <v>650</v>
      </c>
      <c r="AD57" s="376">
        <v>326</v>
      </c>
      <c r="AE57" s="376">
        <v>354</v>
      </c>
      <c r="AF57" s="376">
        <f t="shared" si="366"/>
        <v>680</v>
      </c>
      <c r="AG57" s="376">
        <v>341</v>
      </c>
      <c r="AH57" s="376">
        <v>320</v>
      </c>
      <c r="AI57" s="376">
        <f t="shared" si="367"/>
        <v>661</v>
      </c>
      <c r="AJ57" s="376">
        <v>328</v>
      </c>
      <c r="AK57" s="376">
        <v>341</v>
      </c>
      <c r="AL57" s="376">
        <f t="shared" si="368"/>
        <v>669</v>
      </c>
      <c r="AM57" s="376">
        <v>338</v>
      </c>
      <c r="AN57" s="376">
        <v>317</v>
      </c>
      <c r="AO57" s="376">
        <f t="shared" si="369"/>
        <v>655</v>
      </c>
      <c r="AP57" s="376">
        <v>361</v>
      </c>
      <c r="AQ57" s="376">
        <v>325</v>
      </c>
      <c r="AR57" s="376">
        <f t="shared" si="370"/>
        <v>686</v>
      </c>
      <c r="AS57" s="376">
        <v>346</v>
      </c>
      <c r="AT57" s="376">
        <v>300</v>
      </c>
      <c r="AU57" s="376">
        <f t="shared" si="371"/>
        <v>646</v>
      </c>
      <c r="AV57" s="376">
        <v>355</v>
      </c>
      <c r="AW57" s="376">
        <v>311</v>
      </c>
      <c r="AX57" s="376">
        <f t="shared" si="372"/>
        <v>666</v>
      </c>
      <c r="AY57" s="376">
        <v>337</v>
      </c>
      <c r="AZ57" s="376">
        <v>329</v>
      </c>
      <c r="BA57" s="376">
        <f t="shared" si="373"/>
        <v>666</v>
      </c>
      <c r="BB57" s="376">
        <v>313</v>
      </c>
      <c r="BC57" s="376">
        <v>303</v>
      </c>
      <c r="BD57" s="376">
        <f t="shared" si="374"/>
        <v>616</v>
      </c>
      <c r="BE57" s="376">
        <v>304</v>
      </c>
      <c r="BF57" s="376">
        <v>294</v>
      </c>
      <c r="BG57" s="376">
        <f t="shared" si="375"/>
        <v>598</v>
      </c>
      <c r="BH57" s="376">
        <v>309</v>
      </c>
      <c r="BI57" s="376">
        <v>311</v>
      </c>
      <c r="BJ57" s="376">
        <f t="shared" si="376"/>
        <v>620</v>
      </c>
      <c r="BK57" s="376">
        <v>345</v>
      </c>
      <c r="BL57" s="376">
        <v>292</v>
      </c>
      <c r="BM57" s="376">
        <f t="shared" si="377"/>
        <v>637</v>
      </c>
      <c r="BN57" s="376">
        <v>311</v>
      </c>
      <c r="BO57" s="376">
        <v>276</v>
      </c>
      <c r="BP57" s="376">
        <f t="shared" si="378"/>
        <v>587</v>
      </c>
      <c r="BQ57" s="376">
        <v>344</v>
      </c>
      <c r="BR57" s="376">
        <v>287</v>
      </c>
      <c r="BS57" s="376">
        <f t="shared" si="379"/>
        <v>631</v>
      </c>
      <c r="BT57" s="376">
        <v>323</v>
      </c>
      <c r="BU57" s="376">
        <v>290</v>
      </c>
      <c r="BV57" s="376">
        <f t="shared" si="380"/>
        <v>613</v>
      </c>
      <c r="BW57" s="376">
        <v>320</v>
      </c>
      <c r="BX57" s="376">
        <v>322</v>
      </c>
      <c r="BY57" s="376">
        <f t="shared" si="381"/>
        <v>642</v>
      </c>
      <c r="BZ57" s="376">
        <v>352</v>
      </c>
      <c r="CA57" s="376">
        <v>305</v>
      </c>
      <c r="CB57" s="376">
        <f t="shared" si="382"/>
        <v>657</v>
      </c>
      <c r="CC57" s="376">
        <v>304</v>
      </c>
      <c r="CD57" s="376">
        <v>314</v>
      </c>
      <c r="CE57" s="376">
        <f t="shared" si="383"/>
        <v>618</v>
      </c>
      <c r="CF57" s="376">
        <v>297</v>
      </c>
      <c r="CG57" s="376">
        <v>281</v>
      </c>
      <c r="CH57" s="376">
        <f t="shared" si="384"/>
        <v>578</v>
      </c>
      <c r="CI57" s="376">
        <v>300</v>
      </c>
      <c r="CJ57" s="376">
        <v>298</v>
      </c>
      <c r="CK57" s="376">
        <f t="shared" si="385"/>
        <v>598</v>
      </c>
      <c r="CL57" s="376">
        <v>307</v>
      </c>
      <c r="CM57" s="376">
        <v>320</v>
      </c>
      <c r="CN57" s="376">
        <f t="shared" si="386"/>
        <v>627</v>
      </c>
      <c r="CO57" s="376">
        <v>328</v>
      </c>
      <c r="CP57" s="376">
        <v>314</v>
      </c>
      <c r="CQ57" s="376">
        <f t="shared" si="387"/>
        <v>642</v>
      </c>
      <c r="CR57" s="376">
        <v>312</v>
      </c>
      <c r="CS57" s="376">
        <v>334</v>
      </c>
      <c r="CT57" s="376">
        <f t="shared" si="388"/>
        <v>646</v>
      </c>
      <c r="CU57" s="376">
        <v>337</v>
      </c>
      <c r="CV57" s="376">
        <v>308</v>
      </c>
      <c r="CW57" s="376">
        <f t="shared" si="389"/>
        <v>645</v>
      </c>
      <c r="CX57" s="376">
        <v>311</v>
      </c>
      <c r="CY57" s="376">
        <v>291</v>
      </c>
      <c r="CZ57" s="376">
        <f t="shared" si="390"/>
        <v>602</v>
      </c>
      <c r="DA57" s="376">
        <v>283</v>
      </c>
      <c r="DB57" s="376">
        <v>275</v>
      </c>
      <c r="DC57" s="376">
        <f t="shared" si="391"/>
        <v>558</v>
      </c>
      <c r="DD57" s="376">
        <v>283</v>
      </c>
      <c r="DE57" s="376">
        <v>326</v>
      </c>
      <c r="DF57" s="376">
        <f t="shared" si="392"/>
        <v>609</v>
      </c>
      <c r="DG57" s="376">
        <v>317</v>
      </c>
      <c r="DH57" s="376">
        <v>325</v>
      </c>
      <c r="DI57" s="376">
        <f t="shared" si="393"/>
        <v>642</v>
      </c>
      <c r="DJ57" s="376">
        <v>273</v>
      </c>
      <c r="DK57" s="376">
        <v>300</v>
      </c>
      <c r="DL57" s="376">
        <f t="shared" si="394"/>
        <v>573</v>
      </c>
      <c r="DM57" s="376">
        <v>290</v>
      </c>
      <c r="DN57" s="376">
        <v>252</v>
      </c>
      <c r="DO57" s="376">
        <f t="shared" si="395"/>
        <v>542</v>
      </c>
      <c r="DP57" s="376">
        <v>284</v>
      </c>
      <c r="DQ57" s="376">
        <v>298</v>
      </c>
      <c r="DR57" s="376">
        <f t="shared" si="396"/>
        <v>582</v>
      </c>
      <c r="DS57" s="376">
        <v>282</v>
      </c>
      <c r="DT57" s="376">
        <v>322</v>
      </c>
      <c r="DU57" s="376">
        <f t="shared" si="397"/>
        <v>604</v>
      </c>
      <c r="DV57" s="376">
        <v>293</v>
      </c>
      <c r="DW57" s="376">
        <v>343</v>
      </c>
      <c r="DX57" s="376">
        <f t="shared" si="398"/>
        <v>636</v>
      </c>
      <c r="DY57" s="376">
        <v>320</v>
      </c>
      <c r="DZ57" s="376">
        <v>324</v>
      </c>
      <c r="EA57" s="376">
        <f t="shared" si="399"/>
        <v>644</v>
      </c>
      <c r="EB57" s="376">
        <v>377</v>
      </c>
      <c r="EC57" s="376">
        <v>318</v>
      </c>
      <c r="ED57" s="376">
        <f t="shared" si="400"/>
        <v>695</v>
      </c>
      <c r="EE57" s="376">
        <v>308</v>
      </c>
      <c r="EF57" s="376">
        <v>328</v>
      </c>
      <c r="EG57" s="376">
        <f t="shared" si="401"/>
        <v>636</v>
      </c>
      <c r="EH57" s="376">
        <v>267</v>
      </c>
      <c r="EI57" s="376">
        <v>318</v>
      </c>
      <c r="EJ57" s="376">
        <f t="shared" si="402"/>
        <v>585</v>
      </c>
      <c r="EK57" s="376">
        <v>319</v>
      </c>
      <c r="EL57" s="376">
        <v>336</v>
      </c>
      <c r="EM57" s="376">
        <f t="shared" si="403"/>
        <v>655</v>
      </c>
      <c r="EN57" s="376">
        <v>302</v>
      </c>
      <c r="EO57" s="376">
        <v>317</v>
      </c>
      <c r="EP57" s="376">
        <f t="shared" si="404"/>
        <v>619</v>
      </c>
      <c r="EQ57" s="376">
        <v>280</v>
      </c>
      <c r="ER57" s="376">
        <v>275</v>
      </c>
      <c r="ES57" s="376">
        <f t="shared" si="405"/>
        <v>555</v>
      </c>
      <c r="ET57" s="376">
        <v>254</v>
      </c>
      <c r="EU57" s="376">
        <v>279</v>
      </c>
      <c r="EV57" s="376">
        <f t="shared" si="406"/>
        <v>533</v>
      </c>
      <c r="EW57" s="376">
        <v>264</v>
      </c>
      <c r="EX57" s="376">
        <v>243</v>
      </c>
      <c r="EY57" s="376">
        <f t="shared" si="407"/>
        <v>507</v>
      </c>
      <c r="EZ57" s="376">
        <v>247</v>
      </c>
      <c r="FA57" s="376">
        <v>277</v>
      </c>
      <c r="FB57" s="376">
        <f t="shared" si="408"/>
        <v>524</v>
      </c>
      <c r="FC57" s="376">
        <v>210</v>
      </c>
      <c r="FD57" s="376">
        <v>234</v>
      </c>
      <c r="FE57" s="376">
        <f t="shared" si="409"/>
        <v>444</v>
      </c>
      <c r="FF57" s="376">
        <v>264</v>
      </c>
      <c r="FG57" s="376">
        <v>258</v>
      </c>
      <c r="FH57" s="376">
        <f t="shared" si="410"/>
        <v>522</v>
      </c>
      <c r="FI57" s="376">
        <v>209</v>
      </c>
      <c r="FJ57" s="376">
        <v>229</v>
      </c>
      <c r="FK57" s="376">
        <f t="shared" si="411"/>
        <v>438</v>
      </c>
      <c r="FL57" s="376">
        <v>202</v>
      </c>
      <c r="FM57" s="376">
        <v>211</v>
      </c>
      <c r="FN57" s="376">
        <f t="shared" si="412"/>
        <v>413</v>
      </c>
      <c r="FO57" s="376">
        <v>230</v>
      </c>
      <c r="FP57" s="376">
        <v>247</v>
      </c>
      <c r="FQ57" s="376">
        <f t="shared" si="413"/>
        <v>477</v>
      </c>
      <c r="FR57" s="376">
        <v>213</v>
      </c>
      <c r="FS57" s="376">
        <v>213</v>
      </c>
      <c r="FT57" s="376">
        <f t="shared" si="414"/>
        <v>426</v>
      </c>
      <c r="FU57" s="376">
        <v>182</v>
      </c>
      <c r="FV57" s="376">
        <v>219</v>
      </c>
      <c r="FW57" s="376">
        <f t="shared" si="415"/>
        <v>401</v>
      </c>
      <c r="FX57" s="376">
        <v>186</v>
      </c>
      <c r="FY57" s="376">
        <v>170</v>
      </c>
      <c r="FZ57" s="376">
        <f t="shared" si="416"/>
        <v>356</v>
      </c>
      <c r="GA57" s="376">
        <v>209</v>
      </c>
      <c r="GB57" s="376">
        <v>190</v>
      </c>
      <c r="GC57" s="376">
        <f t="shared" si="417"/>
        <v>399</v>
      </c>
      <c r="GD57" s="376">
        <v>136</v>
      </c>
      <c r="GE57" s="376">
        <v>189</v>
      </c>
      <c r="GF57" s="376">
        <f t="shared" si="418"/>
        <v>325</v>
      </c>
      <c r="GG57" s="376">
        <v>146</v>
      </c>
      <c r="GH57" s="376">
        <v>163</v>
      </c>
      <c r="GI57" s="376">
        <f t="shared" si="419"/>
        <v>309</v>
      </c>
      <c r="GJ57" s="376">
        <v>145</v>
      </c>
      <c r="GK57" s="376">
        <v>164</v>
      </c>
      <c r="GL57" s="376">
        <f t="shared" si="420"/>
        <v>309</v>
      </c>
      <c r="GM57" s="376">
        <v>134</v>
      </c>
      <c r="GN57" s="376">
        <v>134</v>
      </c>
      <c r="GO57" s="376">
        <f t="shared" si="421"/>
        <v>268</v>
      </c>
      <c r="GP57" s="376">
        <v>119</v>
      </c>
      <c r="GQ57" s="376">
        <v>137</v>
      </c>
      <c r="GR57" s="376">
        <f t="shared" si="422"/>
        <v>256</v>
      </c>
      <c r="GS57" s="376">
        <v>103</v>
      </c>
      <c r="GT57" s="376">
        <v>129</v>
      </c>
      <c r="GU57" s="376">
        <f t="shared" si="423"/>
        <v>232</v>
      </c>
      <c r="GV57" s="376">
        <v>104</v>
      </c>
      <c r="GW57" s="376">
        <v>135</v>
      </c>
      <c r="GX57" s="376">
        <f t="shared" si="424"/>
        <v>239</v>
      </c>
      <c r="GY57" s="376">
        <v>86</v>
      </c>
      <c r="GZ57" s="376">
        <v>112</v>
      </c>
      <c r="HA57" s="376">
        <f t="shared" si="425"/>
        <v>198</v>
      </c>
      <c r="HB57" s="376">
        <v>72</v>
      </c>
      <c r="HC57" s="376">
        <v>92</v>
      </c>
      <c r="HD57" s="376">
        <f t="shared" si="426"/>
        <v>164</v>
      </c>
      <c r="HE57" s="376">
        <v>77</v>
      </c>
      <c r="HF57" s="376">
        <v>111</v>
      </c>
      <c r="HG57" s="376">
        <f t="shared" si="427"/>
        <v>188</v>
      </c>
      <c r="HH57" s="376">
        <v>73</v>
      </c>
      <c r="HI57" s="376">
        <v>79</v>
      </c>
      <c r="HJ57" s="376">
        <f t="shared" si="428"/>
        <v>152</v>
      </c>
      <c r="HK57" s="376">
        <v>69</v>
      </c>
      <c r="HL57" s="376">
        <v>83</v>
      </c>
      <c r="HM57" s="376">
        <f t="shared" si="429"/>
        <v>152</v>
      </c>
      <c r="HN57" s="376">
        <v>70</v>
      </c>
      <c r="HO57" s="376">
        <v>66</v>
      </c>
      <c r="HP57" s="376">
        <f t="shared" si="430"/>
        <v>136</v>
      </c>
      <c r="HQ57" s="376">
        <v>55</v>
      </c>
      <c r="HR57" s="376">
        <v>57</v>
      </c>
      <c r="HS57" s="376">
        <f t="shared" si="431"/>
        <v>112</v>
      </c>
      <c r="HT57" s="376">
        <v>54</v>
      </c>
      <c r="HU57" s="376">
        <v>50</v>
      </c>
      <c r="HV57" s="376">
        <f t="shared" si="432"/>
        <v>104</v>
      </c>
      <c r="HW57" s="376">
        <v>23</v>
      </c>
      <c r="HX57" s="376">
        <v>47</v>
      </c>
      <c r="HY57" s="376">
        <f t="shared" si="433"/>
        <v>70</v>
      </c>
      <c r="HZ57" s="376">
        <v>31</v>
      </c>
      <c r="IA57" s="376">
        <v>28</v>
      </c>
      <c r="IB57" s="376">
        <f t="shared" si="434"/>
        <v>59</v>
      </c>
      <c r="IC57" s="376">
        <v>25</v>
      </c>
      <c r="ID57" s="376">
        <v>26</v>
      </c>
      <c r="IE57" s="376">
        <f t="shared" si="435"/>
        <v>51</v>
      </c>
      <c r="IF57" s="376">
        <v>16</v>
      </c>
      <c r="IG57" s="376">
        <v>25</v>
      </c>
      <c r="IH57" s="376">
        <f t="shared" si="436"/>
        <v>41</v>
      </c>
      <c r="II57" s="376">
        <v>19</v>
      </c>
      <c r="IJ57" s="376">
        <v>21</v>
      </c>
      <c r="IK57" s="376">
        <f t="shared" si="437"/>
        <v>40</v>
      </c>
      <c r="IL57" s="376">
        <v>13</v>
      </c>
      <c r="IM57" s="376">
        <v>28</v>
      </c>
      <c r="IN57" s="376">
        <f t="shared" si="438"/>
        <v>41</v>
      </c>
      <c r="IO57" s="376">
        <v>15</v>
      </c>
      <c r="IP57" s="376">
        <v>24</v>
      </c>
      <c r="IQ57" s="376">
        <f t="shared" si="439"/>
        <v>39</v>
      </c>
      <c r="IR57" s="376">
        <v>11</v>
      </c>
      <c r="IS57" s="376">
        <v>27</v>
      </c>
      <c r="IT57" s="376">
        <f t="shared" si="440"/>
        <v>38</v>
      </c>
      <c r="IU57" s="376">
        <v>9</v>
      </c>
      <c r="IV57" s="376">
        <v>14</v>
      </c>
      <c r="IW57" s="376">
        <f t="shared" si="441"/>
        <v>23</v>
      </c>
      <c r="IX57" s="376">
        <v>10</v>
      </c>
      <c r="IY57" s="376">
        <v>12</v>
      </c>
      <c r="IZ57" s="376">
        <f t="shared" si="442"/>
        <v>22</v>
      </c>
      <c r="JA57" s="376">
        <v>13</v>
      </c>
      <c r="JB57" s="376">
        <v>12</v>
      </c>
      <c r="JC57" s="376">
        <f t="shared" si="443"/>
        <v>25</v>
      </c>
      <c r="JD57" s="376">
        <v>5</v>
      </c>
      <c r="JE57" s="376">
        <v>10</v>
      </c>
      <c r="JF57" s="376">
        <f t="shared" si="444"/>
        <v>15</v>
      </c>
      <c r="JG57" s="376">
        <v>5</v>
      </c>
      <c r="JH57" s="376">
        <v>9</v>
      </c>
      <c r="JI57" s="376">
        <f t="shared" si="445"/>
        <v>14</v>
      </c>
      <c r="JJ57" s="376">
        <v>2</v>
      </c>
      <c r="JK57" s="376">
        <v>5</v>
      </c>
      <c r="JL57" s="376">
        <f t="shared" si="446"/>
        <v>7</v>
      </c>
      <c r="JM57" s="376">
        <v>0</v>
      </c>
      <c r="JN57" s="376">
        <v>1</v>
      </c>
      <c r="JO57" s="376">
        <f t="shared" si="447"/>
        <v>1</v>
      </c>
      <c r="JP57" s="376">
        <v>2</v>
      </c>
      <c r="JQ57" s="376">
        <v>5</v>
      </c>
      <c r="JR57" s="376">
        <f t="shared" si="448"/>
        <v>7</v>
      </c>
      <c r="JS57" s="376">
        <v>3</v>
      </c>
      <c r="JT57" s="376">
        <v>3</v>
      </c>
      <c r="JU57" s="376">
        <f t="shared" si="449"/>
        <v>6</v>
      </c>
      <c r="JV57" s="376">
        <v>2</v>
      </c>
      <c r="JW57" s="376">
        <v>0</v>
      </c>
      <c r="JX57" s="376">
        <f t="shared" si="450"/>
        <v>2</v>
      </c>
      <c r="JY57" s="376">
        <v>2</v>
      </c>
      <c r="JZ57" s="376">
        <v>1</v>
      </c>
      <c r="KA57" s="376">
        <f t="shared" si="451"/>
        <v>3</v>
      </c>
      <c r="KB57" s="376">
        <v>1</v>
      </c>
      <c r="KC57" s="376">
        <v>1</v>
      </c>
      <c r="KD57" s="376">
        <f t="shared" si="452"/>
        <v>2</v>
      </c>
      <c r="KE57" s="376">
        <v>2</v>
      </c>
      <c r="KF57" s="376">
        <v>1</v>
      </c>
      <c r="KG57" s="376">
        <f t="shared" si="453"/>
        <v>3</v>
      </c>
      <c r="KH57" s="376">
        <v>1</v>
      </c>
      <c r="KI57" s="376">
        <v>0</v>
      </c>
      <c r="KJ57" s="376">
        <f t="shared" si="454"/>
        <v>1</v>
      </c>
      <c r="KK57" s="376">
        <v>0</v>
      </c>
      <c r="KL57" s="376">
        <v>0</v>
      </c>
      <c r="KM57" s="376">
        <f t="shared" si="455"/>
        <v>0</v>
      </c>
      <c r="KN57" s="376">
        <v>0</v>
      </c>
      <c r="KO57" s="376">
        <v>0</v>
      </c>
      <c r="KP57" s="376">
        <f t="shared" si="456"/>
        <v>0</v>
      </c>
      <c r="KQ57" s="376">
        <v>0</v>
      </c>
      <c r="KR57" s="376">
        <v>0</v>
      </c>
      <c r="KS57" s="376">
        <f t="shared" si="457"/>
        <v>0</v>
      </c>
      <c r="KT57" s="376">
        <v>1</v>
      </c>
      <c r="KU57" s="376">
        <v>0</v>
      </c>
      <c r="KV57" s="376">
        <f t="shared" si="458"/>
        <v>1</v>
      </c>
      <c r="KW57" s="376">
        <v>0</v>
      </c>
      <c r="KX57" s="376">
        <v>0</v>
      </c>
      <c r="KY57" s="376">
        <f t="shared" si="459"/>
        <v>0</v>
      </c>
      <c r="KZ57" s="376">
        <v>0</v>
      </c>
      <c r="LA57" s="376">
        <v>0</v>
      </c>
      <c r="LB57" s="376">
        <f t="shared" si="460"/>
        <v>0</v>
      </c>
      <c r="LC57" s="376">
        <v>0</v>
      </c>
      <c r="LD57" s="376">
        <v>0</v>
      </c>
      <c r="LE57" s="376">
        <f t="shared" si="461"/>
        <v>0</v>
      </c>
      <c r="LF57" s="376">
        <v>0</v>
      </c>
      <c r="LG57" s="376">
        <v>0</v>
      </c>
      <c r="LH57" s="376">
        <f t="shared" si="462"/>
        <v>0</v>
      </c>
      <c r="LI57" s="376">
        <v>0</v>
      </c>
      <c r="LJ57" s="376">
        <v>0</v>
      </c>
      <c r="LK57" s="376">
        <f t="shared" si="463"/>
        <v>0</v>
      </c>
      <c r="LL57" s="376">
        <v>0</v>
      </c>
      <c r="LM57" s="376">
        <v>0</v>
      </c>
      <c r="LN57" s="376">
        <f t="shared" si="464"/>
        <v>0</v>
      </c>
      <c r="LO57" s="376">
        <v>0</v>
      </c>
      <c r="LP57" s="376">
        <v>0</v>
      </c>
      <c r="LQ57" s="376">
        <f t="shared" si="465"/>
        <v>0</v>
      </c>
      <c r="LR57" s="376">
        <v>0</v>
      </c>
      <c r="LS57" s="376">
        <v>0</v>
      </c>
      <c r="LT57" s="376">
        <f t="shared" si="466"/>
        <v>0</v>
      </c>
      <c r="LU57" s="376">
        <v>0</v>
      </c>
      <c r="LV57" s="376">
        <v>0</v>
      </c>
      <c r="LW57" s="376">
        <f t="shared" si="467"/>
        <v>0</v>
      </c>
      <c r="LX57" s="376">
        <v>0</v>
      </c>
      <c r="LY57" s="376">
        <v>0</v>
      </c>
      <c r="LZ57" s="376">
        <f t="shared" si="468"/>
        <v>0</v>
      </c>
      <c r="MA57" s="376">
        <v>0</v>
      </c>
      <c r="MB57" s="376">
        <v>0</v>
      </c>
      <c r="MC57" s="376">
        <f t="shared" si="469"/>
        <v>0</v>
      </c>
      <c r="MD57" s="376">
        <v>0</v>
      </c>
      <c r="ME57" s="376">
        <v>0</v>
      </c>
      <c r="MF57" s="376">
        <f t="shared" si="470"/>
        <v>0</v>
      </c>
      <c r="MG57" s="376">
        <v>0</v>
      </c>
      <c r="MH57" s="376">
        <v>0</v>
      </c>
      <c r="MI57" s="376">
        <f t="shared" si="471"/>
        <v>0</v>
      </c>
      <c r="MJ57" s="376">
        <v>0</v>
      </c>
      <c r="MK57" s="376">
        <v>0</v>
      </c>
      <c r="ML57" s="376">
        <f t="shared" si="472"/>
        <v>0</v>
      </c>
      <c r="MM57" s="376">
        <v>0</v>
      </c>
      <c r="MN57" s="376">
        <v>0</v>
      </c>
      <c r="MO57" s="376">
        <f t="shared" si="473"/>
        <v>0</v>
      </c>
      <c r="MP57" s="376">
        <v>0</v>
      </c>
      <c r="MQ57" s="376">
        <v>0</v>
      </c>
      <c r="MR57" s="376">
        <f t="shared" si="474"/>
        <v>0</v>
      </c>
      <c r="MS57" s="376">
        <v>0</v>
      </c>
      <c r="MT57" s="376">
        <v>0</v>
      </c>
      <c r="MU57" s="376">
        <f t="shared" si="475"/>
        <v>0</v>
      </c>
      <c r="MV57" s="376">
        <v>0</v>
      </c>
      <c r="MW57" s="376">
        <v>0</v>
      </c>
      <c r="MX57" s="376">
        <f t="shared" si="476"/>
        <v>0</v>
      </c>
      <c r="MY57" s="376">
        <v>0</v>
      </c>
      <c r="MZ57" s="376">
        <v>0</v>
      </c>
      <c r="NA57" s="545">
        <f t="shared" si="477"/>
        <v>0</v>
      </c>
      <c r="NB57" s="376">
        <v>0</v>
      </c>
      <c r="NC57" s="376">
        <v>0</v>
      </c>
      <c r="ND57" s="543">
        <f t="shared" si="478"/>
        <v>0</v>
      </c>
      <c r="NE57" s="542">
        <f t="shared" ref="NE57:NF61" si="489">SUM(C57,F57,I57,L57,O57,R57,U57,X57,AA57,AD57,AG57,AJ57,AM57,AP57,AS57,AV57,AY57,BB57,BE57,BH57,BK57,BN57,BQ57,BT57,BW57,BZ57,CC57,CF57,CI57,CL57,CO57,CR57,CU57,CX57,DA57,DD57,DG57,DJ57,DM57,DP57,DS57,DV57,DY57,EB57,EE57,EH57,EK57,EN57,EQ57,ET57,EW57,EZ57,FC57,FF57,FI57,FL57,FO57,FR57,FU57,FX57,GA57,GD57,GG57,GJ57,GM57,GP57,GS57,GV57,GY57,HB57,HE57,HH57,HK57,HN57,HQ57,HT57,HW57,HZ57,IC57,IF57,II57,IL57,IO57,IR57,IU57,IX57,JA57,JD57,JG57,JJ57,JM57,JP57,JS57,JV57,JY57,KB57,KE57,KH57,KK57,KN57,KQ57,KT57,KW57,KZ57,LC57,LF57,LI57,LL57,LO57,LR57,LU57,LX57,MA57,MD57,MG57,MJ57,MM57,MP57,MS57,MV57,MY57)</f>
        <v>19375</v>
      </c>
      <c r="NF57" s="376">
        <f t="shared" si="489"/>
        <v>19468</v>
      </c>
      <c r="NG57" s="543">
        <f t="shared" si="480"/>
        <v>38843</v>
      </c>
      <c r="NH57" s="542">
        <f t="shared" si="481"/>
        <v>1438</v>
      </c>
      <c r="NI57" s="376">
        <f t="shared" si="481"/>
        <v>1340</v>
      </c>
      <c r="NJ57" s="543">
        <f t="shared" si="482"/>
        <v>2778</v>
      </c>
    </row>
    <row r="58" spans="1:374" x14ac:dyDescent="0.3">
      <c r="A58" s="541" t="s">
        <v>301</v>
      </c>
      <c r="B58" s="589" t="s">
        <v>114</v>
      </c>
      <c r="C58" s="544">
        <v>203</v>
      </c>
      <c r="D58" s="376">
        <v>176</v>
      </c>
      <c r="E58" s="376">
        <f t="shared" si="357"/>
        <v>379</v>
      </c>
      <c r="F58" s="376">
        <v>254</v>
      </c>
      <c r="G58" s="376">
        <v>234</v>
      </c>
      <c r="H58" s="376">
        <f t="shared" si="358"/>
        <v>488</v>
      </c>
      <c r="I58" s="376">
        <v>324</v>
      </c>
      <c r="J58" s="376">
        <v>287</v>
      </c>
      <c r="K58" s="376">
        <f t="shared" si="359"/>
        <v>611</v>
      </c>
      <c r="L58" s="376">
        <v>338</v>
      </c>
      <c r="M58" s="376">
        <v>324</v>
      </c>
      <c r="N58" s="376">
        <f t="shared" si="360"/>
        <v>662</v>
      </c>
      <c r="O58" s="376">
        <v>369</v>
      </c>
      <c r="P58" s="376">
        <v>367</v>
      </c>
      <c r="Q58" s="376">
        <f t="shared" si="361"/>
        <v>736</v>
      </c>
      <c r="R58" s="376">
        <v>358</v>
      </c>
      <c r="S58" s="376">
        <v>402</v>
      </c>
      <c r="T58" s="376">
        <f t="shared" si="362"/>
        <v>760</v>
      </c>
      <c r="U58" s="376">
        <v>417</v>
      </c>
      <c r="V58" s="376">
        <v>404</v>
      </c>
      <c r="W58" s="376">
        <f t="shared" si="363"/>
        <v>821</v>
      </c>
      <c r="X58" s="376">
        <v>470</v>
      </c>
      <c r="Y58" s="376">
        <v>420</v>
      </c>
      <c r="Z58" s="376">
        <f t="shared" si="364"/>
        <v>890</v>
      </c>
      <c r="AA58" s="376">
        <v>433</v>
      </c>
      <c r="AB58" s="376">
        <v>417</v>
      </c>
      <c r="AC58" s="376">
        <f t="shared" si="365"/>
        <v>850</v>
      </c>
      <c r="AD58" s="376">
        <v>429</v>
      </c>
      <c r="AE58" s="376">
        <v>412</v>
      </c>
      <c r="AF58" s="376">
        <f t="shared" si="366"/>
        <v>841</v>
      </c>
      <c r="AG58" s="376">
        <v>400</v>
      </c>
      <c r="AH58" s="376">
        <v>401</v>
      </c>
      <c r="AI58" s="376">
        <f t="shared" si="367"/>
        <v>801</v>
      </c>
      <c r="AJ58" s="376">
        <v>387</v>
      </c>
      <c r="AK58" s="376">
        <v>353</v>
      </c>
      <c r="AL58" s="376">
        <f t="shared" si="368"/>
        <v>740</v>
      </c>
      <c r="AM58" s="376">
        <v>412</v>
      </c>
      <c r="AN58" s="376">
        <v>393</v>
      </c>
      <c r="AO58" s="376">
        <f t="shared" si="369"/>
        <v>805</v>
      </c>
      <c r="AP58" s="376">
        <v>406</v>
      </c>
      <c r="AQ58" s="376">
        <v>418</v>
      </c>
      <c r="AR58" s="376">
        <f t="shared" si="370"/>
        <v>824</v>
      </c>
      <c r="AS58" s="376">
        <v>416</v>
      </c>
      <c r="AT58" s="376">
        <v>363</v>
      </c>
      <c r="AU58" s="376">
        <f t="shared" si="371"/>
        <v>779</v>
      </c>
      <c r="AV58" s="376">
        <v>387</v>
      </c>
      <c r="AW58" s="376">
        <v>402</v>
      </c>
      <c r="AX58" s="376">
        <f t="shared" si="372"/>
        <v>789</v>
      </c>
      <c r="AY58" s="376">
        <v>420</v>
      </c>
      <c r="AZ58" s="376">
        <v>329</v>
      </c>
      <c r="BA58" s="376">
        <f t="shared" si="373"/>
        <v>749</v>
      </c>
      <c r="BB58" s="376">
        <v>326</v>
      </c>
      <c r="BC58" s="376">
        <v>332</v>
      </c>
      <c r="BD58" s="376">
        <f t="shared" si="374"/>
        <v>658</v>
      </c>
      <c r="BE58" s="376">
        <v>384</v>
      </c>
      <c r="BF58" s="376">
        <v>350</v>
      </c>
      <c r="BG58" s="376">
        <f t="shared" si="375"/>
        <v>734</v>
      </c>
      <c r="BH58" s="376">
        <v>395</v>
      </c>
      <c r="BI58" s="376">
        <v>371</v>
      </c>
      <c r="BJ58" s="376">
        <f t="shared" si="376"/>
        <v>766</v>
      </c>
      <c r="BK58" s="376">
        <v>330</v>
      </c>
      <c r="BL58" s="376">
        <v>320</v>
      </c>
      <c r="BM58" s="376">
        <f t="shared" si="377"/>
        <v>650</v>
      </c>
      <c r="BN58" s="376">
        <v>363</v>
      </c>
      <c r="BO58" s="376">
        <v>334</v>
      </c>
      <c r="BP58" s="376">
        <f t="shared" si="378"/>
        <v>697</v>
      </c>
      <c r="BQ58" s="376">
        <v>369</v>
      </c>
      <c r="BR58" s="376">
        <v>358</v>
      </c>
      <c r="BS58" s="376">
        <f t="shared" si="379"/>
        <v>727</v>
      </c>
      <c r="BT58" s="376">
        <v>370</v>
      </c>
      <c r="BU58" s="376">
        <v>342</v>
      </c>
      <c r="BV58" s="376">
        <f t="shared" si="380"/>
        <v>712</v>
      </c>
      <c r="BW58" s="376">
        <v>382</v>
      </c>
      <c r="BX58" s="376">
        <v>337</v>
      </c>
      <c r="BY58" s="376">
        <f t="shared" si="381"/>
        <v>719</v>
      </c>
      <c r="BZ58" s="376">
        <v>359</v>
      </c>
      <c r="CA58" s="376">
        <v>369</v>
      </c>
      <c r="CB58" s="376">
        <f t="shared" si="382"/>
        <v>728</v>
      </c>
      <c r="CC58" s="376">
        <v>409</v>
      </c>
      <c r="CD58" s="376">
        <v>384</v>
      </c>
      <c r="CE58" s="376">
        <f t="shared" si="383"/>
        <v>793</v>
      </c>
      <c r="CF58" s="376">
        <v>336</v>
      </c>
      <c r="CG58" s="376">
        <v>326</v>
      </c>
      <c r="CH58" s="376">
        <f t="shared" si="384"/>
        <v>662</v>
      </c>
      <c r="CI58" s="376">
        <v>352</v>
      </c>
      <c r="CJ58" s="376">
        <v>377</v>
      </c>
      <c r="CK58" s="376">
        <f t="shared" si="385"/>
        <v>729</v>
      </c>
      <c r="CL58" s="376">
        <v>350</v>
      </c>
      <c r="CM58" s="376">
        <v>371</v>
      </c>
      <c r="CN58" s="376">
        <f t="shared" si="386"/>
        <v>721</v>
      </c>
      <c r="CO58" s="376">
        <v>397</v>
      </c>
      <c r="CP58" s="376">
        <v>384</v>
      </c>
      <c r="CQ58" s="376">
        <f t="shared" si="387"/>
        <v>781</v>
      </c>
      <c r="CR58" s="376">
        <v>353</v>
      </c>
      <c r="CS58" s="376">
        <v>423</v>
      </c>
      <c r="CT58" s="376">
        <f t="shared" si="388"/>
        <v>776</v>
      </c>
      <c r="CU58" s="376">
        <v>416</v>
      </c>
      <c r="CV58" s="376">
        <v>423</v>
      </c>
      <c r="CW58" s="376">
        <f t="shared" si="389"/>
        <v>839</v>
      </c>
      <c r="CX58" s="376">
        <v>361</v>
      </c>
      <c r="CY58" s="376">
        <v>370</v>
      </c>
      <c r="CZ58" s="376">
        <f t="shared" si="390"/>
        <v>731</v>
      </c>
      <c r="DA58" s="376">
        <v>391</v>
      </c>
      <c r="DB58" s="376">
        <v>385</v>
      </c>
      <c r="DC58" s="376">
        <f t="shared" si="391"/>
        <v>776</v>
      </c>
      <c r="DD58" s="376">
        <v>372</v>
      </c>
      <c r="DE58" s="376">
        <v>386</v>
      </c>
      <c r="DF58" s="376">
        <f t="shared" si="392"/>
        <v>758</v>
      </c>
      <c r="DG58" s="376">
        <v>404</v>
      </c>
      <c r="DH58" s="376">
        <v>445</v>
      </c>
      <c r="DI58" s="376">
        <f t="shared" si="393"/>
        <v>849</v>
      </c>
      <c r="DJ58" s="376">
        <v>348</v>
      </c>
      <c r="DK58" s="376">
        <v>378</v>
      </c>
      <c r="DL58" s="376">
        <f t="shared" si="394"/>
        <v>726</v>
      </c>
      <c r="DM58" s="376">
        <v>366</v>
      </c>
      <c r="DN58" s="376">
        <v>394</v>
      </c>
      <c r="DO58" s="376">
        <f t="shared" si="395"/>
        <v>760</v>
      </c>
      <c r="DP58" s="376">
        <v>388</v>
      </c>
      <c r="DQ58" s="376">
        <v>386</v>
      </c>
      <c r="DR58" s="376">
        <f t="shared" si="396"/>
        <v>774</v>
      </c>
      <c r="DS58" s="376">
        <v>395</v>
      </c>
      <c r="DT58" s="376">
        <v>433</v>
      </c>
      <c r="DU58" s="376">
        <f t="shared" si="397"/>
        <v>828</v>
      </c>
      <c r="DV58" s="376">
        <v>382</v>
      </c>
      <c r="DW58" s="376">
        <v>410</v>
      </c>
      <c r="DX58" s="376">
        <f t="shared" si="398"/>
        <v>792</v>
      </c>
      <c r="DY58" s="376">
        <v>403</v>
      </c>
      <c r="DZ58" s="376">
        <v>388</v>
      </c>
      <c r="EA58" s="376">
        <f t="shared" si="399"/>
        <v>791</v>
      </c>
      <c r="EB58" s="376">
        <v>421</v>
      </c>
      <c r="EC58" s="376">
        <v>404</v>
      </c>
      <c r="ED58" s="376">
        <f t="shared" si="400"/>
        <v>825</v>
      </c>
      <c r="EE58" s="376">
        <v>379</v>
      </c>
      <c r="EF58" s="376">
        <v>383</v>
      </c>
      <c r="EG58" s="376">
        <f t="shared" si="401"/>
        <v>762</v>
      </c>
      <c r="EH58" s="376">
        <v>359</v>
      </c>
      <c r="EI58" s="376">
        <v>383</v>
      </c>
      <c r="EJ58" s="376">
        <f t="shared" si="402"/>
        <v>742</v>
      </c>
      <c r="EK58" s="376">
        <v>375</v>
      </c>
      <c r="EL58" s="376">
        <v>410</v>
      </c>
      <c r="EM58" s="376">
        <f t="shared" si="403"/>
        <v>785</v>
      </c>
      <c r="EN58" s="376">
        <v>359</v>
      </c>
      <c r="EO58" s="376">
        <v>335</v>
      </c>
      <c r="EP58" s="376">
        <f t="shared" si="404"/>
        <v>694</v>
      </c>
      <c r="EQ58" s="376">
        <v>323</v>
      </c>
      <c r="ER58" s="376">
        <v>339</v>
      </c>
      <c r="ES58" s="376">
        <f t="shared" si="405"/>
        <v>662</v>
      </c>
      <c r="ET58" s="376">
        <v>332</v>
      </c>
      <c r="EU58" s="376">
        <v>300</v>
      </c>
      <c r="EV58" s="376">
        <f t="shared" si="406"/>
        <v>632</v>
      </c>
      <c r="EW58" s="376">
        <v>322</v>
      </c>
      <c r="EX58" s="376">
        <v>318</v>
      </c>
      <c r="EY58" s="376">
        <f t="shared" si="407"/>
        <v>640</v>
      </c>
      <c r="EZ58" s="376">
        <v>302</v>
      </c>
      <c r="FA58" s="376">
        <v>315</v>
      </c>
      <c r="FB58" s="376">
        <f t="shared" si="408"/>
        <v>617</v>
      </c>
      <c r="FC58" s="376">
        <v>259</v>
      </c>
      <c r="FD58" s="376">
        <v>269</v>
      </c>
      <c r="FE58" s="376">
        <f t="shared" si="409"/>
        <v>528</v>
      </c>
      <c r="FF58" s="376">
        <v>259</v>
      </c>
      <c r="FG58" s="376">
        <v>303</v>
      </c>
      <c r="FH58" s="376">
        <f t="shared" si="410"/>
        <v>562</v>
      </c>
      <c r="FI58" s="376">
        <v>273</v>
      </c>
      <c r="FJ58" s="376">
        <v>303</v>
      </c>
      <c r="FK58" s="376">
        <f t="shared" si="411"/>
        <v>576</v>
      </c>
      <c r="FL58" s="376">
        <v>243</v>
      </c>
      <c r="FM58" s="376">
        <v>250</v>
      </c>
      <c r="FN58" s="376">
        <f t="shared" si="412"/>
        <v>493</v>
      </c>
      <c r="FO58" s="376">
        <v>243</v>
      </c>
      <c r="FP58" s="376">
        <v>282</v>
      </c>
      <c r="FQ58" s="376">
        <f t="shared" si="413"/>
        <v>525</v>
      </c>
      <c r="FR58" s="376">
        <v>253</v>
      </c>
      <c r="FS58" s="376">
        <v>258</v>
      </c>
      <c r="FT58" s="376">
        <f t="shared" si="414"/>
        <v>511</v>
      </c>
      <c r="FU58" s="376">
        <v>213</v>
      </c>
      <c r="FV58" s="376">
        <v>216</v>
      </c>
      <c r="FW58" s="376">
        <f t="shared" si="415"/>
        <v>429</v>
      </c>
      <c r="FX58" s="376">
        <v>191</v>
      </c>
      <c r="FY58" s="376">
        <v>222</v>
      </c>
      <c r="FZ58" s="376">
        <f t="shared" si="416"/>
        <v>413</v>
      </c>
      <c r="GA58" s="376">
        <v>209</v>
      </c>
      <c r="GB58" s="376">
        <v>262</v>
      </c>
      <c r="GC58" s="376">
        <f t="shared" si="417"/>
        <v>471</v>
      </c>
      <c r="GD58" s="376">
        <v>198</v>
      </c>
      <c r="GE58" s="376">
        <v>227</v>
      </c>
      <c r="GF58" s="376">
        <f t="shared" si="418"/>
        <v>425</v>
      </c>
      <c r="GG58" s="376">
        <v>182</v>
      </c>
      <c r="GH58" s="376">
        <v>226</v>
      </c>
      <c r="GI58" s="376">
        <f t="shared" si="419"/>
        <v>408</v>
      </c>
      <c r="GJ58" s="376">
        <v>176</v>
      </c>
      <c r="GK58" s="376">
        <v>214</v>
      </c>
      <c r="GL58" s="376">
        <f t="shared" si="420"/>
        <v>390</v>
      </c>
      <c r="GM58" s="376">
        <v>149</v>
      </c>
      <c r="GN58" s="376">
        <v>203</v>
      </c>
      <c r="GO58" s="376">
        <f t="shared" si="421"/>
        <v>352</v>
      </c>
      <c r="GP58" s="376">
        <v>160</v>
      </c>
      <c r="GQ58" s="376">
        <v>199</v>
      </c>
      <c r="GR58" s="376">
        <f t="shared" si="422"/>
        <v>359</v>
      </c>
      <c r="GS58" s="376">
        <v>162</v>
      </c>
      <c r="GT58" s="376">
        <v>189</v>
      </c>
      <c r="GU58" s="376">
        <f t="shared" si="423"/>
        <v>351</v>
      </c>
      <c r="GV58" s="376">
        <v>172</v>
      </c>
      <c r="GW58" s="376">
        <v>155</v>
      </c>
      <c r="GX58" s="376">
        <f t="shared" si="424"/>
        <v>327</v>
      </c>
      <c r="GY58" s="376">
        <v>124</v>
      </c>
      <c r="GZ58" s="376">
        <v>146</v>
      </c>
      <c r="HA58" s="376">
        <f t="shared" si="425"/>
        <v>270</v>
      </c>
      <c r="HB58" s="376">
        <v>140</v>
      </c>
      <c r="HC58" s="376">
        <v>118</v>
      </c>
      <c r="HD58" s="376">
        <f t="shared" si="426"/>
        <v>258</v>
      </c>
      <c r="HE58" s="376">
        <v>105</v>
      </c>
      <c r="HF58" s="376">
        <v>125</v>
      </c>
      <c r="HG58" s="376">
        <f t="shared" si="427"/>
        <v>230</v>
      </c>
      <c r="HH58" s="376">
        <v>88</v>
      </c>
      <c r="HI58" s="376">
        <v>137</v>
      </c>
      <c r="HJ58" s="376">
        <f t="shared" si="428"/>
        <v>225</v>
      </c>
      <c r="HK58" s="376">
        <v>93</v>
      </c>
      <c r="HL58" s="376">
        <v>90</v>
      </c>
      <c r="HM58" s="376">
        <f t="shared" si="429"/>
        <v>183</v>
      </c>
      <c r="HN58" s="376">
        <v>77</v>
      </c>
      <c r="HO58" s="376">
        <v>69</v>
      </c>
      <c r="HP58" s="376">
        <f t="shared" si="430"/>
        <v>146</v>
      </c>
      <c r="HQ58" s="376">
        <v>63</v>
      </c>
      <c r="HR58" s="376">
        <v>72</v>
      </c>
      <c r="HS58" s="376">
        <f t="shared" si="431"/>
        <v>135</v>
      </c>
      <c r="HT58" s="376">
        <v>56</v>
      </c>
      <c r="HU58" s="376">
        <v>56</v>
      </c>
      <c r="HV58" s="376">
        <f t="shared" si="432"/>
        <v>112</v>
      </c>
      <c r="HW58" s="376">
        <v>51</v>
      </c>
      <c r="HX58" s="376">
        <v>51</v>
      </c>
      <c r="HY58" s="376">
        <f t="shared" si="433"/>
        <v>102</v>
      </c>
      <c r="HZ58" s="376">
        <v>42</v>
      </c>
      <c r="IA58" s="376">
        <v>39</v>
      </c>
      <c r="IB58" s="376">
        <f t="shared" si="434"/>
        <v>81</v>
      </c>
      <c r="IC58" s="376">
        <v>36</v>
      </c>
      <c r="ID58" s="376">
        <v>35</v>
      </c>
      <c r="IE58" s="376">
        <f t="shared" si="435"/>
        <v>71</v>
      </c>
      <c r="IF58" s="376">
        <v>24</v>
      </c>
      <c r="IG58" s="376">
        <v>22</v>
      </c>
      <c r="IH58" s="376">
        <f t="shared" si="436"/>
        <v>46</v>
      </c>
      <c r="II58" s="376">
        <v>29</v>
      </c>
      <c r="IJ58" s="376">
        <v>31</v>
      </c>
      <c r="IK58" s="376">
        <f t="shared" si="437"/>
        <v>60</v>
      </c>
      <c r="IL58" s="376">
        <v>17</v>
      </c>
      <c r="IM58" s="376">
        <v>31</v>
      </c>
      <c r="IN58" s="376">
        <f t="shared" si="438"/>
        <v>48</v>
      </c>
      <c r="IO58" s="376">
        <v>21</v>
      </c>
      <c r="IP58" s="376">
        <v>23</v>
      </c>
      <c r="IQ58" s="376">
        <f t="shared" si="439"/>
        <v>44</v>
      </c>
      <c r="IR58" s="376">
        <v>17</v>
      </c>
      <c r="IS58" s="376">
        <v>18</v>
      </c>
      <c r="IT58" s="376">
        <f t="shared" si="440"/>
        <v>35</v>
      </c>
      <c r="IU58" s="376">
        <v>10</v>
      </c>
      <c r="IV58" s="376">
        <v>23</v>
      </c>
      <c r="IW58" s="376">
        <f t="shared" si="441"/>
        <v>33</v>
      </c>
      <c r="IX58" s="376">
        <v>13</v>
      </c>
      <c r="IY58" s="376">
        <v>13</v>
      </c>
      <c r="IZ58" s="376">
        <f t="shared" si="442"/>
        <v>26</v>
      </c>
      <c r="JA58" s="376">
        <v>10</v>
      </c>
      <c r="JB58" s="376">
        <v>9</v>
      </c>
      <c r="JC58" s="376">
        <f t="shared" si="443"/>
        <v>19</v>
      </c>
      <c r="JD58" s="376">
        <v>8</v>
      </c>
      <c r="JE58" s="376">
        <v>9</v>
      </c>
      <c r="JF58" s="376">
        <f t="shared" si="444"/>
        <v>17</v>
      </c>
      <c r="JG58" s="376">
        <v>4</v>
      </c>
      <c r="JH58" s="376">
        <v>9</v>
      </c>
      <c r="JI58" s="376">
        <f t="shared" si="445"/>
        <v>13</v>
      </c>
      <c r="JJ58" s="376">
        <v>4</v>
      </c>
      <c r="JK58" s="376">
        <v>10</v>
      </c>
      <c r="JL58" s="376">
        <f t="shared" si="446"/>
        <v>14</v>
      </c>
      <c r="JM58" s="376">
        <v>2</v>
      </c>
      <c r="JN58" s="376">
        <v>3</v>
      </c>
      <c r="JO58" s="376">
        <f t="shared" si="447"/>
        <v>5</v>
      </c>
      <c r="JP58" s="376">
        <v>1</v>
      </c>
      <c r="JQ58" s="376">
        <v>6</v>
      </c>
      <c r="JR58" s="376">
        <f t="shared" si="448"/>
        <v>7</v>
      </c>
      <c r="JS58" s="376">
        <v>1</v>
      </c>
      <c r="JT58" s="376">
        <v>4</v>
      </c>
      <c r="JU58" s="376">
        <f t="shared" si="449"/>
        <v>5</v>
      </c>
      <c r="JV58" s="376">
        <v>2</v>
      </c>
      <c r="JW58" s="376">
        <v>2</v>
      </c>
      <c r="JX58" s="376">
        <f t="shared" si="450"/>
        <v>4</v>
      </c>
      <c r="JY58" s="376">
        <v>1</v>
      </c>
      <c r="JZ58" s="376">
        <v>1</v>
      </c>
      <c r="KA58" s="376">
        <f t="shared" si="451"/>
        <v>2</v>
      </c>
      <c r="KB58" s="376">
        <v>0</v>
      </c>
      <c r="KC58" s="376">
        <v>1</v>
      </c>
      <c r="KD58" s="376">
        <f t="shared" si="452"/>
        <v>1</v>
      </c>
      <c r="KE58" s="376">
        <v>0</v>
      </c>
      <c r="KF58" s="376">
        <v>2</v>
      </c>
      <c r="KG58" s="376">
        <f t="shared" si="453"/>
        <v>2</v>
      </c>
      <c r="KH58" s="376">
        <v>1</v>
      </c>
      <c r="KI58" s="376">
        <v>0</v>
      </c>
      <c r="KJ58" s="376">
        <f t="shared" si="454"/>
        <v>1</v>
      </c>
      <c r="KK58" s="376">
        <v>0</v>
      </c>
      <c r="KL58" s="376">
        <v>0</v>
      </c>
      <c r="KM58" s="376">
        <f t="shared" si="455"/>
        <v>0</v>
      </c>
      <c r="KN58" s="376">
        <v>0</v>
      </c>
      <c r="KO58" s="376">
        <v>0</v>
      </c>
      <c r="KP58" s="376">
        <f t="shared" si="456"/>
        <v>0</v>
      </c>
      <c r="KQ58" s="376">
        <v>0</v>
      </c>
      <c r="KR58" s="376">
        <v>0</v>
      </c>
      <c r="KS58" s="376">
        <f t="shared" si="457"/>
        <v>0</v>
      </c>
      <c r="KT58" s="376">
        <v>0</v>
      </c>
      <c r="KU58" s="376">
        <v>1</v>
      </c>
      <c r="KV58" s="376">
        <f t="shared" si="458"/>
        <v>1</v>
      </c>
      <c r="KW58" s="376">
        <v>0</v>
      </c>
      <c r="KX58" s="376">
        <v>0</v>
      </c>
      <c r="KY58" s="376">
        <f t="shared" si="459"/>
        <v>0</v>
      </c>
      <c r="KZ58" s="376">
        <v>0</v>
      </c>
      <c r="LA58" s="376">
        <v>0</v>
      </c>
      <c r="LB58" s="376">
        <f t="shared" si="460"/>
        <v>0</v>
      </c>
      <c r="LC58" s="376">
        <v>0</v>
      </c>
      <c r="LD58" s="376">
        <v>0</v>
      </c>
      <c r="LE58" s="376">
        <f t="shared" si="461"/>
        <v>0</v>
      </c>
      <c r="LF58" s="376">
        <v>0</v>
      </c>
      <c r="LG58" s="376">
        <v>0</v>
      </c>
      <c r="LH58" s="376">
        <f t="shared" si="462"/>
        <v>0</v>
      </c>
      <c r="LI58" s="376">
        <v>0</v>
      </c>
      <c r="LJ58" s="376">
        <v>0</v>
      </c>
      <c r="LK58" s="376">
        <f t="shared" si="463"/>
        <v>0</v>
      </c>
      <c r="LL58" s="376">
        <v>0</v>
      </c>
      <c r="LM58" s="376">
        <v>0</v>
      </c>
      <c r="LN58" s="376">
        <f t="shared" si="464"/>
        <v>0</v>
      </c>
      <c r="LO58" s="376">
        <v>0</v>
      </c>
      <c r="LP58" s="376">
        <v>0</v>
      </c>
      <c r="LQ58" s="376">
        <f t="shared" si="465"/>
        <v>0</v>
      </c>
      <c r="LR58" s="376">
        <v>0</v>
      </c>
      <c r="LS58" s="376">
        <v>0</v>
      </c>
      <c r="LT58" s="376">
        <f t="shared" si="466"/>
        <v>0</v>
      </c>
      <c r="LU58" s="376">
        <v>0</v>
      </c>
      <c r="LV58" s="376">
        <v>0</v>
      </c>
      <c r="LW58" s="376">
        <f t="shared" si="467"/>
        <v>0</v>
      </c>
      <c r="LX58" s="376">
        <v>0</v>
      </c>
      <c r="LY58" s="376">
        <v>0</v>
      </c>
      <c r="LZ58" s="376">
        <f t="shared" si="468"/>
        <v>0</v>
      </c>
      <c r="MA58" s="376">
        <v>0</v>
      </c>
      <c r="MB58" s="376">
        <v>0</v>
      </c>
      <c r="MC58" s="376">
        <f t="shared" si="469"/>
        <v>0</v>
      </c>
      <c r="MD58" s="376">
        <v>0</v>
      </c>
      <c r="ME58" s="376">
        <v>0</v>
      </c>
      <c r="MF58" s="376">
        <f t="shared" si="470"/>
        <v>0</v>
      </c>
      <c r="MG58" s="376">
        <v>0</v>
      </c>
      <c r="MH58" s="376">
        <v>0</v>
      </c>
      <c r="MI58" s="376">
        <f t="shared" si="471"/>
        <v>0</v>
      </c>
      <c r="MJ58" s="376">
        <v>0</v>
      </c>
      <c r="MK58" s="376">
        <v>0</v>
      </c>
      <c r="ML58" s="376">
        <f t="shared" si="472"/>
        <v>0</v>
      </c>
      <c r="MM58" s="376">
        <v>0</v>
      </c>
      <c r="MN58" s="376">
        <v>0</v>
      </c>
      <c r="MO58" s="376">
        <f t="shared" si="473"/>
        <v>0</v>
      </c>
      <c r="MP58" s="376">
        <v>0</v>
      </c>
      <c r="MQ58" s="376">
        <v>0</v>
      </c>
      <c r="MR58" s="376">
        <f t="shared" si="474"/>
        <v>0</v>
      </c>
      <c r="MS58" s="376">
        <v>0</v>
      </c>
      <c r="MT58" s="376">
        <v>0</v>
      </c>
      <c r="MU58" s="376">
        <f t="shared" si="475"/>
        <v>0</v>
      </c>
      <c r="MV58" s="376">
        <v>0</v>
      </c>
      <c r="MW58" s="376">
        <v>0</v>
      </c>
      <c r="MX58" s="376">
        <f t="shared" si="476"/>
        <v>0</v>
      </c>
      <c r="MY58" s="376">
        <v>0</v>
      </c>
      <c r="MZ58" s="376">
        <v>0</v>
      </c>
      <c r="NA58" s="545">
        <f t="shared" si="477"/>
        <v>0</v>
      </c>
      <c r="NB58" s="376">
        <v>0</v>
      </c>
      <c r="NC58" s="376">
        <v>0</v>
      </c>
      <c r="ND58" s="543">
        <f t="shared" si="478"/>
        <v>0</v>
      </c>
      <c r="NE58" s="542">
        <f t="shared" si="489"/>
        <v>23678</v>
      </c>
      <c r="NF58" s="376">
        <f t="shared" si="489"/>
        <v>23999</v>
      </c>
      <c r="NG58" s="543">
        <f t="shared" si="480"/>
        <v>47677</v>
      </c>
      <c r="NH58" s="542">
        <f t="shared" si="481"/>
        <v>1846</v>
      </c>
      <c r="NI58" s="376">
        <f t="shared" si="481"/>
        <v>1790</v>
      </c>
      <c r="NJ58" s="543">
        <f t="shared" si="482"/>
        <v>3636</v>
      </c>
    </row>
    <row r="59" spans="1:374" x14ac:dyDescent="0.3">
      <c r="A59" s="541" t="s">
        <v>302</v>
      </c>
      <c r="B59" s="589" t="s">
        <v>116</v>
      </c>
      <c r="C59" s="544">
        <v>186</v>
      </c>
      <c r="D59" s="376">
        <v>179</v>
      </c>
      <c r="E59" s="376">
        <f t="shared" si="357"/>
        <v>365</v>
      </c>
      <c r="F59" s="376">
        <v>223</v>
      </c>
      <c r="G59" s="376">
        <v>201</v>
      </c>
      <c r="H59" s="376">
        <f t="shared" si="358"/>
        <v>424</v>
      </c>
      <c r="I59" s="376">
        <v>275</v>
      </c>
      <c r="J59" s="376">
        <v>233</v>
      </c>
      <c r="K59" s="376">
        <f t="shared" si="359"/>
        <v>508</v>
      </c>
      <c r="L59" s="376">
        <v>307</v>
      </c>
      <c r="M59" s="376">
        <v>290</v>
      </c>
      <c r="N59" s="376">
        <f t="shared" si="360"/>
        <v>597</v>
      </c>
      <c r="O59" s="376">
        <v>338</v>
      </c>
      <c r="P59" s="376">
        <v>290</v>
      </c>
      <c r="Q59" s="376">
        <f t="shared" si="361"/>
        <v>628</v>
      </c>
      <c r="R59" s="376">
        <v>313</v>
      </c>
      <c r="S59" s="376">
        <v>329</v>
      </c>
      <c r="T59" s="376">
        <f t="shared" si="362"/>
        <v>642</v>
      </c>
      <c r="U59" s="376">
        <v>325</v>
      </c>
      <c r="V59" s="376">
        <v>342</v>
      </c>
      <c r="W59" s="376">
        <f t="shared" si="363"/>
        <v>667</v>
      </c>
      <c r="X59" s="376">
        <v>369</v>
      </c>
      <c r="Y59" s="376">
        <v>334</v>
      </c>
      <c r="Z59" s="376">
        <f t="shared" si="364"/>
        <v>703</v>
      </c>
      <c r="AA59" s="376">
        <v>367</v>
      </c>
      <c r="AB59" s="376">
        <v>329</v>
      </c>
      <c r="AC59" s="376">
        <f t="shared" si="365"/>
        <v>696</v>
      </c>
      <c r="AD59" s="376">
        <v>357</v>
      </c>
      <c r="AE59" s="376">
        <v>306</v>
      </c>
      <c r="AF59" s="376">
        <f t="shared" si="366"/>
        <v>663</v>
      </c>
      <c r="AG59" s="376">
        <v>339</v>
      </c>
      <c r="AH59" s="376">
        <v>332</v>
      </c>
      <c r="AI59" s="376">
        <f t="shared" si="367"/>
        <v>671</v>
      </c>
      <c r="AJ59" s="376">
        <v>360</v>
      </c>
      <c r="AK59" s="376">
        <v>324</v>
      </c>
      <c r="AL59" s="376">
        <f t="shared" si="368"/>
        <v>684</v>
      </c>
      <c r="AM59" s="376">
        <v>325</v>
      </c>
      <c r="AN59" s="376">
        <v>331</v>
      </c>
      <c r="AO59" s="376">
        <f t="shared" si="369"/>
        <v>656</v>
      </c>
      <c r="AP59" s="376">
        <v>381</v>
      </c>
      <c r="AQ59" s="376">
        <v>303</v>
      </c>
      <c r="AR59" s="376">
        <f t="shared" si="370"/>
        <v>684</v>
      </c>
      <c r="AS59" s="376">
        <v>340</v>
      </c>
      <c r="AT59" s="376">
        <v>368</v>
      </c>
      <c r="AU59" s="376">
        <f t="shared" si="371"/>
        <v>708</v>
      </c>
      <c r="AV59" s="376">
        <v>342</v>
      </c>
      <c r="AW59" s="376">
        <v>325</v>
      </c>
      <c r="AX59" s="376">
        <f t="shared" si="372"/>
        <v>667</v>
      </c>
      <c r="AY59" s="376">
        <v>350</v>
      </c>
      <c r="AZ59" s="376">
        <v>306</v>
      </c>
      <c r="BA59" s="376">
        <f t="shared" si="373"/>
        <v>656</v>
      </c>
      <c r="BB59" s="376">
        <v>303</v>
      </c>
      <c r="BC59" s="376">
        <v>301</v>
      </c>
      <c r="BD59" s="376">
        <f t="shared" si="374"/>
        <v>604</v>
      </c>
      <c r="BE59" s="376">
        <v>329</v>
      </c>
      <c r="BF59" s="376">
        <v>346</v>
      </c>
      <c r="BG59" s="376">
        <f t="shared" si="375"/>
        <v>675</v>
      </c>
      <c r="BH59" s="376">
        <v>355</v>
      </c>
      <c r="BI59" s="376">
        <v>317</v>
      </c>
      <c r="BJ59" s="376">
        <f t="shared" si="376"/>
        <v>672</v>
      </c>
      <c r="BK59" s="376">
        <v>302</v>
      </c>
      <c r="BL59" s="376">
        <v>294</v>
      </c>
      <c r="BM59" s="376">
        <f t="shared" si="377"/>
        <v>596</v>
      </c>
      <c r="BN59" s="376">
        <v>339</v>
      </c>
      <c r="BO59" s="376">
        <v>307</v>
      </c>
      <c r="BP59" s="376">
        <f t="shared" si="378"/>
        <v>646</v>
      </c>
      <c r="BQ59" s="376">
        <v>349</v>
      </c>
      <c r="BR59" s="376">
        <v>330</v>
      </c>
      <c r="BS59" s="376">
        <f t="shared" si="379"/>
        <v>679</v>
      </c>
      <c r="BT59" s="376">
        <v>380</v>
      </c>
      <c r="BU59" s="376">
        <v>338</v>
      </c>
      <c r="BV59" s="376">
        <f t="shared" si="380"/>
        <v>718</v>
      </c>
      <c r="BW59" s="376">
        <v>348</v>
      </c>
      <c r="BX59" s="376">
        <v>294</v>
      </c>
      <c r="BY59" s="376">
        <f t="shared" si="381"/>
        <v>642</v>
      </c>
      <c r="BZ59" s="376">
        <v>405</v>
      </c>
      <c r="CA59" s="376">
        <v>355</v>
      </c>
      <c r="CB59" s="376">
        <f t="shared" si="382"/>
        <v>760</v>
      </c>
      <c r="CC59" s="376">
        <v>388</v>
      </c>
      <c r="CD59" s="376">
        <v>427</v>
      </c>
      <c r="CE59" s="376">
        <f t="shared" si="383"/>
        <v>815</v>
      </c>
      <c r="CF59" s="376">
        <v>341</v>
      </c>
      <c r="CG59" s="376">
        <v>359</v>
      </c>
      <c r="CH59" s="376">
        <f t="shared" si="384"/>
        <v>700</v>
      </c>
      <c r="CI59" s="376">
        <v>366</v>
      </c>
      <c r="CJ59" s="376">
        <v>377</v>
      </c>
      <c r="CK59" s="376">
        <f t="shared" si="385"/>
        <v>743</v>
      </c>
      <c r="CL59" s="376">
        <v>376</v>
      </c>
      <c r="CM59" s="376">
        <v>379</v>
      </c>
      <c r="CN59" s="376">
        <f t="shared" si="386"/>
        <v>755</v>
      </c>
      <c r="CO59" s="376">
        <v>352</v>
      </c>
      <c r="CP59" s="376">
        <v>372</v>
      </c>
      <c r="CQ59" s="376">
        <f t="shared" si="387"/>
        <v>724</v>
      </c>
      <c r="CR59" s="376">
        <v>378</v>
      </c>
      <c r="CS59" s="376">
        <v>362</v>
      </c>
      <c r="CT59" s="376">
        <f t="shared" si="388"/>
        <v>740</v>
      </c>
      <c r="CU59" s="376">
        <v>367</v>
      </c>
      <c r="CV59" s="376">
        <v>362</v>
      </c>
      <c r="CW59" s="376">
        <f t="shared" si="389"/>
        <v>729</v>
      </c>
      <c r="CX59" s="376">
        <v>354</v>
      </c>
      <c r="CY59" s="376">
        <v>375</v>
      </c>
      <c r="CZ59" s="376">
        <f t="shared" si="390"/>
        <v>729</v>
      </c>
      <c r="DA59" s="376">
        <v>337</v>
      </c>
      <c r="DB59" s="376">
        <v>366</v>
      </c>
      <c r="DC59" s="376">
        <f t="shared" si="391"/>
        <v>703</v>
      </c>
      <c r="DD59" s="376">
        <v>310</v>
      </c>
      <c r="DE59" s="376">
        <v>313</v>
      </c>
      <c r="DF59" s="376">
        <f t="shared" si="392"/>
        <v>623</v>
      </c>
      <c r="DG59" s="376">
        <v>320</v>
      </c>
      <c r="DH59" s="376">
        <v>309</v>
      </c>
      <c r="DI59" s="376">
        <f t="shared" si="393"/>
        <v>629</v>
      </c>
      <c r="DJ59" s="376">
        <v>300</v>
      </c>
      <c r="DK59" s="376">
        <v>328</v>
      </c>
      <c r="DL59" s="376">
        <f t="shared" si="394"/>
        <v>628</v>
      </c>
      <c r="DM59" s="376">
        <v>326</v>
      </c>
      <c r="DN59" s="376">
        <v>306</v>
      </c>
      <c r="DO59" s="376">
        <f t="shared" si="395"/>
        <v>632</v>
      </c>
      <c r="DP59" s="376">
        <v>297</v>
      </c>
      <c r="DQ59" s="376">
        <v>273</v>
      </c>
      <c r="DR59" s="376">
        <f t="shared" si="396"/>
        <v>570</v>
      </c>
      <c r="DS59" s="376">
        <v>306</v>
      </c>
      <c r="DT59" s="376">
        <v>314</v>
      </c>
      <c r="DU59" s="376">
        <f t="shared" si="397"/>
        <v>620</v>
      </c>
      <c r="DV59" s="376">
        <v>299</v>
      </c>
      <c r="DW59" s="376">
        <v>323</v>
      </c>
      <c r="DX59" s="376">
        <f t="shared" si="398"/>
        <v>622</v>
      </c>
      <c r="DY59" s="376">
        <v>301</v>
      </c>
      <c r="DZ59" s="376">
        <v>328</v>
      </c>
      <c r="EA59" s="376">
        <f t="shared" si="399"/>
        <v>629</v>
      </c>
      <c r="EB59" s="376">
        <v>313</v>
      </c>
      <c r="EC59" s="376">
        <v>305</v>
      </c>
      <c r="ED59" s="376">
        <f t="shared" si="400"/>
        <v>618</v>
      </c>
      <c r="EE59" s="376">
        <v>305</v>
      </c>
      <c r="EF59" s="376">
        <v>311</v>
      </c>
      <c r="EG59" s="376">
        <f t="shared" si="401"/>
        <v>616</v>
      </c>
      <c r="EH59" s="376">
        <v>268</v>
      </c>
      <c r="EI59" s="376">
        <v>304</v>
      </c>
      <c r="EJ59" s="376">
        <f t="shared" si="402"/>
        <v>572</v>
      </c>
      <c r="EK59" s="376">
        <v>301</v>
      </c>
      <c r="EL59" s="376">
        <v>322</v>
      </c>
      <c r="EM59" s="376">
        <f t="shared" si="403"/>
        <v>623</v>
      </c>
      <c r="EN59" s="376">
        <v>285</v>
      </c>
      <c r="EO59" s="376">
        <v>296</v>
      </c>
      <c r="EP59" s="376">
        <f t="shared" si="404"/>
        <v>581</v>
      </c>
      <c r="EQ59" s="376">
        <v>284</v>
      </c>
      <c r="ER59" s="376">
        <v>267</v>
      </c>
      <c r="ES59" s="376">
        <f t="shared" si="405"/>
        <v>551</v>
      </c>
      <c r="ET59" s="376">
        <v>259</v>
      </c>
      <c r="EU59" s="376">
        <v>287</v>
      </c>
      <c r="EV59" s="376">
        <f t="shared" si="406"/>
        <v>546</v>
      </c>
      <c r="EW59" s="376">
        <v>257</v>
      </c>
      <c r="EX59" s="376">
        <v>285</v>
      </c>
      <c r="EY59" s="376">
        <f t="shared" si="407"/>
        <v>542</v>
      </c>
      <c r="EZ59" s="376">
        <v>243</v>
      </c>
      <c r="FA59" s="376">
        <v>279</v>
      </c>
      <c r="FB59" s="376">
        <f t="shared" si="408"/>
        <v>522</v>
      </c>
      <c r="FC59" s="376">
        <v>256</v>
      </c>
      <c r="FD59" s="376">
        <v>251</v>
      </c>
      <c r="FE59" s="376">
        <f t="shared" si="409"/>
        <v>507</v>
      </c>
      <c r="FF59" s="376">
        <v>257</v>
      </c>
      <c r="FG59" s="376">
        <v>289</v>
      </c>
      <c r="FH59" s="376">
        <f t="shared" si="410"/>
        <v>546</v>
      </c>
      <c r="FI59" s="376">
        <v>206</v>
      </c>
      <c r="FJ59" s="376">
        <v>271</v>
      </c>
      <c r="FK59" s="376">
        <f t="shared" si="411"/>
        <v>477</v>
      </c>
      <c r="FL59" s="376">
        <v>227</v>
      </c>
      <c r="FM59" s="376">
        <v>264</v>
      </c>
      <c r="FN59" s="376">
        <f t="shared" si="412"/>
        <v>491</v>
      </c>
      <c r="FO59" s="376">
        <v>249</v>
      </c>
      <c r="FP59" s="376">
        <v>255</v>
      </c>
      <c r="FQ59" s="376">
        <f t="shared" si="413"/>
        <v>504</v>
      </c>
      <c r="FR59" s="376">
        <v>220</v>
      </c>
      <c r="FS59" s="376">
        <v>284</v>
      </c>
      <c r="FT59" s="376">
        <f t="shared" si="414"/>
        <v>504</v>
      </c>
      <c r="FU59" s="376">
        <v>235</v>
      </c>
      <c r="FV59" s="376">
        <v>281</v>
      </c>
      <c r="FW59" s="376">
        <f t="shared" si="415"/>
        <v>516</v>
      </c>
      <c r="FX59" s="376">
        <v>186</v>
      </c>
      <c r="FY59" s="376">
        <v>268</v>
      </c>
      <c r="FZ59" s="376">
        <f t="shared" si="416"/>
        <v>454</v>
      </c>
      <c r="GA59" s="376">
        <v>272</v>
      </c>
      <c r="GB59" s="376">
        <v>282</v>
      </c>
      <c r="GC59" s="376">
        <f t="shared" si="417"/>
        <v>554</v>
      </c>
      <c r="GD59" s="376">
        <v>204</v>
      </c>
      <c r="GE59" s="376">
        <v>256</v>
      </c>
      <c r="GF59" s="376">
        <f t="shared" si="418"/>
        <v>460</v>
      </c>
      <c r="GG59" s="376">
        <v>209</v>
      </c>
      <c r="GH59" s="376">
        <v>250</v>
      </c>
      <c r="GI59" s="376">
        <f t="shared" si="419"/>
        <v>459</v>
      </c>
      <c r="GJ59" s="376">
        <v>209</v>
      </c>
      <c r="GK59" s="376">
        <v>201</v>
      </c>
      <c r="GL59" s="376">
        <f t="shared" si="420"/>
        <v>410</v>
      </c>
      <c r="GM59" s="376">
        <v>189</v>
      </c>
      <c r="GN59" s="376">
        <v>181</v>
      </c>
      <c r="GO59" s="376">
        <f t="shared" si="421"/>
        <v>370</v>
      </c>
      <c r="GP59" s="376">
        <v>166</v>
      </c>
      <c r="GQ59" s="376">
        <v>152</v>
      </c>
      <c r="GR59" s="376">
        <f t="shared" si="422"/>
        <v>318</v>
      </c>
      <c r="GS59" s="376">
        <v>153</v>
      </c>
      <c r="GT59" s="376">
        <v>153</v>
      </c>
      <c r="GU59" s="376">
        <f t="shared" si="423"/>
        <v>306</v>
      </c>
      <c r="GV59" s="376">
        <v>157</v>
      </c>
      <c r="GW59" s="376">
        <v>125</v>
      </c>
      <c r="GX59" s="376">
        <f t="shared" si="424"/>
        <v>282</v>
      </c>
      <c r="GY59" s="376">
        <v>126</v>
      </c>
      <c r="GZ59" s="376">
        <v>109</v>
      </c>
      <c r="HA59" s="376">
        <f t="shared" si="425"/>
        <v>235</v>
      </c>
      <c r="HB59" s="376">
        <v>99</v>
      </c>
      <c r="HC59" s="376">
        <v>90</v>
      </c>
      <c r="HD59" s="376">
        <f t="shared" si="426"/>
        <v>189</v>
      </c>
      <c r="HE59" s="376">
        <v>84</v>
      </c>
      <c r="HF59" s="376">
        <v>89</v>
      </c>
      <c r="HG59" s="376">
        <f t="shared" si="427"/>
        <v>173</v>
      </c>
      <c r="HH59" s="376">
        <v>71</v>
      </c>
      <c r="HI59" s="376">
        <v>82</v>
      </c>
      <c r="HJ59" s="376">
        <f t="shared" si="428"/>
        <v>153</v>
      </c>
      <c r="HK59" s="376">
        <v>79</v>
      </c>
      <c r="HL59" s="376">
        <v>71</v>
      </c>
      <c r="HM59" s="376">
        <f t="shared" si="429"/>
        <v>150</v>
      </c>
      <c r="HN59" s="376">
        <v>66</v>
      </c>
      <c r="HO59" s="376">
        <v>55</v>
      </c>
      <c r="HP59" s="376">
        <f t="shared" si="430"/>
        <v>121</v>
      </c>
      <c r="HQ59" s="376">
        <v>52</v>
      </c>
      <c r="HR59" s="376">
        <v>36</v>
      </c>
      <c r="HS59" s="376">
        <f t="shared" si="431"/>
        <v>88</v>
      </c>
      <c r="HT59" s="376">
        <v>54</v>
      </c>
      <c r="HU59" s="376">
        <v>52</v>
      </c>
      <c r="HV59" s="376">
        <f t="shared" si="432"/>
        <v>106</v>
      </c>
      <c r="HW59" s="376">
        <v>32</v>
      </c>
      <c r="HX59" s="376">
        <v>34</v>
      </c>
      <c r="HY59" s="376">
        <f t="shared" si="433"/>
        <v>66</v>
      </c>
      <c r="HZ59" s="376">
        <v>21</v>
      </c>
      <c r="IA59" s="376">
        <v>34</v>
      </c>
      <c r="IB59" s="376">
        <f t="shared" si="434"/>
        <v>55</v>
      </c>
      <c r="IC59" s="376">
        <v>13</v>
      </c>
      <c r="ID59" s="376">
        <v>28</v>
      </c>
      <c r="IE59" s="376">
        <f t="shared" si="435"/>
        <v>41</v>
      </c>
      <c r="IF59" s="376">
        <v>18</v>
      </c>
      <c r="IG59" s="376">
        <v>9</v>
      </c>
      <c r="IH59" s="376">
        <f t="shared" si="436"/>
        <v>27</v>
      </c>
      <c r="II59" s="376">
        <v>18</v>
      </c>
      <c r="IJ59" s="376">
        <v>31</v>
      </c>
      <c r="IK59" s="376">
        <f t="shared" si="437"/>
        <v>49</v>
      </c>
      <c r="IL59" s="376">
        <v>15</v>
      </c>
      <c r="IM59" s="376">
        <v>26</v>
      </c>
      <c r="IN59" s="376">
        <f t="shared" si="438"/>
        <v>41</v>
      </c>
      <c r="IO59" s="376">
        <v>16</v>
      </c>
      <c r="IP59" s="376">
        <v>17</v>
      </c>
      <c r="IQ59" s="376">
        <f t="shared" si="439"/>
        <v>33</v>
      </c>
      <c r="IR59" s="376">
        <v>10</v>
      </c>
      <c r="IS59" s="376">
        <v>21</v>
      </c>
      <c r="IT59" s="376">
        <f t="shared" si="440"/>
        <v>31</v>
      </c>
      <c r="IU59" s="376">
        <v>10</v>
      </c>
      <c r="IV59" s="376">
        <v>22</v>
      </c>
      <c r="IW59" s="376">
        <f t="shared" si="441"/>
        <v>32</v>
      </c>
      <c r="IX59" s="376">
        <v>10</v>
      </c>
      <c r="IY59" s="376">
        <v>16</v>
      </c>
      <c r="IZ59" s="376">
        <f t="shared" si="442"/>
        <v>26</v>
      </c>
      <c r="JA59" s="376">
        <v>11</v>
      </c>
      <c r="JB59" s="376">
        <v>13</v>
      </c>
      <c r="JC59" s="376">
        <f t="shared" si="443"/>
        <v>24</v>
      </c>
      <c r="JD59" s="376">
        <v>4</v>
      </c>
      <c r="JE59" s="376">
        <v>5</v>
      </c>
      <c r="JF59" s="376">
        <f t="shared" si="444"/>
        <v>9</v>
      </c>
      <c r="JG59" s="376">
        <v>3</v>
      </c>
      <c r="JH59" s="376">
        <v>7</v>
      </c>
      <c r="JI59" s="376">
        <f t="shared" si="445"/>
        <v>10</v>
      </c>
      <c r="JJ59" s="376">
        <v>4</v>
      </c>
      <c r="JK59" s="376">
        <v>4</v>
      </c>
      <c r="JL59" s="376">
        <f t="shared" si="446"/>
        <v>8</v>
      </c>
      <c r="JM59" s="376">
        <v>3</v>
      </c>
      <c r="JN59" s="376">
        <v>6</v>
      </c>
      <c r="JO59" s="376">
        <f t="shared" si="447"/>
        <v>9</v>
      </c>
      <c r="JP59" s="376">
        <v>4</v>
      </c>
      <c r="JQ59" s="376">
        <v>2</v>
      </c>
      <c r="JR59" s="376">
        <f t="shared" si="448"/>
        <v>6</v>
      </c>
      <c r="JS59" s="376">
        <v>2</v>
      </c>
      <c r="JT59" s="376">
        <v>3</v>
      </c>
      <c r="JU59" s="376">
        <f t="shared" si="449"/>
        <v>5</v>
      </c>
      <c r="JV59" s="376">
        <v>1</v>
      </c>
      <c r="JW59" s="376">
        <v>4</v>
      </c>
      <c r="JX59" s="376">
        <f t="shared" si="450"/>
        <v>5</v>
      </c>
      <c r="JY59" s="376">
        <v>1</v>
      </c>
      <c r="JZ59" s="376">
        <v>4</v>
      </c>
      <c r="KA59" s="376">
        <f t="shared" si="451"/>
        <v>5</v>
      </c>
      <c r="KB59" s="376">
        <v>1</v>
      </c>
      <c r="KC59" s="376">
        <v>1</v>
      </c>
      <c r="KD59" s="376">
        <f t="shared" si="452"/>
        <v>2</v>
      </c>
      <c r="KE59" s="376">
        <v>1</v>
      </c>
      <c r="KF59" s="376">
        <v>0</v>
      </c>
      <c r="KG59" s="376">
        <f t="shared" si="453"/>
        <v>1</v>
      </c>
      <c r="KH59" s="376">
        <v>0</v>
      </c>
      <c r="KI59" s="376">
        <v>0</v>
      </c>
      <c r="KJ59" s="376">
        <f t="shared" si="454"/>
        <v>0</v>
      </c>
      <c r="KK59" s="376">
        <v>0</v>
      </c>
      <c r="KL59" s="376">
        <v>1</v>
      </c>
      <c r="KM59" s="376">
        <f t="shared" si="455"/>
        <v>1</v>
      </c>
      <c r="KN59" s="376">
        <v>0</v>
      </c>
      <c r="KO59" s="376">
        <v>0</v>
      </c>
      <c r="KP59" s="376">
        <f t="shared" si="456"/>
        <v>0</v>
      </c>
      <c r="KQ59" s="376">
        <v>0</v>
      </c>
      <c r="KR59" s="376">
        <v>0</v>
      </c>
      <c r="KS59" s="376">
        <f t="shared" si="457"/>
        <v>0</v>
      </c>
      <c r="KT59" s="376">
        <v>0</v>
      </c>
      <c r="KU59" s="376">
        <v>0</v>
      </c>
      <c r="KV59" s="376">
        <f t="shared" si="458"/>
        <v>0</v>
      </c>
      <c r="KW59" s="376">
        <v>0</v>
      </c>
      <c r="KX59" s="376">
        <v>0</v>
      </c>
      <c r="KY59" s="376">
        <f t="shared" si="459"/>
        <v>0</v>
      </c>
      <c r="KZ59" s="376">
        <v>0</v>
      </c>
      <c r="LA59" s="376">
        <v>0</v>
      </c>
      <c r="LB59" s="376">
        <f t="shared" si="460"/>
        <v>0</v>
      </c>
      <c r="LC59" s="376">
        <v>0</v>
      </c>
      <c r="LD59" s="376">
        <v>0</v>
      </c>
      <c r="LE59" s="376">
        <f t="shared" si="461"/>
        <v>0</v>
      </c>
      <c r="LF59" s="376">
        <v>0</v>
      </c>
      <c r="LG59" s="376">
        <v>0</v>
      </c>
      <c r="LH59" s="376">
        <f t="shared" si="462"/>
        <v>0</v>
      </c>
      <c r="LI59" s="376">
        <v>0</v>
      </c>
      <c r="LJ59" s="376">
        <v>0</v>
      </c>
      <c r="LK59" s="376">
        <f t="shared" si="463"/>
        <v>0</v>
      </c>
      <c r="LL59" s="376">
        <v>0</v>
      </c>
      <c r="LM59" s="376">
        <v>0</v>
      </c>
      <c r="LN59" s="376">
        <f t="shared" si="464"/>
        <v>0</v>
      </c>
      <c r="LO59" s="376">
        <v>0</v>
      </c>
      <c r="LP59" s="376">
        <v>0</v>
      </c>
      <c r="LQ59" s="376">
        <f t="shared" si="465"/>
        <v>0</v>
      </c>
      <c r="LR59" s="376">
        <v>0</v>
      </c>
      <c r="LS59" s="376">
        <v>0</v>
      </c>
      <c r="LT59" s="376">
        <f t="shared" si="466"/>
        <v>0</v>
      </c>
      <c r="LU59" s="376">
        <v>0</v>
      </c>
      <c r="LV59" s="376">
        <v>0</v>
      </c>
      <c r="LW59" s="376">
        <f t="shared" si="467"/>
        <v>0</v>
      </c>
      <c r="LX59" s="376">
        <v>0</v>
      </c>
      <c r="LY59" s="376">
        <v>0</v>
      </c>
      <c r="LZ59" s="376">
        <f t="shared" si="468"/>
        <v>0</v>
      </c>
      <c r="MA59" s="376">
        <v>0</v>
      </c>
      <c r="MB59" s="376">
        <v>0</v>
      </c>
      <c r="MC59" s="376">
        <f t="shared" si="469"/>
        <v>0</v>
      </c>
      <c r="MD59" s="376">
        <v>0</v>
      </c>
      <c r="ME59" s="376">
        <v>0</v>
      </c>
      <c r="MF59" s="376">
        <f t="shared" si="470"/>
        <v>0</v>
      </c>
      <c r="MG59" s="376">
        <v>0</v>
      </c>
      <c r="MH59" s="376">
        <v>0</v>
      </c>
      <c r="MI59" s="376">
        <f t="shared" si="471"/>
        <v>0</v>
      </c>
      <c r="MJ59" s="376">
        <v>0</v>
      </c>
      <c r="MK59" s="376">
        <v>0</v>
      </c>
      <c r="ML59" s="376">
        <f t="shared" si="472"/>
        <v>0</v>
      </c>
      <c r="MM59" s="376">
        <v>0</v>
      </c>
      <c r="MN59" s="376">
        <v>0</v>
      </c>
      <c r="MO59" s="376">
        <f t="shared" si="473"/>
        <v>0</v>
      </c>
      <c r="MP59" s="376">
        <v>0</v>
      </c>
      <c r="MQ59" s="376">
        <v>0</v>
      </c>
      <c r="MR59" s="376">
        <f t="shared" si="474"/>
        <v>0</v>
      </c>
      <c r="MS59" s="376">
        <v>0</v>
      </c>
      <c r="MT59" s="376">
        <v>0</v>
      </c>
      <c r="MU59" s="376">
        <f t="shared" si="475"/>
        <v>0</v>
      </c>
      <c r="MV59" s="376">
        <v>0</v>
      </c>
      <c r="MW59" s="376">
        <v>0</v>
      </c>
      <c r="MX59" s="376">
        <f t="shared" si="476"/>
        <v>0</v>
      </c>
      <c r="MY59" s="376">
        <v>0</v>
      </c>
      <c r="MZ59" s="376">
        <v>0</v>
      </c>
      <c r="NA59" s="545">
        <f t="shared" si="477"/>
        <v>0</v>
      </c>
      <c r="NB59" s="376">
        <v>0</v>
      </c>
      <c r="NC59" s="376">
        <v>0</v>
      </c>
      <c r="ND59" s="543">
        <f t="shared" si="478"/>
        <v>0</v>
      </c>
      <c r="NE59" s="542">
        <f t="shared" si="489"/>
        <v>21064</v>
      </c>
      <c r="NF59" s="376">
        <f t="shared" si="489"/>
        <v>21168</v>
      </c>
      <c r="NG59" s="543">
        <f t="shared" si="480"/>
        <v>42232</v>
      </c>
      <c r="NH59" s="542">
        <f t="shared" si="481"/>
        <v>1642</v>
      </c>
      <c r="NI59" s="376">
        <f t="shared" si="481"/>
        <v>1522</v>
      </c>
      <c r="NJ59" s="543">
        <f t="shared" si="482"/>
        <v>3164</v>
      </c>
    </row>
    <row r="60" spans="1:374" x14ac:dyDescent="0.3">
      <c r="A60" s="541" t="s">
        <v>303</v>
      </c>
      <c r="B60" s="589" t="s">
        <v>118</v>
      </c>
      <c r="C60" s="544">
        <v>172</v>
      </c>
      <c r="D60" s="376">
        <v>151</v>
      </c>
      <c r="E60" s="376">
        <f t="shared" si="357"/>
        <v>323</v>
      </c>
      <c r="F60" s="376">
        <v>197</v>
      </c>
      <c r="G60" s="376">
        <v>223</v>
      </c>
      <c r="H60" s="376">
        <f t="shared" si="358"/>
        <v>420</v>
      </c>
      <c r="I60" s="376">
        <v>250</v>
      </c>
      <c r="J60" s="376">
        <v>248</v>
      </c>
      <c r="K60" s="376">
        <f t="shared" si="359"/>
        <v>498</v>
      </c>
      <c r="L60" s="376">
        <v>273</v>
      </c>
      <c r="M60" s="376">
        <v>244</v>
      </c>
      <c r="N60" s="376">
        <f t="shared" si="360"/>
        <v>517</v>
      </c>
      <c r="O60" s="376">
        <v>325</v>
      </c>
      <c r="P60" s="376">
        <v>357</v>
      </c>
      <c r="Q60" s="376">
        <f t="shared" si="361"/>
        <v>682</v>
      </c>
      <c r="R60" s="376">
        <v>334</v>
      </c>
      <c r="S60" s="376">
        <v>306</v>
      </c>
      <c r="T60" s="376">
        <f t="shared" si="362"/>
        <v>640</v>
      </c>
      <c r="U60" s="376">
        <v>335</v>
      </c>
      <c r="V60" s="376">
        <v>410</v>
      </c>
      <c r="W60" s="376">
        <f t="shared" si="363"/>
        <v>745</v>
      </c>
      <c r="X60" s="376">
        <v>384</v>
      </c>
      <c r="Y60" s="376">
        <v>348</v>
      </c>
      <c r="Z60" s="376">
        <f t="shared" si="364"/>
        <v>732</v>
      </c>
      <c r="AA60" s="376">
        <v>338</v>
      </c>
      <c r="AB60" s="376">
        <v>323</v>
      </c>
      <c r="AC60" s="376">
        <f t="shared" si="365"/>
        <v>661</v>
      </c>
      <c r="AD60" s="376">
        <v>336</v>
      </c>
      <c r="AE60" s="376">
        <v>339</v>
      </c>
      <c r="AF60" s="376">
        <f t="shared" si="366"/>
        <v>675</v>
      </c>
      <c r="AG60" s="376">
        <v>364</v>
      </c>
      <c r="AH60" s="376">
        <v>350</v>
      </c>
      <c r="AI60" s="376">
        <f t="shared" si="367"/>
        <v>714</v>
      </c>
      <c r="AJ60" s="376">
        <v>372</v>
      </c>
      <c r="AK60" s="376">
        <v>365</v>
      </c>
      <c r="AL60" s="376">
        <f t="shared" si="368"/>
        <v>737</v>
      </c>
      <c r="AM60" s="376">
        <v>343</v>
      </c>
      <c r="AN60" s="376">
        <v>315</v>
      </c>
      <c r="AO60" s="376">
        <f t="shared" si="369"/>
        <v>658</v>
      </c>
      <c r="AP60" s="376">
        <v>328</v>
      </c>
      <c r="AQ60" s="376">
        <v>332</v>
      </c>
      <c r="AR60" s="376">
        <f t="shared" si="370"/>
        <v>660</v>
      </c>
      <c r="AS60" s="376">
        <v>398</v>
      </c>
      <c r="AT60" s="376">
        <v>332</v>
      </c>
      <c r="AU60" s="376">
        <f t="shared" si="371"/>
        <v>730</v>
      </c>
      <c r="AV60" s="376">
        <v>340</v>
      </c>
      <c r="AW60" s="376">
        <v>288</v>
      </c>
      <c r="AX60" s="376">
        <f t="shared" si="372"/>
        <v>628</v>
      </c>
      <c r="AY60" s="376">
        <v>352</v>
      </c>
      <c r="AZ60" s="376">
        <v>316</v>
      </c>
      <c r="BA60" s="376">
        <f t="shared" si="373"/>
        <v>668</v>
      </c>
      <c r="BB60" s="376">
        <v>280</v>
      </c>
      <c r="BC60" s="376">
        <v>332</v>
      </c>
      <c r="BD60" s="376">
        <f t="shared" si="374"/>
        <v>612</v>
      </c>
      <c r="BE60" s="376">
        <v>332</v>
      </c>
      <c r="BF60" s="376">
        <v>318</v>
      </c>
      <c r="BG60" s="376">
        <f t="shared" si="375"/>
        <v>650</v>
      </c>
      <c r="BH60" s="376">
        <v>317</v>
      </c>
      <c r="BI60" s="376">
        <v>316</v>
      </c>
      <c r="BJ60" s="376">
        <f t="shared" si="376"/>
        <v>633</v>
      </c>
      <c r="BK60" s="376">
        <v>314</v>
      </c>
      <c r="BL60" s="376">
        <v>312</v>
      </c>
      <c r="BM60" s="376">
        <f t="shared" si="377"/>
        <v>626</v>
      </c>
      <c r="BN60" s="376">
        <v>319</v>
      </c>
      <c r="BO60" s="376">
        <v>297</v>
      </c>
      <c r="BP60" s="376">
        <f t="shared" si="378"/>
        <v>616</v>
      </c>
      <c r="BQ60" s="376">
        <v>317</v>
      </c>
      <c r="BR60" s="376">
        <v>311</v>
      </c>
      <c r="BS60" s="376">
        <f t="shared" si="379"/>
        <v>628</v>
      </c>
      <c r="BT60" s="376">
        <v>345</v>
      </c>
      <c r="BU60" s="376">
        <v>313</v>
      </c>
      <c r="BV60" s="376">
        <f t="shared" si="380"/>
        <v>658</v>
      </c>
      <c r="BW60" s="376">
        <v>294</v>
      </c>
      <c r="BX60" s="376">
        <v>307</v>
      </c>
      <c r="BY60" s="376">
        <f t="shared" si="381"/>
        <v>601</v>
      </c>
      <c r="BZ60" s="376">
        <v>277</v>
      </c>
      <c r="CA60" s="376">
        <v>314</v>
      </c>
      <c r="CB60" s="376">
        <f t="shared" si="382"/>
        <v>591</v>
      </c>
      <c r="CC60" s="376">
        <v>307</v>
      </c>
      <c r="CD60" s="376">
        <v>329</v>
      </c>
      <c r="CE60" s="376">
        <f t="shared" si="383"/>
        <v>636</v>
      </c>
      <c r="CF60" s="376">
        <v>256</v>
      </c>
      <c r="CG60" s="376">
        <v>281</v>
      </c>
      <c r="CH60" s="376">
        <f t="shared" si="384"/>
        <v>537</v>
      </c>
      <c r="CI60" s="376">
        <v>288</v>
      </c>
      <c r="CJ60" s="376">
        <v>326</v>
      </c>
      <c r="CK60" s="376">
        <f t="shared" si="385"/>
        <v>614</v>
      </c>
      <c r="CL60" s="376">
        <v>285</v>
      </c>
      <c r="CM60" s="376">
        <v>305</v>
      </c>
      <c r="CN60" s="376">
        <f t="shared" si="386"/>
        <v>590</v>
      </c>
      <c r="CO60" s="376">
        <v>289</v>
      </c>
      <c r="CP60" s="376">
        <v>326</v>
      </c>
      <c r="CQ60" s="376">
        <f t="shared" si="387"/>
        <v>615</v>
      </c>
      <c r="CR60" s="376">
        <v>295</v>
      </c>
      <c r="CS60" s="376">
        <v>319</v>
      </c>
      <c r="CT60" s="376">
        <f t="shared" si="388"/>
        <v>614</v>
      </c>
      <c r="CU60" s="376">
        <v>322</v>
      </c>
      <c r="CV60" s="376">
        <v>279</v>
      </c>
      <c r="CW60" s="376">
        <f t="shared" si="389"/>
        <v>601</v>
      </c>
      <c r="CX60" s="376">
        <v>269</v>
      </c>
      <c r="CY60" s="376">
        <v>322</v>
      </c>
      <c r="CZ60" s="376">
        <f t="shared" si="390"/>
        <v>591</v>
      </c>
      <c r="DA60" s="376">
        <v>266</v>
      </c>
      <c r="DB60" s="376">
        <v>303</v>
      </c>
      <c r="DC60" s="376">
        <f t="shared" si="391"/>
        <v>569</v>
      </c>
      <c r="DD60" s="376">
        <v>259</v>
      </c>
      <c r="DE60" s="376">
        <v>292</v>
      </c>
      <c r="DF60" s="376">
        <f t="shared" si="392"/>
        <v>551</v>
      </c>
      <c r="DG60" s="376">
        <v>294</v>
      </c>
      <c r="DH60" s="376">
        <v>313</v>
      </c>
      <c r="DI60" s="376">
        <f t="shared" si="393"/>
        <v>607</v>
      </c>
      <c r="DJ60" s="376">
        <v>244</v>
      </c>
      <c r="DK60" s="376">
        <v>270</v>
      </c>
      <c r="DL60" s="376">
        <f t="shared" si="394"/>
        <v>514</v>
      </c>
      <c r="DM60" s="376">
        <v>278</v>
      </c>
      <c r="DN60" s="376">
        <v>285</v>
      </c>
      <c r="DO60" s="376">
        <f t="shared" si="395"/>
        <v>563</v>
      </c>
      <c r="DP60" s="376">
        <v>253</v>
      </c>
      <c r="DQ60" s="376">
        <v>263</v>
      </c>
      <c r="DR60" s="376">
        <f t="shared" si="396"/>
        <v>516</v>
      </c>
      <c r="DS60" s="376">
        <v>285</v>
      </c>
      <c r="DT60" s="376">
        <v>294</v>
      </c>
      <c r="DU60" s="376">
        <f t="shared" si="397"/>
        <v>579</v>
      </c>
      <c r="DV60" s="376">
        <v>265</v>
      </c>
      <c r="DW60" s="376">
        <v>308</v>
      </c>
      <c r="DX60" s="376">
        <f t="shared" si="398"/>
        <v>573</v>
      </c>
      <c r="DY60" s="376">
        <v>275</v>
      </c>
      <c r="DZ60" s="376">
        <v>300</v>
      </c>
      <c r="EA60" s="376">
        <f t="shared" si="399"/>
        <v>575</v>
      </c>
      <c r="EB60" s="376">
        <v>310</v>
      </c>
      <c r="EC60" s="376">
        <v>279</v>
      </c>
      <c r="ED60" s="376">
        <f t="shared" si="400"/>
        <v>589</v>
      </c>
      <c r="EE60" s="376">
        <v>287</v>
      </c>
      <c r="EF60" s="376">
        <v>325</v>
      </c>
      <c r="EG60" s="376">
        <f t="shared" si="401"/>
        <v>612</v>
      </c>
      <c r="EH60" s="376">
        <v>306</v>
      </c>
      <c r="EI60" s="376">
        <v>277</v>
      </c>
      <c r="EJ60" s="376">
        <f t="shared" si="402"/>
        <v>583</v>
      </c>
      <c r="EK60" s="376">
        <v>249</v>
      </c>
      <c r="EL60" s="376">
        <v>306</v>
      </c>
      <c r="EM60" s="376">
        <f t="shared" si="403"/>
        <v>555</v>
      </c>
      <c r="EN60" s="376">
        <v>271</v>
      </c>
      <c r="EO60" s="376">
        <v>301</v>
      </c>
      <c r="EP60" s="376">
        <f t="shared" si="404"/>
        <v>572</v>
      </c>
      <c r="EQ60" s="376">
        <v>288</v>
      </c>
      <c r="ER60" s="376">
        <v>271</v>
      </c>
      <c r="ES60" s="376">
        <f t="shared" si="405"/>
        <v>559</v>
      </c>
      <c r="ET60" s="376">
        <v>262</v>
      </c>
      <c r="EU60" s="376">
        <v>309</v>
      </c>
      <c r="EV60" s="376">
        <f t="shared" si="406"/>
        <v>571</v>
      </c>
      <c r="EW60" s="376">
        <v>232</v>
      </c>
      <c r="EX60" s="376">
        <v>269</v>
      </c>
      <c r="EY60" s="376">
        <f t="shared" si="407"/>
        <v>501</v>
      </c>
      <c r="EZ60" s="376">
        <v>255</v>
      </c>
      <c r="FA60" s="376">
        <v>307</v>
      </c>
      <c r="FB60" s="376">
        <f t="shared" si="408"/>
        <v>562</v>
      </c>
      <c r="FC60" s="376">
        <v>237</v>
      </c>
      <c r="FD60" s="376">
        <v>239</v>
      </c>
      <c r="FE60" s="376">
        <f t="shared" si="409"/>
        <v>476</v>
      </c>
      <c r="FF60" s="376">
        <v>268</v>
      </c>
      <c r="FG60" s="376">
        <v>232</v>
      </c>
      <c r="FH60" s="376">
        <f t="shared" si="410"/>
        <v>500</v>
      </c>
      <c r="FI60" s="376">
        <v>231</v>
      </c>
      <c r="FJ60" s="376">
        <v>208</v>
      </c>
      <c r="FK60" s="376">
        <f t="shared" si="411"/>
        <v>439</v>
      </c>
      <c r="FL60" s="376">
        <v>226</v>
      </c>
      <c r="FM60" s="376">
        <v>211</v>
      </c>
      <c r="FN60" s="376">
        <f t="shared" si="412"/>
        <v>437</v>
      </c>
      <c r="FO60" s="376">
        <v>228</v>
      </c>
      <c r="FP60" s="376">
        <v>207</v>
      </c>
      <c r="FQ60" s="376">
        <f t="shared" si="413"/>
        <v>435</v>
      </c>
      <c r="FR60" s="376">
        <v>203</v>
      </c>
      <c r="FS60" s="376">
        <v>172</v>
      </c>
      <c r="FT60" s="376">
        <f t="shared" si="414"/>
        <v>375</v>
      </c>
      <c r="FU60" s="376">
        <v>182</v>
      </c>
      <c r="FV60" s="376">
        <v>159</v>
      </c>
      <c r="FW60" s="376">
        <f t="shared" si="415"/>
        <v>341</v>
      </c>
      <c r="FX60" s="376">
        <v>156</v>
      </c>
      <c r="FY60" s="376">
        <v>134</v>
      </c>
      <c r="FZ60" s="376">
        <f t="shared" si="416"/>
        <v>290</v>
      </c>
      <c r="GA60" s="376">
        <v>136</v>
      </c>
      <c r="GB60" s="376">
        <v>151</v>
      </c>
      <c r="GC60" s="376">
        <f t="shared" si="417"/>
        <v>287</v>
      </c>
      <c r="GD60" s="376">
        <v>146</v>
      </c>
      <c r="GE60" s="376">
        <v>158</v>
      </c>
      <c r="GF60" s="376">
        <f t="shared" si="418"/>
        <v>304</v>
      </c>
      <c r="GG60" s="376">
        <v>117</v>
      </c>
      <c r="GH60" s="376">
        <v>119</v>
      </c>
      <c r="GI60" s="376">
        <f t="shared" si="419"/>
        <v>236</v>
      </c>
      <c r="GJ60" s="376">
        <v>146</v>
      </c>
      <c r="GK60" s="376">
        <v>117</v>
      </c>
      <c r="GL60" s="376">
        <f t="shared" si="420"/>
        <v>263</v>
      </c>
      <c r="GM60" s="376">
        <v>93</v>
      </c>
      <c r="GN60" s="376">
        <v>91</v>
      </c>
      <c r="GO60" s="376">
        <f t="shared" si="421"/>
        <v>184</v>
      </c>
      <c r="GP60" s="376">
        <v>96</v>
      </c>
      <c r="GQ60" s="376">
        <v>79</v>
      </c>
      <c r="GR60" s="376">
        <f t="shared" si="422"/>
        <v>175</v>
      </c>
      <c r="GS60" s="376">
        <v>84</v>
      </c>
      <c r="GT60" s="376">
        <v>105</v>
      </c>
      <c r="GU60" s="376">
        <f t="shared" si="423"/>
        <v>189</v>
      </c>
      <c r="GV60" s="376">
        <v>74</v>
      </c>
      <c r="GW60" s="376">
        <v>80</v>
      </c>
      <c r="GX60" s="376">
        <f t="shared" si="424"/>
        <v>154</v>
      </c>
      <c r="GY60" s="376">
        <v>79</v>
      </c>
      <c r="GZ60" s="376">
        <v>90</v>
      </c>
      <c r="HA60" s="376">
        <f t="shared" si="425"/>
        <v>169</v>
      </c>
      <c r="HB60" s="376">
        <v>58</v>
      </c>
      <c r="HC60" s="376">
        <v>59</v>
      </c>
      <c r="HD60" s="376">
        <f t="shared" si="426"/>
        <v>117</v>
      </c>
      <c r="HE60" s="376">
        <v>59</v>
      </c>
      <c r="HF60" s="376">
        <v>59</v>
      </c>
      <c r="HG60" s="376">
        <f t="shared" si="427"/>
        <v>118</v>
      </c>
      <c r="HH60" s="376">
        <v>59</v>
      </c>
      <c r="HI60" s="376">
        <v>60</v>
      </c>
      <c r="HJ60" s="376">
        <f t="shared" si="428"/>
        <v>119</v>
      </c>
      <c r="HK60" s="376">
        <v>45</v>
      </c>
      <c r="HL60" s="376">
        <v>45</v>
      </c>
      <c r="HM60" s="376">
        <f t="shared" si="429"/>
        <v>90</v>
      </c>
      <c r="HN60" s="376">
        <v>49</v>
      </c>
      <c r="HO60" s="376">
        <v>52</v>
      </c>
      <c r="HP60" s="376">
        <f t="shared" si="430"/>
        <v>101</v>
      </c>
      <c r="HQ60" s="376">
        <v>41</v>
      </c>
      <c r="HR60" s="376">
        <v>37</v>
      </c>
      <c r="HS60" s="376">
        <f t="shared" si="431"/>
        <v>78</v>
      </c>
      <c r="HT60" s="376">
        <v>34</v>
      </c>
      <c r="HU60" s="376">
        <v>20</v>
      </c>
      <c r="HV60" s="376">
        <f t="shared" si="432"/>
        <v>54</v>
      </c>
      <c r="HW60" s="376">
        <v>36</v>
      </c>
      <c r="HX60" s="376">
        <v>34</v>
      </c>
      <c r="HY60" s="376">
        <f t="shared" si="433"/>
        <v>70</v>
      </c>
      <c r="HZ60" s="376">
        <v>19</v>
      </c>
      <c r="IA60" s="376">
        <v>19</v>
      </c>
      <c r="IB60" s="376">
        <f t="shared" si="434"/>
        <v>38</v>
      </c>
      <c r="IC60" s="376">
        <v>13</v>
      </c>
      <c r="ID60" s="376">
        <v>29</v>
      </c>
      <c r="IE60" s="376">
        <f t="shared" si="435"/>
        <v>42</v>
      </c>
      <c r="IF60" s="376">
        <v>16</v>
      </c>
      <c r="IG60" s="376">
        <v>24</v>
      </c>
      <c r="IH60" s="376">
        <f t="shared" si="436"/>
        <v>40</v>
      </c>
      <c r="II60" s="376">
        <v>16</v>
      </c>
      <c r="IJ60" s="376">
        <v>23</v>
      </c>
      <c r="IK60" s="376">
        <f t="shared" si="437"/>
        <v>39</v>
      </c>
      <c r="IL60" s="376">
        <v>17</v>
      </c>
      <c r="IM60" s="376">
        <v>12</v>
      </c>
      <c r="IN60" s="376">
        <f t="shared" si="438"/>
        <v>29</v>
      </c>
      <c r="IO60" s="376">
        <v>10</v>
      </c>
      <c r="IP60" s="376">
        <v>13</v>
      </c>
      <c r="IQ60" s="376">
        <f t="shared" si="439"/>
        <v>23</v>
      </c>
      <c r="IR60" s="376">
        <v>14</v>
      </c>
      <c r="IS60" s="376">
        <v>24</v>
      </c>
      <c r="IT60" s="376">
        <f t="shared" si="440"/>
        <v>38</v>
      </c>
      <c r="IU60" s="376">
        <v>13</v>
      </c>
      <c r="IV60" s="376">
        <v>8</v>
      </c>
      <c r="IW60" s="376">
        <f t="shared" si="441"/>
        <v>21</v>
      </c>
      <c r="IX60" s="376">
        <v>9</v>
      </c>
      <c r="IY60" s="376">
        <v>11</v>
      </c>
      <c r="IZ60" s="376">
        <f t="shared" si="442"/>
        <v>20</v>
      </c>
      <c r="JA60" s="376">
        <v>7</v>
      </c>
      <c r="JB60" s="376">
        <v>18</v>
      </c>
      <c r="JC60" s="376">
        <f t="shared" si="443"/>
        <v>25</v>
      </c>
      <c r="JD60" s="376">
        <v>10</v>
      </c>
      <c r="JE60" s="376">
        <v>7</v>
      </c>
      <c r="JF60" s="376">
        <f t="shared" si="444"/>
        <v>17</v>
      </c>
      <c r="JG60" s="376">
        <v>5</v>
      </c>
      <c r="JH60" s="376">
        <v>8</v>
      </c>
      <c r="JI60" s="376">
        <f t="shared" si="445"/>
        <v>13</v>
      </c>
      <c r="JJ60" s="376">
        <v>2</v>
      </c>
      <c r="JK60" s="376">
        <v>3</v>
      </c>
      <c r="JL60" s="376">
        <f t="shared" si="446"/>
        <v>5</v>
      </c>
      <c r="JM60" s="376">
        <v>1</v>
      </c>
      <c r="JN60" s="376">
        <v>6</v>
      </c>
      <c r="JO60" s="376">
        <f t="shared" si="447"/>
        <v>7</v>
      </c>
      <c r="JP60" s="376">
        <v>2</v>
      </c>
      <c r="JQ60" s="376">
        <v>11</v>
      </c>
      <c r="JR60" s="376">
        <f t="shared" si="448"/>
        <v>13</v>
      </c>
      <c r="JS60" s="376">
        <v>3</v>
      </c>
      <c r="JT60" s="376">
        <v>7</v>
      </c>
      <c r="JU60" s="376">
        <f t="shared" si="449"/>
        <v>10</v>
      </c>
      <c r="JV60" s="376">
        <v>4</v>
      </c>
      <c r="JW60" s="376">
        <v>13</v>
      </c>
      <c r="JX60" s="376">
        <f t="shared" si="450"/>
        <v>17</v>
      </c>
      <c r="JY60" s="376">
        <v>3</v>
      </c>
      <c r="JZ60" s="376">
        <v>1</v>
      </c>
      <c r="KA60" s="376">
        <f t="shared" si="451"/>
        <v>4</v>
      </c>
      <c r="KB60" s="376">
        <v>0</v>
      </c>
      <c r="KC60" s="376">
        <v>0</v>
      </c>
      <c r="KD60" s="376">
        <f t="shared" si="452"/>
        <v>0</v>
      </c>
      <c r="KE60" s="376">
        <v>0</v>
      </c>
      <c r="KF60" s="376">
        <v>0</v>
      </c>
      <c r="KG60" s="376">
        <f t="shared" si="453"/>
        <v>0</v>
      </c>
      <c r="KH60" s="376">
        <v>0</v>
      </c>
      <c r="KI60" s="376">
        <v>0</v>
      </c>
      <c r="KJ60" s="376">
        <f t="shared" si="454"/>
        <v>0</v>
      </c>
      <c r="KK60" s="376">
        <v>0</v>
      </c>
      <c r="KL60" s="376">
        <v>1</v>
      </c>
      <c r="KM60" s="376">
        <f t="shared" si="455"/>
        <v>1</v>
      </c>
      <c r="KN60" s="376">
        <v>0</v>
      </c>
      <c r="KO60" s="376">
        <v>0</v>
      </c>
      <c r="KP60" s="376">
        <f t="shared" si="456"/>
        <v>0</v>
      </c>
      <c r="KQ60" s="376">
        <v>0</v>
      </c>
      <c r="KR60" s="376">
        <v>0</v>
      </c>
      <c r="KS60" s="376">
        <f t="shared" si="457"/>
        <v>0</v>
      </c>
      <c r="KT60" s="376">
        <v>0</v>
      </c>
      <c r="KU60" s="376">
        <v>0</v>
      </c>
      <c r="KV60" s="376">
        <f t="shared" si="458"/>
        <v>0</v>
      </c>
      <c r="KW60" s="376">
        <v>0</v>
      </c>
      <c r="KX60" s="376">
        <v>0</v>
      </c>
      <c r="KY60" s="376">
        <f t="shared" si="459"/>
        <v>0</v>
      </c>
      <c r="KZ60" s="376">
        <v>0</v>
      </c>
      <c r="LA60" s="376">
        <v>0</v>
      </c>
      <c r="LB60" s="376">
        <f t="shared" si="460"/>
        <v>0</v>
      </c>
      <c r="LC60" s="376">
        <v>0</v>
      </c>
      <c r="LD60" s="376">
        <v>0</v>
      </c>
      <c r="LE60" s="376">
        <f t="shared" si="461"/>
        <v>0</v>
      </c>
      <c r="LF60" s="376">
        <v>0</v>
      </c>
      <c r="LG60" s="376">
        <v>0</v>
      </c>
      <c r="LH60" s="376">
        <f t="shared" si="462"/>
        <v>0</v>
      </c>
      <c r="LI60" s="376">
        <v>0</v>
      </c>
      <c r="LJ60" s="376">
        <v>0</v>
      </c>
      <c r="LK60" s="376">
        <f t="shared" si="463"/>
        <v>0</v>
      </c>
      <c r="LL60" s="376">
        <v>0</v>
      </c>
      <c r="LM60" s="376">
        <v>0</v>
      </c>
      <c r="LN60" s="376">
        <f t="shared" si="464"/>
        <v>0</v>
      </c>
      <c r="LO60" s="376">
        <v>0</v>
      </c>
      <c r="LP60" s="376">
        <v>0</v>
      </c>
      <c r="LQ60" s="376">
        <f t="shared" si="465"/>
        <v>0</v>
      </c>
      <c r="LR60" s="376">
        <v>0</v>
      </c>
      <c r="LS60" s="376">
        <v>0</v>
      </c>
      <c r="LT60" s="376">
        <f t="shared" si="466"/>
        <v>0</v>
      </c>
      <c r="LU60" s="376">
        <v>0</v>
      </c>
      <c r="LV60" s="376">
        <v>0</v>
      </c>
      <c r="LW60" s="376">
        <f t="shared" si="467"/>
        <v>0</v>
      </c>
      <c r="LX60" s="376">
        <v>0</v>
      </c>
      <c r="LY60" s="376">
        <v>0</v>
      </c>
      <c r="LZ60" s="376">
        <f t="shared" si="468"/>
        <v>0</v>
      </c>
      <c r="MA60" s="376">
        <v>0</v>
      </c>
      <c r="MB60" s="376">
        <v>0</v>
      </c>
      <c r="MC60" s="376">
        <f t="shared" si="469"/>
        <v>0</v>
      </c>
      <c r="MD60" s="376">
        <v>0</v>
      </c>
      <c r="ME60" s="376">
        <v>0</v>
      </c>
      <c r="MF60" s="376">
        <f t="shared" si="470"/>
        <v>0</v>
      </c>
      <c r="MG60" s="376">
        <v>0</v>
      </c>
      <c r="MH60" s="376">
        <v>0</v>
      </c>
      <c r="MI60" s="376">
        <f t="shared" si="471"/>
        <v>0</v>
      </c>
      <c r="MJ60" s="376">
        <v>0</v>
      </c>
      <c r="MK60" s="376">
        <v>0</v>
      </c>
      <c r="ML60" s="376">
        <f t="shared" si="472"/>
        <v>0</v>
      </c>
      <c r="MM60" s="376">
        <v>0</v>
      </c>
      <c r="MN60" s="376">
        <v>0</v>
      </c>
      <c r="MO60" s="376">
        <f t="shared" si="473"/>
        <v>0</v>
      </c>
      <c r="MP60" s="376">
        <v>0</v>
      </c>
      <c r="MQ60" s="376">
        <v>0</v>
      </c>
      <c r="MR60" s="376">
        <f t="shared" si="474"/>
        <v>0</v>
      </c>
      <c r="MS60" s="376">
        <v>0</v>
      </c>
      <c r="MT60" s="376">
        <v>0</v>
      </c>
      <c r="MU60" s="376">
        <f t="shared" si="475"/>
        <v>0</v>
      </c>
      <c r="MV60" s="376">
        <v>0</v>
      </c>
      <c r="MW60" s="376">
        <v>0</v>
      </c>
      <c r="MX60" s="376">
        <f t="shared" si="476"/>
        <v>0</v>
      </c>
      <c r="MY60" s="376">
        <v>0</v>
      </c>
      <c r="MZ60" s="376">
        <v>0</v>
      </c>
      <c r="NA60" s="545">
        <f t="shared" si="477"/>
        <v>0</v>
      </c>
      <c r="NB60" s="376">
        <v>0</v>
      </c>
      <c r="NC60" s="376">
        <v>0</v>
      </c>
      <c r="ND60" s="543">
        <f t="shared" si="478"/>
        <v>0</v>
      </c>
      <c r="NE60" s="542">
        <f t="shared" si="489"/>
        <v>18673</v>
      </c>
      <c r="NF60" s="376">
        <f t="shared" si="489"/>
        <v>18982</v>
      </c>
      <c r="NG60" s="543">
        <f t="shared" si="480"/>
        <v>37655</v>
      </c>
      <c r="NH60" s="542">
        <f t="shared" si="481"/>
        <v>1551</v>
      </c>
      <c r="NI60" s="376">
        <f t="shared" si="481"/>
        <v>1529</v>
      </c>
      <c r="NJ60" s="543">
        <f t="shared" si="482"/>
        <v>3080</v>
      </c>
    </row>
    <row r="61" spans="1:374" ht="14.5" thickBot="1" x14ac:dyDescent="0.35">
      <c r="A61" s="568" t="s">
        <v>304</v>
      </c>
      <c r="B61" s="590" t="s">
        <v>120</v>
      </c>
      <c r="C61" s="550">
        <v>146</v>
      </c>
      <c r="D61" s="380">
        <v>160</v>
      </c>
      <c r="E61" s="380">
        <f t="shared" si="357"/>
        <v>306</v>
      </c>
      <c r="F61" s="380">
        <v>227</v>
      </c>
      <c r="G61" s="380">
        <v>237</v>
      </c>
      <c r="H61" s="380">
        <f t="shared" si="358"/>
        <v>464</v>
      </c>
      <c r="I61" s="380">
        <v>265</v>
      </c>
      <c r="J61" s="380">
        <v>246</v>
      </c>
      <c r="K61" s="380">
        <f t="shared" si="359"/>
        <v>511</v>
      </c>
      <c r="L61" s="380">
        <v>263</v>
      </c>
      <c r="M61" s="380">
        <v>253</v>
      </c>
      <c r="N61" s="380">
        <f t="shared" si="360"/>
        <v>516</v>
      </c>
      <c r="O61" s="380">
        <v>316</v>
      </c>
      <c r="P61" s="380">
        <v>329</v>
      </c>
      <c r="Q61" s="380">
        <f t="shared" si="361"/>
        <v>645</v>
      </c>
      <c r="R61" s="380">
        <v>311</v>
      </c>
      <c r="S61" s="380">
        <v>304</v>
      </c>
      <c r="T61" s="380">
        <f t="shared" si="362"/>
        <v>615</v>
      </c>
      <c r="U61" s="380">
        <v>370</v>
      </c>
      <c r="V61" s="380">
        <v>356</v>
      </c>
      <c r="W61" s="380">
        <f t="shared" si="363"/>
        <v>726</v>
      </c>
      <c r="X61" s="380">
        <v>377</v>
      </c>
      <c r="Y61" s="380">
        <v>346</v>
      </c>
      <c r="Z61" s="380">
        <f t="shared" si="364"/>
        <v>723</v>
      </c>
      <c r="AA61" s="380">
        <v>366</v>
      </c>
      <c r="AB61" s="380">
        <v>358</v>
      </c>
      <c r="AC61" s="380">
        <f t="shared" si="365"/>
        <v>724</v>
      </c>
      <c r="AD61" s="380">
        <v>372</v>
      </c>
      <c r="AE61" s="380">
        <v>362</v>
      </c>
      <c r="AF61" s="380">
        <f t="shared" si="366"/>
        <v>734</v>
      </c>
      <c r="AG61" s="380">
        <v>388</v>
      </c>
      <c r="AH61" s="380">
        <v>350</v>
      </c>
      <c r="AI61" s="380">
        <f t="shared" si="367"/>
        <v>738</v>
      </c>
      <c r="AJ61" s="380">
        <v>400</v>
      </c>
      <c r="AK61" s="380">
        <v>353</v>
      </c>
      <c r="AL61" s="380">
        <f t="shared" si="368"/>
        <v>753</v>
      </c>
      <c r="AM61" s="380">
        <v>434</v>
      </c>
      <c r="AN61" s="380">
        <v>365</v>
      </c>
      <c r="AO61" s="380">
        <f t="shared" si="369"/>
        <v>799</v>
      </c>
      <c r="AP61" s="380">
        <v>403</v>
      </c>
      <c r="AQ61" s="380">
        <v>374</v>
      </c>
      <c r="AR61" s="380">
        <f t="shared" si="370"/>
        <v>777</v>
      </c>
      <c r="AS61" s="380">
        <v>427</v>
      </c>
      <c r="AT61" s="380">
        <v>403</v>
      </c>
      <c r="AU61" s="380">
        <f t="shared" si="371"/>
        <v>830</v>
      </c>
      <c r="AV61" s="380">
        <v>436</v>
      </c>
      <c r="AW61" s="380">
        <v>407</v>
      </c>
      <c r="AX61" s="380">
        <f t="shared" si="372"/>
        <v>843</v>
      </c>
      <c r="AY61" s="380">
        <v>430</v>
      </c>
      <c r="AZ61" s="380">
        <v>409</v>
      </c>
      <c r="BA61" s="380">
        <f t="shared" si="373"/>
        <v>839</v>
      </c>
      <c r="BB61" s="380">
        <v>397</v>
      </c>
      <c r="BC61" s="380">
        <v>371</v>
      </c>
      <c r="BD61" s="380">
        <f t="shared" si="374"/>
        <v>768</v>
      </c>
      <c r="BE61" s="380">
        <v>433</v>
      </c>
      <c r="BF61" s="380">
        <v>396</v>
      </c>
      <c r="BG61" s="380">
        <f t="shared" si="375"/>
        <v>829</v>
      </c>
      <c r="BH61" s="380">
        <v>417</v>
      </c>
      <c r="BI61" s="380">
        <v>401</v>
      </c>
      <c r="BJ61" s="380">
        <f t="shared" si="376"/>
        <v>818</v>
      </c>
      <c r="BK61" s="380">
        <v>401</v>
      </c>
      <c r="BL61" s="380">
        <v>392</v>
      </c>
      <c r="BM61" s="380">
        <f t="shared" si="377"/>
        <v>793</v>
      </c>
      <c r="BN61" s="380">
        <v>410</v>
      </c>
      <c r="BO61" s="380">
        <v>404</v>
      </c>
      <c r="BP61" s="380">
        <f t="shared" si="378"/>
        <v>814</v>
      </c>
      <c r="BQ61" s="380">
        <v>422</v>
      </c>
      <c r="BR61" s="380">
        <v>378</v>
      </c>
      <c r="BS61" s="380">
        <f t="shared" si="379"/>
        <v>800</v>
      </c>
      <c r="BT61" s="380">
        <v>444</v>
      </c>
      <c r="BU61" s="380">
        <v>397</v>
      </c>
      <c r="BV61" s="380">
        <f t="shared" si="380"/>
        <v>841</v>
      </c>
      <c r="BW61" s="380">
        <v>411</v>
      </c>
      <c r="BX61" s="380">
        <v>343</v>
      </c>
      <c r="BY61" s="380">
        <f t="shared" si="381"/>
        <v>754</v>
      </c>
      <c r="BZ61" s="380">
        <v>399</v>
      </c>
      <c r="CA61" s="380">
        <v>374</v>
      </c>
      <c r="CB61" s="380">
        <f t="shared" si="382"/>
        <v>773</v>
      </c>
      <c r="CC61" s="380">
        <v>386</v>
      </c>
      <c r="CD61" s="380">
        <v>385</v>
      </c>
      <c r="CE61" s="380">
        <f t="shared" si="383"/>
        <v>771</v>
      </c>
      <c r="CF61" s="380">
        <v>331</v>
      </c>
      <c r="CG61" s="380">
        <v>339</v>
      </c>
      <c r="CH61" s="380">
        <f t="shared" si="384"/>
        <v>670</v>
      </c>
      <c r="CI61" s="380">
        <v>357</v>
      </c>
      <c r="CJ61" s="380">
        <v>325</v>
      </c>
      <c r="CK61" s="380">
        <f t="shared" si="385"/>
        <v>682</v>
      </c>
      <c r="CL61" s="380">
        <v>306</v>
      </c>
      <c r="CM61" s="380">
        <v>336</v>
      </c>
      <c r="CN61" s="380">
        <f t="shared" si="386"/>
        <v>642</v>
      </c>
      <c r="CO61" s="380">
        <v>330</v>
      </c>
      <c r="CP61" s="380">
        <v>338</v>
      </c>
      <c r="CQ61" s="380">
        <f t="shared" si="387"/>
        <v>668</v>
      </c>
      <c r="CR61" s="380">
        <v>323</v>
      </c>
      <c r="CS61" s="380">
        <v>305</v>
      </c>
      <c r="CT61" s="380">
        <f t="shared" si="388"/>
        <v>628</v>
      </c>
      <c r="CU61" s="380">
        <v>257</v>
      </c>
      <c r="CV61" s="380">
        <v>310</v>
      </c>
      <c r="CW61" s="380">
        <f t="shared" si="389"/>
        <v>567</v>
      </c>
      <c r="CX61" s="380">
        <v>303</v>
      </c>
      <c r="CY61" s="380">
        <v>299</v>
      </c>
      <c r="CZ61" s="380">
        <f t="shared" si="390"/>
        <v>602</v>
      </c>
      <c r="DA61" s="380">
        <v>261</v>
      </c>
      <c r="DB61" s="380">
        <v>347</v>
      </c>
      <c r="DC61" s="380">
        <f t="shared" si="391"/>
        <v>608</v>
      </c>
      <c r="DD61" s="380">
        <v>293</v>
      </c>
      <c r="DE61" s="380">
        <v>341</v>
      </c>
      <c r="DF61" s="380">
        <f t="shared" si="392"/>
        <v>634</v>
      </c>
      <c r="DG61" s="380">
        <v>273</v>
      </c>
      <c r="DH61" s="380">
        <v>287</v>
      </c>
      <c r="DI61" s="380">
        <f t="shared" si="393"/>
        <v>560</v>
      </c>
      <c r="DJ61" s="380">
        <v>251</v>
      </c>
      <c r="DK61" s="380">
        <v>253</v>
      </c>
      <c r="DL61" s="380">
        <f t="shared" si="394"/>
        <v>504</v>
      </c>
      <c r="DM61" s="380">
        <v>265</v>
      </c>
      <c r="DN61" s="380">
        <v>308</v>
      </c>
      <c r="DO61" s="380">
        <f t="shared" si="395"/>
        <v>573</v>
      </c>
      <c r="DP61" s="380">
        <v>249</v>
      </c>
      <c r="DQ61" s="380">
        <v>306</v>
      </c>
      <c r="DR61" s="380">
        <f t="shared" si="396"/>
        <v>555</v>
      </c>
      <c r="DS61" s="380">
        <v>304</v>
      </c>
      <c r="DT61" s="380">
        <v>306</v>
      </c>
      <c r="DU61" s="380">
        <f t="shared" si="397"/>
        <v>610</v>
      </c>
      <c r="DV61" s="380">
        <v>294</v>
      </c>
      <c r="DW61" s="380">
        <v>314</v>
      </c>
      <c r="DX61" s="380">
        <f t="shared" si="398"/>
        <v>608</v>
      </c>
      <c r="DY61" s="380">
        <v>311</v>
      </c>
      <c r="DZ61" s="380">
        <v>360</v>
      </c>
      <c r="EA61" s="380">
        <f t="shared" si="399"/>
        <v>671</v>
      </c>
      <c r="EB61" s="380">
        <v>318</v>
      </c>
      <c r="EC61" s="380">
        <v>353</v>
      </c>
      <c r="ED61" s="380">
        <f t="shared" si="400"/>
        <v>671</v>
      </c>
      <c r="EE61" s="380">
        <v>278</v>
      </c>
      <c r="EF61" s="380">
        <v>382</v>
      </c>
      <c r="EG61" s="380">
        <f t="shared" si="401"/>
        <v>660</v>
      </c>
      <c r="EH61" s="380">
        <v>309</v>
      </c>
      <c r="EI61" s="380">
        <v>350</v>
      </c>
      <c r="EJ61" s="380">
        <f t="shared" si="402"/>
        <v>659</v>
      </c>
      <c r="EK61" s="380">
        <v>335</v>
      </c>
      <c r="EL61" s="380">
        <v>380</v>
      </c>
      <c r="EM61" s="380">
        <f t="shared" si="403"/>
        <v>715</v>
      </c>
      <c r="EN61" s="380">
        <v>345</v>
      </c>
      <c r="EO61" s="380">
        <v>373</v>
      </c>
      <c r="EP61" s="380">
        <f t="shared" si="404"/>
        <v>718</v>
      </c>
      <c r="EQ61" s="380">
        <v>320</v>
      </c>
      <c r="ER61" s="380">
        <v>358</v>
      </c>
      <c r="ES61" s="380">
        <f t="shared" si="405"/>
        <v>678</v>
      </c>
      <c r="ET61" s="380">
        <v>349</v>
      </c>
      <c r="EU61" s="380">
        <v>417</v>
      </c>
      <c r="EV61" s="380">
        <f t="shared" si="406"/>
        <v>766</v>
      </c>
      <c r="EW61" s="380">
        <v>381</v>
      </c>
      <c r="EX61" s="380">
        <v>425</v>
      </c>
      <c r="EY61" s="380">
        <f t="shared" si="407"/>
        <v>806</v>
      </c>
      <c r="EZ61" s="380">
        <v>381</v>
      </c>
      <c r="FA61" s="380">
        <v>395</v>
      </c>
      <c r="FB61" s="380">
        <f t="shared" si="408"/>
        <v>776</v>
      </c>
      <c r="FC61" s="380">
        <v>335</v>
      </c>
      <c r="FD61" s="380">
        <v>364</v>
      </c>
      <c r="FE61" s="380">
        <f t="shared" si="409"/>
        <v>699</v>
      </c>
      <c r="FF61" s="380">
        <v>379</v>
      </c>
      <c r="FG61" s="380">
        <v>388</v>
      </c>
      <c r="FH61" s="380">
        <f t="shared" si="410"/>
        <v>767</v>
      </c>
      <c r="FI61" s="380">
        <v>368</v>
      </c>
      <c r="FJ61" s="380">
        <v>349</v>
      </c>
      <c r="FK61" s="380">
        <f t="shared" si="411"/>
        <v>717</v>
      </c>
      <c r="FL61" s="380">
        <v>347</v>
      </c>
      <c r="FM61" s="380">
        <v>334</v>
      </c>
      <c r="FN61" s="380">
        <f t="shared" si="412"/>
        <v>681</v>
      </c>
      <c r="FO61" s="380">
        <v>365</v>
      </c>
      <c r="FP61" s="380">
        <v>291</v>
      </c>
      <c r="FQ61" s="380">
        <f t="shared" si="413"/>
        <v>656</v>
      </c>
      <c r="FR61" s="380">
        <v>290</v>
      </c>
      <c r="FS61" s="380">
        <v>232</v>
      </c>
      <c r="FT61" s="380">
        <f t="shared" si="414"/>
        <v>522</v>
      </c>
      <c r="FU61" s="380">
        <v>261</v>
      </c>
      <c r="FV61" s="380">
        <v>253</v>
      </c>
      <c r="FW61" s="380">
        <f t="shared" si="415"/>
        <v>514</v>
      </c>
      <c r="FX61" s="380">
        <v>229</v>
      </c>
      <c r="FY61" s="380">
        <v>193</v>
      </c>
      <c r="FZ61" s="380">
        <f t="shared" si="416"/>
        <v>422</v>
      </c>
      <c r="GA61" s="380">
        <v>224</v>
      </c>
      <c r="GB61" s="380">
        <v>172</v>
      </c>
      <c r="GC61" s="380">
        <f t="shared" si="417"/>
        <v>396</v>
      </c>
      <c r="GD61" s="380">
        <v>158</v>
      </c>
      <c r="GE61" s="380">
        <v>141</v>
      </c>
      <c r="GF61" s="380">
        <f t="shared" si="418"/>
        <v>299</v>
      </c>
      <c r="GG61" s="380">
        <v>171</v>
      </c>
      <c r="GH61" s="380">
        <v>119</v>
      </c>
      <c r="GI61" s="380">
        <f t="shared" si="419"/>
        <v>290</v>
      </c>
      <c r="GJ61" s="380">
        <v>125</v>
      </c>
      <c r="GK61" s="380">
        <v>120</v>
      </c>
      <c r="GL61" s="380">
        <f t="shared" si="420"/>
        <v>245</v>
      </c>
      <c r="GM61" s="380">
        <v>116</v>
      </c>
      <c r="GN61" s="380">
        <v>105</v>
      </c>
      <c r="GO61" s="380">
        <f t="shared" si="421"/>
        <v>221</v>
      </c>
      <c r="GP61" s="380">
        <v>105</v>
      </c>
      <c r="GQ61" s="380">
        <v>101</v>
      </c>
      <c r="GR61" s="380">
        <f t="shared" si="422"/>
        <v>206</v>
      </c>
      <c r="GS61" s="380">
        <v>112</v>
      </c>
      <c r="GT61" s="380">
        <v>96</v>
      </c>
      <c r="GU61" s="380">
        <f t="shared" si="423"/>
        <v>208</v>
      </c>
      <c r="GV61" s="380">
        <v>75</v>
      </c>
      <c r="GW61" s="380">
        <v>87</v>
      </c>
      <c r="GX61" s="380">
        <f t="shared" si="424"/>
        <v>162</v>
      </c>
      <c r="GY61" s="380">
        <v>69</v>
      </c>
      <c r="GZ61" s="380">
        <v>81</v>
      </c>
      <c r="HA61" s="380">
        <f t="shared" si="425"/>
        <v>150</v>
      </c>
      <c r="HB61" s="380">
        <v>47</v>
      </c>
      <c r="HC61" s="380">
        <v>67</v>
      </c>
      <c r="HD61" s="380">
        <f t="shared" si="426"/>
        <v>114</v>
      </c>
      <c r="HE61" s="380">
        <v>51</v>
      </c>
      <c r="HF61" s="380">
        <v>58</v>
      </c>
      <c r="HG61" s="380">
        <f t="shared" si="427"/>
        <v>109</v>
      </c>
      <c r="HH61" s="380">
        <v>60</v>
      </c>
      <c r="HI61" s="380">
        <v>81</v>
      </c>
      <c r="HJ61" s="380">
        <f t="shared" si="428"/>
        <v>141</v>
      </c>
      <c r="HK61" s="380">
        <v>32</v>
      </c>
      <c r="HL61" s="380">
        <v>56</v>
      </c>
      <c r="HM61" s="380">
        <f t="shared" si="429"/>
        <v>88</v>
      </c>
      <c r="HN61" s="380">
        <v>44</v>
      </c>
      <c r="HO61" s="380">
        <v>56</v>
      </c>
      <c r="HP61" s="380">
        <f t="shared" si="430"/>
        <v>100</v>
      </c>
      <c r="HQ61" s="380">
        <v>35</v>
      </c>
      <c r="HR61" s="380">
        <v>60</v>
      </c>
      <c r="HS61" s="380">
        <f t="shared" si="431"/>
        <v>95</v>
      </c>
      <c r="HT61" s="380">
        <v>32</v>
      </c>
      <c r="HU61" s="380">
        <v>49</v>
      </c>
      <c r="HV61" s="380">
        <f t="shared" si="432"/>
        <v>81</v>
      </c>
      <c r="HW61" s="380">
        <v>26</v>
      </c>
      <c r="HX61" s="380">
        <v>85</v>
      </c>
      <c r="HY61" s="380">
        <f t="shared" si="433"/>
        <v>111</v>
      </c>
      <c r="HZ61" s="380">
        <v>11</v>
      </c>
      <c r="IA61" s="380">
        <v>51</v>
      </c>
      <c r="IB61" s="380">
        <f t="shared" si="434"/>
        <v>62</v>
      </c>
      <c r="IC61" s="380">
        <v>20</v>
      </c>
      <c r="ID61" s="380">
        <v>56</v>
      </c>
      <c r="IE61" s="380">
        <f t="shared" si="435"/>
        <v>76</v>
      </c>
      <c r="IF61" s="380">
        <v>26</v>
      </c>
      <c r="IG61" s="380">
        <v>42</v>
      </c>
      <c r="IH61" s="380">
        <f t="shared" si="436"/>
        <v>68</v>
      </c>
      <c r="II61" s="380">
        <v>23</v>
      </c>
      <c r="IJ61" s="380">
        <v>37</v>
      </c>
      <c r="IK61" s="380">
        <f t="shared" si="437"/>
        <v>60</v>
      </c>
      <c r="IL61" s="380">
        <v>20</v>
      </c>
      <c r="IM61" s="380">
        <v>44</v>
      </c>
      <c r="IN61" s="380">
        <f t="shared" si="438"/>
        <v>64</v>
      </c>
      <c r="IO61" s="380">
        <v>30</v>
      </c>
      <c r="IP61" s="380">
        <v>39</v>
      </c>
      <c r="IQ61" s="380">
        <f t="shared" si="439"/>
        <v>69</v>
      </c>
      <c r="IR61" s="380">
        <v>30</v>
      </c>
      <c r="IS61" s="380">
        <v>37</v>
      </c>
      <c r="IT61" s="380">
        <f t="shared" si="440"/>
        <v>67</v>
      </c>
      <c r="IU61" s="380">
        <v>33</v>
      </c>
      <c r="IV61" s="380">
        <v>18</v>
      </c>
      <c r="IW61" s="380">
        <f t="shared" si="441"/>
        <v>51</v>
      </c>
      <c r="IX61" s="380">
        <v>22</v>
      </c>
      <c r="IY61" s="380">
        <v>7</v>
      </c>
      <c r="IZ61" s="380">
        <f t="shared" si="442"/>
        <v>29</v>
      </c>
      <c r="JA61" s="380">
        <v>16</v>
      </c>
      <c r="JB61" s="380">
        <v>15</v>
      </c>
      <c r="JC61" s="380">
        <f t="shared" si="443"/>
        <v>31</v>
      </c>
      <c r="JD61" s="380">
        <v>11</v>
      </c>
      <c r="JE61" s="380">
        <v>7</v>
      </c>
      <c r="JF61" s="380">
        <f t="shared" si="444"/>
        <v>18</v>
      </c>
      <c r="JG61" s="380">
        <v>9</v>
      </c>
      <c r="JH61" s="380">
        <v>12</v>
      </c>
      <c r="JI61" s="380">
        <f t="shared" si="445"/>
        <v>21</v>
      </c>
      <c r="JJ61" s="380">
        <v>6</v>
      </c>
      <c r="JK61" s="380">
        <v>3</v>
      </c>
      <c r="JL61" s="380">
        <f t="shared" si="446"/>
        <v>9</v>
      </c>
      <c r="JM61" s="380">
        <v>5</v>
      </c>
      <c r="JN61" s="380">
        <v>4</v>
      </c>
      <c r="JO61" s="380">
        <f t="shared" si="447"/>
        <v>9</v>
      </c>
      <c r="JP61" s="380">
        <v>6</v>
      </c>
      <c r="JQ61" s="380">
        <v>14</v>
      </c>
      <c r="JR61" s="380">
        <f t="shared" si="448"/>
        <v>20</v>
      </c>
      <c r="JS61" s="380">
        <v>1</v>
      </c>
      <c r="JT61" s="380">
        <v>1</v>
      </c>
      <c r="JU61" s="380">
        <f t="shared" si="449"/>
        <v>2</v>
      </c>
      <c r="JV61" s="380">
        <v>1</v>
      </c>
      <c r="JW61" s="380">
        <v>8</v>
      </c>
      <c r="JX61" s="380">
        <f t="shared" si="450"/>
        <v>9</v>
      </c>
      <c r="JY61" s="380">
        <v>3</v>
      </c>
      <c r="JZ61" s="380">
        <v>3</v>
      </c>
      <c r="KA61" s="380">
        <f t="shared" si="451"/>
        <v>6</v>
      </c>
      <c r="KB61" s="380">
        <v>2</v>
      </c>
      <c r="KC61" s="380">
        <v>1</v>
      </c>
      <c r="KD61" s="380">
        <f t="shared" si="452"/>
        <v>3</v>
      </c>
      <c r="KE61" s="380">
        <v>1</v>
      </c>
      <c r="KF61" s="380">
        <v>2</v>
      </c>
      <c r="KG61" s="380">
        <f t="shared" si="453"/>
        <v>3</v>
      </c>
      <c r="KH61" s="380">
        <v>0</v>
      </c>
      <c r="KI61" s="380">
        <v>0</v>
      </c>
      <c r="KJ61" s="380">
        <f t="shared" si="454"/>
        <v>0</v>
      </c>
      <c r="KK61" s="380">
        <v>0</v>
      </c>
      <c r="KL61" s="380">
        <v>0</v>
      </c>
      <c r="KM61" s="380">
        <f t="shared" si="455"/>
        <v>0</v>
      </c>
      <c r="KN61" s="380">
        <v>0</v>
      </c>
      <c r="KO61" s="380">
        <v>1</v>
      </c>
      <c r="KP61" s="380">
        <f t="shared" si="456"/>
        <v>1</v>
      </c>
      <c r="KQ61" s="380">
        <v>0</v>
      </c>
      <c r="KR61" s="380">
        <v>0</v>
      </c>
      <c r="KS61" s="380">
        <f t="shared" si="457"/>
        <v>0</v>
      </c>
      <c r="KT61" s="380">
        <v>0</v>
      </c>
      <c r="KU61" s="380">
        <v>0</v>
      </c>
      <c r="KV61" s="380">
        <f t="shared" si="458"/>
        <v>0</v>
      </c>
      <c r="KW61" s="380">
        <v>0</v>
      </c>
      <c r="KX61" s="380">
        <v>0</v>
      </c>
      <c r="KY61" s="380">
        <f t="shared" si="459"/>
        <v>0</v>
      </c>
      <c r="KZ61" s="380">
        <v>0</v>
      </c>
      <c r="LA61" s="380">
        <v>0</v>
      </c>
      <c r="LB61" s="380">
        <f t="shared" si="460"/>
        <v>0</v>
      </c>
      <c r="LC61" s="380">
        <v>0</v>
      </c>
      <c r="LD61" s="380">
        <v>0</v>
      </c>
      <c r="LE61" s="380">
        <f t="shared" si="461"/>
        <v>0</v>
      </c>
      <c r="LF61" s="380">
        <v>0</v>
      </c>
      <c r="LG61" s="380">
        <v>0</v>
      </c>
      <c r="LH61" s="380">
        <f t="shared" si="462"/>
        <v>0</v>
      </c>
      <c r="LI61" s="380">
        <v>0</v>
      </c>
      <c r="LJ61" s="380">
        <v>0</v>
      </c>
      <c r="LK61" s="380">
        <f t="shared" si="463"/>
        <v>0</v>
      </c>
      <c r="LL61" s="380">
        <v>0</v>
      </c>
      <c r="LM61" s="380">
        <v>0</v>
      </c>
      <c r="LN61" s="380">
        <f t="shared" si="464"/>
        <v>0</v>
      </c>
      <c r="LO61" s="380">
        <v>0</v>
      </c>
      <c r="LP61" s="380">
        <v>0</v>
      </c>
      <c r="LQ61" s="380">
        <f t="shared" si="465"/>
        <v>0</v>
      </c>
      <c r="LR61" s="380">
        <v>0</v>
      </c>
      <c r="LS61" s="380">
        <v>0</v>
      </c>
      <c r="LT61" s="380">
        <f t="shared" si="466"/>
        <v>0</v>
      </c>
      <c r="LU61" s="380">
        <v>0</v>
      </c>
      <c r="LV61" s="380">
        <v>0</v>
      </c>
      <c r="LW61" s="380">
        <f t="shared" si="467"/>
        <v>0</v>
      </c>
      <c r="LX61" s="380">
        <v>0</v>
      </c>
      <c r="LY61" s="380">
        <v>0</v>
      </c>
      <c r="LZ61" s="380">
        <f t="shared" si="468"/>
        <v>0</v>
      </c>
      <c r="MA61" s="380">
        <v>0</v>
      </c>
      <c r="MB61" s="380">
        <v>0</v>
      </c>
      <c r="MC61" s="380">
        <f t="shared" si="469"/>
        <v>0</v>
      </c>
      <c r="MD61" s="380">
        <v>0</v>
      </c>
      <c r="ME61" s="380">
        <v>0</v>
      </c>
      <c r="MF61" s="380">
        <f t="shared" si="470"/>
        <v>0</v>
      </c>
      <c r="MG61" s="380">
        <v>0</v>
      </c>
      <c r="MH61" s="380">
        <v>0</v>
      </c>
      <c r="MI61" s="380">
        <f t="shared" si="471"/>
        <v>0</v>
      </c>
      <c r="MJ61" s="380">
        <v>0</v>
      </c>
      <c r="MK61" s="380">
        <v>0</v>
      </c>
      <c r="ML61" s="380">
        <f t="shared" si="472"/>
        <v>0</v>
      </c>
      <c r="MM61" s="380">
        <v>0</v>
      </c>
      <c r="MN61" s="380">
        <v>0</v>
      </c>
      <c r="MO61" s="380">
        <f t="shared" si="473"/>
        <v>0</v>
      </c>
      <c r="MP61" s="380">
        <v>0</v>
      </c>
      <c r="MQ61" s="380">
        <v>0</v>
      </c>
      <c r="MR61" s="380">
        <f t="shared" si="474"/>
        <v>0</v>
      </c>
      <c r="MS61" s="380">
        <v>0</v>
      </c>
      <c r="MT61" s="380">
        <v>0</v>
      </c>
      <c r="MU61" s="380">
        <f t="shared" si="475"/>
        <v>0</v>
      </c>
      <c r="MV61" s="380">
        <v>0</v>
      </c>
      <c r="MW61" s="380">
        <v>0</v>
      </c>
      <c r="MX61" s="380">
        <f t="shared" si="476"/>
        <v>0</v>
      </c>
      <c r="MY61" s="380">
        <v>0</v>
      </c>
      <c r="MZ61" s="380">
        <v>0</v>
      </c>
      <c r="NA61" s="551">
        <f t="shared" si="477"/>
        <v>0</v>
      </c>
      <c r="NB61" s="380">
        <v>0</v>
      </c>
      <c r="NC61" s="380">
        <v>0</v>
      </c>
      <c r="ND61" s="549">
        <f t="shared" si="478"/>
        <v>0</v>
      </c>
      <c r="NE61" s="542">
        <f t="shared" si="489"/>
        <v>22107</v>
      </c>
      <c r="NF61" s="376">
        <f t="shared" si="489"/>
        <v>22300</v>
      </c>
      <c r="NG61" s="598">
        <f t="shared" si="480"/>
        <v>44407</v>
      </c>
      <c r="NH61" s="599">
        <f t="shared" si="481"/>
        <v>1528</v>
      </c>
      <c r="NI61" s="600">
        <f t="shared" si="481"/>
        <v>1529</v>
      </c>
      <c r="NJ61" s="598">
        <f t="shared" si="482"/>
        <v>3057</v>
      </c>
    </row>
    <row r="62" spans="1:374" x14ac:dyDescent="0.3">
      <c r="A62" s="552" t="s">
        <v>305</v>
      </c>
      <c r="B62" s="601" t="s">
        <v>123</v>
      </c>
      <c r="C62" s="556">
        <v>542</v>
      </c>
      <c r="D62" s="384">
        <v>498</v>
      </c>
      <c r="E62" s="384">
        <f t="shared" si="357"/>
        <v>1040</v>
      </c>
      <c r="F62" s="384">
        <v>681</v>
      </c>
      <c r="G62" s="384">
        <v>667</v>
      </c>
      <c r="H62" s="384">
        <f t="shared" si="358"/>
        <v>1348</v>
      </c>
      <c r="I62" s="384">
        <v>812</v>
      </c>
      <c r="J62" s="384">
        <v>789</v>
      </c>
      <c r="K62" s="384">
        <f t="shared" si="359"/>
        <v>1601</v>
      </c>
      <c r="L62" s="384">
        <v>827</v>
      </c>
      <c r="M62" s="384">
        <v>828</v>
      </c>
      <c r="N62" s="384">
        <f t="shared" si="360"/>
        <v>1655</v>
      </c>
      <c r="O62" s="384">
        <v>944</v>
      </c>
      <c r="P62" s="384">
        <v>870</v>
      </c>
      <c r="Q62" s="384">
        <f t="shared" si="361"/>
        <v>1814</v>
      </c>
      <c r="R62" s="384">
        <v>1007</v>
      </c>
      <c r="S62" s="384">
        <v>985</v>
      </c>
      <c r="T62" s="384">
        <f t="shared" si="362"/>
        <v>1992</v>
      </c>
      <c r="U62" s="384">
        <v>1118</v>
      </c>
      <c r="V62" s="384">
        <v>1059</v>
      </c>
      <c r="W62" s="384">
        <f t="shared" si="363"/>
        <v>2177</v>
      </c>
      <c r="X62" s="384">
        <v>1103</v>
      </c>
      <c r="Y62" s="384">
        <v>1100</v>
      </c>
      <c r="Z62" s="384">
        <f t="shared" si="364"/>
        <v>2203</v>
      </c>
      <c r="AA62" s="384">
        <v>1099</v>
      </c>
      <c r="AB62" s="384">
        <v>1020</v>
      </c>
      <c r="AC62" s="384">
        <f t="shared" si="365"/>
        <v>2119</v>
      </c>
      <c r="AD62" s="384">
        <v>1060</v>
      </c>
      <c r="AE62" s="384">
        <v>995</v>
      </c>
      <c r="AF62" s="384">
        <f t="shared" si="366"/>
        <v>2055</v>
      </c>
      <c r="AG62" s="384">
        <v>1013</v>
      </c>
      <c r="AH62" s="384">
        <v>1042</v>
      </c>
      <c r="AI62" s="384">
        <f t="shared" si="367"/>
        <v>2055</v>
      </c>
      <c r="AJ62" s="384">
        <v>1046</v>
      </c>
      <c r="AK62" s="384">
        <v>916</v>
      </c>
      <c r="AL62" s="384">
        <f t="shared" si="368"/>
        <v>1962</v>
      </c>
      <c r="AM62" s="384">
        <v>1041</v>
      </c>
      <c r="AN62" s="384">
        <v>1071</v>
      </c>
      <c r="AO62" s="384">
        <f t="shared" si="369"/>
        <v>2112</v>
      </c>
      <c r="AP62" s="384">
        <v>1111</v>
      </c>
      <c r="AQ62" s="384">
        <v>1089</v>
      </c>
      <c r="AR62" s="384">
        <f t="shared" si="370"/>
        <v>2200</v>
      </c>
      <c r="AS62" s="384">
        <v>1081</v>
      </c>
      <c r="AT62" s="384">
        <v>1068</v>
      </c>
      <c r="AU62" s="384">
        <f t="shared" si="371"/>
        <v>2149</v>
      </c>
      <c r="AV62" s="384">
        <v>1061</v>
      </c>
      <c r="AW62" s="384">
        <v>1035</v>
      </c>
      <c r="AX62" s="384">
        <f t="shared" si="372"/>
        <v>2096</v>
      </c>
      <c r="AY62" s="384">
        <v>1062</v>
      </c>
      <c r="AZ62" s="384">
        <v>1013</v>
      </c>
      <c r="BA62" s="384">
        <f t="shared" si="373"/>
        <v>2075</v>
      </c>
      <c r="BB62" s="384">
        <v>982</v>
      </c>
      <c r="BC62" s="384">
        <v>917</v>
      </c>
      <c r="BD62" s="384">
        <f t="shared" si="374"/>
        <v>1899</v>
      </c>
      <c r="BE62" s="384">
        <v>1032</v>
      </c>
      <c r="BF62" s="384">
        <v>961</v>
      </c>
      <c r="BG62" s="384">
        <f t="shared" si="375"/>
        <v>1993</v>
      </c>
      <c r="BH62" s="384">
        <v>1030</v>
      </c>
      <c r="BI62" s="384">
        <v>1011</v>
      </c>
      <c r="BJ62" s="384">
        <f t="shared" si="376"/>
        <v>2041</v>
      </c>
      <c r="BK62" s="384">
        <v>988</v>
      </c>
      <c r="BL62" s="384">
        <v>934</v>
      </c>
      <c r="BM62" s="384">
        <f t="shared" si="377"/>
        <v>1922</v>
      </c>
      <c r="BN62" s="384">
        <v>1010</v>
      </c>
      <c r="BO62" s="384">
        <v>956</v>
      </c>
      <c r="BP62" s="384">
        <f t="shared" si="378"/>
        <v>1966</v>
      </c>
      <c r="BQ62" s="384">
        <v>1028</v>
      </c>
      <c r="BR62" s="384">
        <v>1060</v>
      </c>
      <c r="BS62" s="384">
        <f t="shared" si="379"/>
        <v>2088</v>
      </c>
      <c r="BT62" s="384">
        <v>1126</v>
      </c>
      <c r="BU62" s="384">
        <v>1024</v>
      </c>
      <c r="BV62" s="384">
        <f t="shared" si="380"/>
        <v>2150</v>
      </c>
      <c r="BW62" s="384">
        <v>1021</v>
      </c>
      <c r="BX62" s="384">
        <v>974</v>
      </c>
      <c r="BY62" s="384">
        <f t="shared" si="381"/>
        <v>1995</v>
      </c>
      <c r="BZ62" s="384">
        <v>1066</v>
      </c>
      <c r="CA62" s="384">
        <v>1075</v>
      </c>
      <c r="CB62" s="384">
        <f t="shared" si="382"/>
        <v>2141</v>
      </c>
      <c r="CC62" s="384">
        <v>1036</v>
      </c>
      <c r="CD62" s="384">
        <v>1028</v>
      </c>
      <c r="CE62" s="384">
        <f t="shared" si="383"/>
        <v>2064</v>
      </c>
      <c r="CF62" s="384">
        <v>933</v>
      </c>
      <c r="CG62" s="384">
        <v>893</v>
      </c>
      <c r="CH62" s="384">
        <f t="shared" si="384"/>
        <v>1826</v>
      </c>
      <c r="CI62" s="384">
        <v>1047</v>
      </c>
      <c r="CJ62" s="384">
        <v>1068</v>
      </c>
      <c r="CK62" s="384">
        <f t="shared" si="385"/>
        <v>2115</v>
      </c>
      <c r="CL62" s="384">
        <v>991</v>
      </c>
      <c r="CM62" s="384">
        <v>1109</v>
      </c>
      <c r="CN62" s="384">
        <f t="shared" si="386"/>
        <v>2100</v>
      </c>
      <c r="CO62" s="384">
        <v>1048</v>
      </c>
      <c r="CP62" s="384">
        <v>1076</v>
      </c>
      <c r="CQ62" s="384">
        <f t="shared" si="387"/>
        <v>2124</v>
      </c>
      <c r="CR62" s="384">
        <v>1036</v>
      </c>
      <c r="CS62" s="384">
        <v>1131</v>
      </c>
      <c r="CT62" s="384">
        <f t="shared" si="388"/>
        <v>2167</v>
      </c>
      <c r="CU62" s="384">
        <v>1018</v>
      </c>
      <c r="CV62" s="384">
        <v>1064</v>
      </c>
      <c r="CW62" s="384">
        <f t="shared" si="389"/>
        <v>2082</v>
      </c>
      <c r="CX62" s="384">
        <v>1026</v>
      </c>
      <c r="CY62" s="384">
        <v>1058</v>
      </c>
      <c r="CZ62" s="384">
        <f t="shared" si="390"/>
        <v>2084</v>
      </c>
      <c r="DA62" s="384">
        <v>930</v>
      </c>
      <c r="DB62" s="384">
        <v>1052</v>
      </c>
      <c r="DC62" s="384">
        <f t="shared" si="391"/>
        <v>1982</v>
      </c>
      <c r="DD62" s="384">
        <v>954</v>
      </c>
      <c r="DE62" s="384">
        <v>1031</v>
      </c>
      <c r="DF62" s="384">
        <f t="shared" si="392"/>
        <v>1985</v>
      </c>
      <c r="DG62" s="384">
        <v>946</v>
      </c>
      <c r="DH62" s="384">
        <v>969</v>
      </c>
      <c r="DI62" s="384">
        <f t="shared" si="393"/>
        <v>1915</v>
      </c>
      <c r="DJ62" s="384">
        <v>861</v>
      </c>
      <c r="DK62" s="384">
        <v>850</v>
      </c>
      <c r="DL62" s="384">
        <f t="shared" si="394"/>
        <v>1711</v>
      </c>
      <c r="DM62" s="384">
        <v>847</v>
      </c>
      <c r="DN62" s="384">
        <v>902</v>
      </c>
      <c r="DO62" s="384">
        <f t="shared" si="395"/>
        <v>1749</v>
      </c>
      <c r="DP62" s="384">
        <v>862</v>
      </c>
      <c r="DQ62" s="384">
        <v>851</v>
      </c>
      <c r="DR62" s="384">
        <f t="shared" si="396"/>
        <v>1713</v>
      </c>
      <c r="DS62" s="384">
        <v>926</v>
      </c>
      <c r="DT62" s="384">
        <v>977</v>
      </c>
      <c r="DU62" s="384">
        <f t="shared" si="397"/>
        <v>1903</v>
      </c>
      <c r="DV62" s="384">
        <v>896</v>
      </c>
      <c r="DW62" s="384">
        <v>963</v>
      </c>
      <c r="DX62" s="384">
        <f t="shared" si="398"/>
        <v>1859</v>
      </c>
      <c r="DY62" s="384">
        <v>933</v>
      </c>
      <c r="DZ62" s="384">
        <v>1000</v>
      </c>
      <c r="EA62" s="384">
        <f t="shared" si="399"/>
        <v>1933</v>
      </c>
      <c r="EB62" s="384">
        <v>976</v>
      </c>
      <c r="EC62" s="384">
        <v>1090</v>
      </c>
      <c r="ED62" s="384">
        <f t="shared" si="400"/>
        <v>2066</v>
      </c>
      <c r="EE62" s="384">
        <v>954</v>
      </c>
      <c r="EF62" s="384">
        <v>1013</v>
      </c>
      <c r="EG62" s="384">
        <f t="shared" si="401"/>
        <v>1967</v>
      </c>
      <c r="EH62" s="384">
        <v>870</v>
      </c>
      <c r="EI62" s="384">
        <v>988</v>
      </c>
      <c r="EJ62" s="384">
        <f t="shared" si="402"/>
        <v>1858</v>
      </c>
      <c r="EK62" s="384">
        <v>975</v>
      </c>
      <c r="EL62" s="384">
        <v>971</v>
      </c>
      <c r="EM62" s="384">
        <f t="shared" si="403"/>
        <v>1946</v>
      </c>
      <c r="EN62" s="384">
        <v>942</v>
      </c>
      <c r="EO62" s="384">
        <v>959</v>
      </c>
      <c r="EP62" s="384">
        <f t="shared" si="404"/>
        <v>1901</v>
      </c>
      <c r="EQ62" s="384">
        <v>851</v>
      </c>
      <c r="ER62" s="384">
        <v>936</v>
      </c>
      <c r="ES62" s="384">
        <f t="shared" si="405"/>
        <v>1787</v>
      </c>
      <c r="ET62" s="384">
        <v>851</v>
      </c>
      <c r="EU62" s="384">
        <v>837</v>
      </c>
      <c r="EV62" s="384">
        <f t="shared" si="406"/>
        <v>1688</v>
      </c>
      <c r="EW62" s="384">
        <v>822</v>
      </c>
      <c r="EX62" s="384">
        <v>918</v>
      </c>
      <c r="EY62" s="384">
        <f t="shared" si="407"/>
        <v>1740</v>
      </c>
      <c r="EZ62" s="384">
        <v>826</v>
      </c>
      <c r="FA62" s="384">
        <v>850</v>
      </c>
      <c r="FB62" s="384">
        <f t="shared" si="408"/>
        <v>1676</v>
      </c>
      <c r="FC62" s="384">
        <v>733</v>
      </c>
      <c r="FD62" s="384">
        <v>787</v>
      </c>
      <c r="FE62" s="384">
        <f t="shared" si="409"/>
        <v>1520</v>
      </c>
      <c r="FF62" s="384">
        <v>748</v>
      </c>
      <c r="FG62" s="384">
        <v>875</v>
      </c>
      <c r="FH62" s="384">
        <f t="shared" si="410"/>
        <v>1623</v>
      </c>
      <c r="FI62" s="384">
        <v>775</v>
      </c>
      <c r="FJ62" s="384">
        <v>778</v>
      </c>
      <c r="FK62" s="384">
        <f t="shared" si="411"/>
        <v>1553</v>
      </c>
      <c r="FL62" s="384">
        <v>736</v>
      </c>
      <c r="FM62" s="384">
        <v>720</v>
      </c>
      <c r="FN62" s="384">
        <f t="shared" si="412"/>
        <v>1456</v>
      </c>
      <c r="FO62" s="384">
        <v>752</v>
      </c>
      <c r="FP62" s="384">
        <v>788</v>
      </c>
      <c r="FQ62" s="384">
        <f t="shared" si="413"/>
        <v>1540</v>
      </c>
      <c r="FR62" s="384">
        <v>644</v>
      </c>
      <c r="FS62" s="384">
        <v>721</v>
      </c>
      <c r="FT62" s="384">
        <f t="shared" si="414"/>
        <v>1365</v>
      </c>
      <c r="FU62" s="384">
        <v>592</v>
      </c>
      <c r="FV62" s="384">
        <v>635</v>
      </c>
      <c r="FW62" s="384">
        <f t="shared" si="415"/>
        <v>1227</v>
      </c>
      <c r="FX62" s="384">
        <v>542</v>
      </c>
      <c r="FY62" s="384">
        <v>579</v>
      </c>
      <c r="FZ62" s="384">
        <f t="shared" si="416"/>
        <v>1121</v>
      </c>
      <c r="GA62" s="384">
        <v>532</v>
      </c>
      <c r="GB62" s="384">
        <v>595</v>
      </c>
      <c r="GC62" s="384">
        <f t="shared" si="417"/>
        <v>1127</v>
      </c>
      <c r="GD62" s="384">
        <v>557</v>
      </c>
      <c r="GE62" s="384">
        <v>607</v>
      </c>
      <c r="GF62" s="384">
        <f t="shared" si="418"/>
        <v>1164</v>
      </c>
      <c r="GG62" s="384">
        <v>535</v>
      </c>
      <c r="GH62" s="384">
        <v>528</v>
      </c>
      <c r="GI62" s="384">
        <f t="shared" si="419"/>
        <v>1063</v>
      </c>
      <c r="GJ62" s="384">
        <v>461</v>
      </c>
      <c r="GK62" s="384">
        <v>448</v>
      </c>
      <c r="GL62" s="384">
        <f t="shared" si="420"/>
        <v>909</v>
      </c>
      <c r="GM62" s="384">
        <v>466</v>
      </c>
      <c r="GN62" s="384">
        <v>403</v>
      </c>
      <c r="GO62" s="384">
        <f t="shared" si="421"/>
        <v>869</v>
      </c>
      <c r="GP62" s="384">
        <v>368</v>
      </c>
      <c r="GQ62" s="384">
        <v>374</v>
      </c>
      <c r="GR62" s="384">
        <f t="shared" si="422"/>
        <v>742</v>
      </c>
      <c r="GS62" s="384">
        <v>409</v>
      </c>
      <c r="GT62" s="384">
        <v>396</v>
      </c>
      <c r="GU62" s="384">
        <f t="shared" si="423"/>
        <v>805</v>
      </c>
      <c r="GV62" s="384">
        <v>345</v>
      </c>
      <c r="GW62" s="384">
        <v>335</v>
      </c>
      <c r="GX62" s="384">
        <f t="shared" si="424"/>
        <v>680</v>
      </c>
      <c r="GY62" s="384">
        <v>302</v>
      </c>
      <c r="GZ62" s="384">
        <v>284</v>
      </c>
      <c r="HA62" s="384">
        <f t="shared" si="425"/>
        <v>586</v>
      </c>
      <c r="HB62" s="384">
        <v>236</v>
      </c>
      <c r="HC62" s="384">
        <v>226</v>
      </c>
      <c r="HD62" s="384">
        <f t="shared" si="426"/>
        <v>462</v>
      </c>
      <c r="HE62" s="384">
        <v>206</v>
      </c>
      <c r="HF62" s="384">
        <v>229</v>
      </c>
      <c r="HG62" s="384">
        <f t="shared" si="427"/>
        <v>435</v>
      </c>
      <c r="HH62" s="384">
        <v>215</v>
      </c>
      <c r="HI62" s="384">
        <v>200</v>
      </c>
      <c r="HJ62" s="384">
        <f t="shared" si="428"/>
        <v>415</v>
      </c>
      <c r="HK62" s="384">
        <v>188</v>
      </c>
      <c r="HL62" s="384">
        <v>152</v>
      </c>
      <c r="HM62" s="384">
        <f t="shared" si="429"/>
        <v>340</v>
      </c>
      <c r="HN62" s="384">
        <v>146</v>
      </c>
      <c r="HO62" s="384">
        <v>139</v>
      </c>
      <c r="HP62" s="384">
        <f t="shared" si="430"/>
        <v>285</v>
      </c>
      <c r="HQ62" s="384">
        <v>138</v>
      </c>
      <c r="HR62" s="384">
        <v>134</v>
      </c>
      <c r="HS62" s="384">
        <f t="shared" si="431"/>
        <v>272</v>
      </c>
      <c r="HT62" s="384">
        <v>91</v>
      </c>
      <c r="HU62" s="384">
        <v>125</v>
      </c>
      <c r="HV62" s="384">
        <f t="shared" si="432"/>
        <v>216</v>
      </c>
      <c r="HW62" s="384">
        <v>103</v>
      </c>
      <c r="HX62" s="384">
        <v>120</v>
      </c>
      <c r="HY62" s="384">
        <f t="shared" si="433"/>
        <v>223</v>
      </c>
      <c r="HZ62" s="384">
        <v>84</v>
      </c>
      <c r="IA62" s="384">
        <v>92</v>
      </c>
      <c r="IB62" s="384">
        <f t="shared" si="434"/>
        <v>176</v>
      </c>
      <c r="IC62" s="384">
        <v>50</v>
      </c>
      <c r="ID62" s="384">
        <v>79</v>
      </c>
      <c r="IE62" s="384">
        <f t="shared" si="435"/>
        <v>129</v>
      </c>
      <c r="IF62" s="384">
        <v>48</v>
      </c>
      <c r="IG62" s="384">
        <v>65</v>
      </c>
      <c r="IH62" s="384">
        <f t="shared" si="436"/>
        <v>113</v>
      </c>
      <c r="II62" s="384">
        <v>47</v>
      </c>
      <c r="IJ62" s="384">
        <v>59</v>
      </c>
      <c r="IK62" s="384">
        <f t="shared" si="437"/>
        <v>106</v>
      </c>
      <c r="IL62" s="384">
        <v>58</v>
      </c>
      <c r="IM62" s="384">
        <v>52</v>
      </c>
      <c r="IN62" s="384">
        <f t="shared" si="438"/>
        <v>110</v>
      </c>
      <c r="IO62" s="384">
        <v>49</v>
      </c>
      <c r="IP62" s="384">
        <v>57</v>
      </c>
      <c r="IQ62" s="384">
        <f t="shared" si="439"/>
        <v>106</v>
      </c>
      <c r="IR62" s="384">
        <v>36</v>
      </c>
      <c r="IS62" s="384">
        <v>64</v>
      </c>
      <c r="IT62" s="384">
        <f t="shared" si="440"/>
        <v>100</v>
      </c>
      <c r="IU62" s="384">
        <v>46</v>
      </c>
      <c r="IV62" s="384">
        <v>49</v>
      </c>
      <c r="IW62" s="384">
        <f t="shared" si="441"/>
        <v>95</v>
      </c>
      <c r="IX62" s="384">
        <v>21</v>
      </c>
      <c r="IY62" s="384">
        <v>28</v>
      </c>
      <c r="IZ62" s="384">
        <f t="shared" si="442"/>
        <v>49</v>
      </c>
      <c r="JA62" s="384">
        <v>20</v>
      </c>
      <c r="JB62" s="384">
        <v>47</v>
      </c>
      <c r="JC62" s="384">
        <f t="shared" si="443"/>
        <v>67</v>
      </c>
      <c r="JD62" s="384">
        <v>16</v>
      </c>
      <c r="JE62" s="384">
        <v>36</v>
      </c>
      <c r="JF62" s="384">
        <f t="shared" si="444"/>
        <v>52</v>
      </c>
      <c r="JG62" s="384">
        <v>19</v>
      </c>
      <c r="JH62" s="384">
        <v>20</v>
      </c>
      <c r="JI62" s="384">
        <f t="shared" si="445"/>
        <v>39</v>
      </c>
      <c r="JJ62" s="384">
        <v>6</v>
      </c>
      <c r="JK62" s="384">
        <v>12</v>
      </c>
      <c r="JL62" s="384">
        <f t="shared" si="446"/>
        <v>18</v>
      </c>
      <c r="JM62" s="384">
        <v>8</v>
      </c>
      <c r="JN62" s="384">
        <v>15</v>
      </c>
      <c r="JO62" s="384">
        <f t="shared" si="447"/>
        <v>23</v>
      </c>
      <c r="JP62" s="384">
        <v>9</v>
      </c>
      <c r="JQ62" s="384">
        <v>26</v>
      </c>
      <c r="JR62" s="384">
        <f t="shared" si="448"/>
        <v>35</v>
      </c>
      <c r="JS62" s="384">
        <v>10</v>
      </c>
      <c r="JT62" s="384">
        <v>10</v>
      </c>
      <c r="JU62" s="384">
        <f t="shared" si="449"/>
        <v>20</v>
      </c>
      <c r="JV62" s="384">
        <v>6</v>
      </c>
      <c r="JW62" s="384">
        <v>7</v>
      </c>
      <c r="JX62" s="384">
        <f t="shared" si="450"/>
        <v>13</v>
      </c>
      <c r="JY62" s="384">
        <v>3</v>
      </c>
      <c r="JZ62" s="384">
        <v>4</v>
      </c>
      <c r="KA62" s="384">
        <f t="shared" si="451"/>
        <v>7</v>
      </c>
      <c r="KB62" s="384">
        <v>1</v>
      </c>
      <c r="KC62" s="384">
        <v>2</v>
      </c>
      <c r="KD62" s="384">
        <f t="shared" si="452"/>
        <v>3</v>
      </c>
      <c r="KE62" s="384">
        <v>4</v>
      </c>
      <c r="KF62" s="384">
        <v>5</v>
      </c>
      <c r="KG62" s="384">
        <f t="shared" si="453"/>
        <v>9</v>
      </c>
      <c r="KH62" s="384">
        <v>0</v>
      </c>
      <c r="KI62" s="384">
        <v>1</v>
      </c>
      <c r="KJ62" s="384">
        <f t="shared" si="454"/>
        <v>1</v>
      </c>
      <c r="KK62" s="384">
        <v>0</v>
      </c>
      <c r="KL62" s="384">
        <v>3</v>
      </c>
      <c r="KM62" s="384">
        <f t="shared" si="455"/>
        <v>3</v>
      </c>
      <c r="KN62" s="384">
        <v>0</v>
      </c>
      <c r="KO62" s="384">
        <v>1</v>
      </c>
      <c r="KP62" s="384">
        <f t="shared" si="456"/>
        <v>1</v>
      </c>
      <c r="KQ62" s="384">
        <v>1</v>
      </c>
      <c r="KR62" s="384">
        <v>0</v>
      </c>
      <c r="KS62" s="384">
        <f t="shared" si="457"/>
        <v>1</v>
      </c>
      <c r="KT62" s="384">
        <v>0</v>
      </c>
      <c r="KU62" s="384">
        <v>2</v>
      </c>
      <c r="KV62" s="384">
        <f t="shared" si="458"/>
        <v>2</v>
      </c>
      <c r="KW62" s="384">
        <v>0</v>
      </c>
      <c r="KX62" s="384">
        <v>0</v>
      </c>
      <c r="KY62" s="384">
        <f t="shared" si="459"/>
        <v>0</v>
      </c>
      <c r="KZ62" s="384">
        <v>0</v>
      </c>
      <c r="LA62" s="384">
        <v>0</v>
      </c>
      <c r="LB62" s="384">
        <f t="shared" si="460"/>
        <v>0</v>
      </c>
      <c r="LC62" s="384">
        <v>0</v>
      </c>
      <c r="LD62" s="384">
        <v>0</v>
      </c>
      <c r="LE62" s="384">
        <f t="shared" si="461"/>
        <v>0</v>
      </c>
      <c r="LF62" s="384">
        <v>0</v>
      </c>
      <c r="LG62" s="384">
        <v>0</v>
      </c>
      <c r="LH62" s="384">
        <f t="shared" si="462"/>
        <v>0</v>
      </c>
      <c r="LI62" s="384">
        <v>0</v>
      </c>
      <c r="LJ62" s="384">
        <v>0</v>
      </c>
      <c r="LK62" s="384">
        <f t="shared" si="463"/>
        <v>0</v>
      </c>
      <c r="LL62" s="384">
        <v>0</v>
      </c>
      <c r="LM62" s="384">
        <v>0</v>
      </c>
      <c r="LN62" s="384">
        <f t="shared" si="464"/>
        <v>0</v>
      </c>
      <c r="LO62" s="384">
        <v>0</v>
      </c>
      <c r="LP62" s="384">
        <v>0</v>
      </c>
      <c r="LQ62" s="384">
        <f t="shared" si="465"/>
        <v>0</v>
      </c>
      <c r="LR62" s="384">
        <v>0</v>
      </c>
      <c r="LS62" s="384">
        <v>0</v>
      </c>
      <c r="LT62" s="384">
        <f t="shared" si="466"/>
        <v>0</v>
      </c>
      <c r="LU62" s="384">
        <v>0</v>
      </c>
      <c r="LV62" s="384">
        <v>0</v>
      </c>
      <c r="LW62" s="384">
        <f t="shared" si="467"/>
        <v>0</v>
      </c>
      <c r="LX62" s="384">
        <v>0</v>
      </c>
      <c r="LY62" s="384">
        <v>0</v>
      </c>
      <c r="LZ62" s="384">
        <f t="shared" si="468"/>
        <v>0</v>
      </c>
      <c r="MA62" s="384">
        <v>0</v>
      </c>
      <c r="MB62" s="384">
        <v>0</v>
      </c>
      <c r="MC62" s="384">
        <f t="shared" si="469"/>
        <v>0</v>
      </c>
      <c r="MD62" s="384">
        <v>0</v>
      </c>
      <c r="ME62" s="384">
        <v>0</v>
      </c>
      <c r="MF62" s="384">
        <f t="shared" si="470"/>
        <v>0</v>
      </c>
      <c r="MG62" s="384">
        <v>0</v>
      </c>
      <c r="MH62" s="384">
        <v>0</v>
      </c>
      <c r="MI62" s="384">
        <f t="shared" si="471"/>
        <v>0</v>
      </c>
      <c r="MJ62" s="384">
        <v>0</v>
      </c>
      <c r="MK62" s="384">
        <v>0</v>
      </c>
      <c r="ML62" s="384">
        <f t="shared" si="472"/>
        <v>0</v>
      </c>
      <c r="MM62" s="384">
        <v>0</v>
      </c>
      <c r="MN62" s="384">
        <v>0</v>
      </c>
      <c r="MO62" s="384">
        <f t="shared" si="473"/>
        <v>0</v>
      </c>
      <c r="MP62" s="384">
        <v>0</v>
      </c>
      <c r="MQ62" s="384">
        <v>0</v>
      </c>
      <c r="MR62" s="384">
        <f t="shared" si="474"/>
        <v>0</v>
      </c>
      <c r="MS62" s="384">
        <v>0</v>
      </c>
      <c r="MT62" s="384">
        <v>0</v>
      </c>
      <c r="MU62" s="384">
        <f t="shared" si="475"/>
        <v>0</v>
      </c>
      <c r="MV62" s="384">
        <v>0</v>
      </c>
      <c r="MW62" s="384">
        <v>0</v>
      </c>
      <c r="MX62" s="384">
        <f t="shared" si="476"/>
        <v>0</v>
      </c>
      <c r="MY62" s="384">
        <v>0</v>
      </c>
      <c r="MZ62" s="384">
        <v>0</v>
      </c>
      <c r="NA62" s="557">
        <f t="shared" si="477"/>
        <v>0</v>
      </c>
      <c r="NB62" s="384">
        <v>0</v>
      </c>
      <c r="NC62" s="384">
        <v>0</v>
      </c>
      <c r="ND62" s="555">
        <f t="shared" si="478"/>
        <v>0</v>
      </c>
      <c r="NE62" s="570">
        <f>SUM(C62,F62,I62,L62,O62,R62,U62,X62,AA62,AD62,AG62,AJ62,AM62,AP62,AS62,AV62,AY62,BB62,BE62,BH62,BK62,BN62,BQ62,BT62,BW62,BZ62,CC62,CF62,CI62,CL62,CO62,CR62,CU62,CX62,DA62,DD62,DG62,DJ62,DM62,DP62,DS62,DV62,DY62,EB62,EE62,EH62,EK62,EN62,EQ62,ET62,EW62,EZ62,FC62,FF62,FI62,FL62,FO62,FR62,FU62,FX62,GA62,GD62,GG62,GJ62,GM62,GP62,GS62,GV62,GY62,HB62,HE62,HH62,HK62,HN62,HQ62,HT62,HW62,HZ62,IC62,IF62,II62,IL62,IO62,IR62,IU62,IX62,JA62,JD62,JG62,JJ62,JM62,JP62,JS62,JV62,JY62,KB62,KE62,KH62,KK62,KN62,KQ62,KT62,KW62,KZ62,LC62,LF62,LI62,LL62,LO62,LR62,LU62,LX62,MA62,MD62,MG62,MJ62,MM62,MP62,MS62,MV62,MY62)</f>
        <v>61610</v>
      </c>
      <c r="NF62" s="571">
        <f>SUM(D62,G62,J62,M62,P62,S62,V62,Y62,AB62,AE62,AH62,AK62,AN62,AQ62,AT62,AW62,AZ62,BC62,BF62,BI62,BL62,BO62,BR62,BU62,BX62,CA62,CD62,CG62,CJ62,CM62,CP62,CS62,CV62,CY62,DB62,DE62,DH62,DK62,DN62,DQ62,DT62,DW62,DZ62,EC62,EF62,EI62,EL62,EO62,ER62,EU62,EX62,FA62,FD62,FG62,FJ62,FM62,FP62,FS62,FV62,FY62,GB62,GE62,GH62,GK62,GN62,GQ62,GT62,GW62,GZ62,HC62,HF62,HI62,HL62,HO62,HR62,HU62,HX62,IA62,ID62,IG62,IJ62,IM62,IP62,IS62,IV62,IY62,JB62,JE62,JH62,JK62,JN62,JQ62,JT62,JW62,JZ62,KC62,KF62,KI62,KL62,KO62,KR62,KU62,KX62,LA62,LD62,LG62,LJ62,LM62,LP62,LS62,LV62,LY62,MB62,ME62,MH62,MK62,MN62,MQ62,MT62,MW62,MZ62)</f>
        <v>62455</v>
      </c>
      <c r="NG62" s="572">
        <f t="shared" si="480"/>
        <v>124065</v>
      </c>
      <c r="NH62" s="570">
        <f t="shared" si="481"/>
        <v>4813</v>
      </c>
      <c r="NI62" s="571">
        <f t="shared" si="481"/>
        <v>4637</v>
      </c>
      <c r="NJ62" s="572">
        <f t="shared" si="482"/>
        <v>9450</v>
      </c>
    </row>
    <row r="63" spans="1:374" x14ac:dyDescent="0.3">
      <c r="A63" s="558" t="s">
        <v>306</v>
      </c>
      <c r="B63" s="592" t="s">
        <v>123</v>
      </c>
      <c r="C63" s="561">
        <v>130</v>
      </c>
      <c r="D63" s="388">
        <v>120</v>
      </c>
      <c r="E63" s="388">
        <f t="shared" si="357"/>
        <v>250</v>
      </c>
      <c r="F63" s="388">
        <v>177</v>
      </c>
      <c r="G63" s="388">
        <v>181</v>
      </c>
      <c r="H63" s="388">
        <f t="shared" si="358"/>
        <v>358</v>
      </c>
      <c r="I63" s="388">
        <v>205</v>
      </c>
      <c r="J63" s="388">
        <v>189</v>
      </c>
      <c r="K63" s="388">
        <f t="shared" si="359"/>
        <v>394</v>
      </c>
      <c r="L63" s="388">
        <v>212</v>
      </c>
      <c r="M63" s="388">
        <v>207</v>
      </c>
      <c r="N63" s="388">
        <f t="shared" si="360"/>
        <v>419</v>
      </c>
      <c r="O63" s="388">
        <v>261</v>
      </c>
      <c r="P63" s="388">
        <v>228</v>
      </c>
      <c r="Q63" s="388">
        <f t="shared" si="361"/>
        <v>489</v>
      </c>
      <c r="R63" s="388">
        <v>242</v>
      </c>
      <c r="S63" s="388">
        <v>229</v>
      </c>
      <c r="T63" s="388">
        <f t="shared" si="362"/>
        <v>471</v>
      </c>
      <c r="U63" s="388">
        <v>286</v>
      </c>
      <c r="V63" s="388">
        <v>265</v>
      </c>
      <c r="W63" s="388">
        <f t="shared" si="363"/>
        <v>551</v>
      </c>
      <c r="X63" s="388">
        <v>267</v>
      </c>
      <c r="Y63" s="388">
        <v>278</v>
      </c>
      <c r="Z63" s="388">
        <f t="shared" si="364"/>
        <v>545</v>
      </c>
      <c r="AA63" s="388">
        <v>280</v>
      </c>
      <c r="AB63" s="388">
        <v>248</v>
      </c>
      <c r="AC63" s="388">
        <f t="shared" si="365"/>
        <v>528</v>
      </c>
      <c r="AD63" s="388">
        <v>284</v>
      </c>
      <c r="AE63" s="388">
        <v>233</v>
      </c>
      <c r="AF63" s="388">
        <f t="shared" si="366"/>
        <v>517</v>
      </c>
      <c r="AG63" s="388">
        <v>249</v>
      </c>
      <c r="AH63" s="388">
        <v>270</v>
      </c>
      <c r="AI63" s="388">
        <f t="shared" si="367"/>
        <v>519</v>
      </c>
      <c r="AJ63" s="388">
        <v>237</v>
      </c>
      <c r="AK63" s="388">
        <v>219</v>
      </c>
      <c r="AL63" s="388">
        <f t="shared" si="368"/>
        <v>456</v>
      </c>
      <c r="AM63" s="388">
        <v>266</v>
      </c>
      <c r="AN63" s="388">
        <v>250</v>
      </c>
      <c r="AO63" s="388">
        <f t="shared" si="369"/>
        <v>516</v>
      </c>
      <c r="AP63" s="388">
        <v>281</v>
      </c>
      <c r="AQ63" s="388">
        <v>277</v>
      </c>
      <c r="AR63" s="388">
        <f t="shared" si="370"/>
        <v>558</v>
      </c>
      <c r="AS63" s="388">
        <v>253</v>
      </c>
      <c r="AT63" s="388">
        <v>277</v>
      </c>
      <c r="AU63" s="388">
        <f t="shared" si="371"/>
        <v>530</v>
      </c>
      <c r="AV63" s="388">
        <v>222</v>
      </c>
      <c r="AW63" s="388">
        <v>241</v>
      </c>
      <c r="AX63" s="388">
        <f t="shared" si="372"/>
        <v>463</v>
      </c>
      <c r="AY63" s="388">
        <v>245</v>
      </c>
      <c r="AZ63" s="388">
        <v>243</v>
      </c>
      <c r="BA63" s="388">
        <f t="shared" si="373"/>
        <v>488</v>
      </c>
      <c r="BB63" s="388">
        <v>257</v>
      </c>
      <c r="BC63" s="388">
        <v>228</v>
      </c>
      <c r="BD63" s="388">
        <f t="shared" si="374"/>
        <v>485</v>
      </c>
      <c r="BE63" s="388">
        <v>235</v>
      </c>
      <c r="BF63" s="388">
        <v>237</v>
      </c>
      <c r="BG63" s="388">
        <f t="shared" si="375"/>
        <v>472</v>
      </c>
      <c r="BH63" s="388">
        <v>239</v>
      </c>
      <c r="BI63" s="388">
        <v>233</v>
      </c>
      <c r="BJ63" s="388">
        <f t="shared" si="376"/>
        <v>472</v>
      </c>
      <c r="BK63" s="388">
        <v>229</v>
      </c>
      <c r="BL63" s="388">
        <v>223</v>
      </c>
      <c r="BM63" s="388">
        <f t="shared" si="377"/>
        <v>452</v>
      </c>
      <c r="BN63" s="388">
        <v>259</v>
      </c>
      <c r="BO63" s="388">
        <v>240</v>
      </c>
      <c r="BP63" s="388">
        <f t="shared" si="378"/>
        <v>499</v>
      </c>
      <c r="BQ63" s="388">
        <v>264</v>
      </c>
      <c r="BR63" s="388">
        <v>266</v>
      </c>
      <c r="BS63" s="388">
        <f t="shared" si="379"/>
        <v>530</v>
      </c>
      <c r="BT63" s="388">
        <v>297</v>
      </c>
      <c r="BU63" s="388">
        <v>265</v>
      </c>
      <c r="BV63" s="388">
        <f t="shared" si="380"/>
        <v>562</v>
      </c>
      <c r="BW63" s="388">
        <v>246</v>
      </c>
      <c r="BX63" s="388">
        <v>243</v>
      </c>
      <c r="BY63" s="388">
        <f t="shared" si="381"/>
        <v>489</v>
      </c>
      <c r="BZ63" s="388">
        <v>289</v>
      </c>
      <c r="CA63" s="388">
        <v>259</v>
      </c>
      <c r="CB63" s="388">
        <f t="shared" si="382"/>
        <v>548</v>
      </c>
      <c r="CC63" s="388">
        <v>284</v>
      </c>
      <c r="CD63" s="388">
        <v>291</v>
      </c>
      <c r="CE63" s="388">
        <f t="shared" si="383"/>
        <v>575</v>
      </c>
      <c r="CF63" s="388">
        <v>245</v>
      </c>
      <c r="CG63" s="388">
        <v>246</v>
      </c>
      <c r="CH63" s="388">
        <f t="shared" si="384"/>
        <v>491</v>
      </c>
      <c r="CI63" s="388">
        <v>281</v>
      </c>
      <c r="CJ63" s="388">
        <v>312</v>
      </c>
      <c r="CK63" s="388">
        <f t="shared" si="385"/>
        <v>593</v>
      </c>
      <c r="CL63" s="388">
        <v>302</v>
      </c>
      <c r="CM63" s="388">
        <v>300</v>
      </c>
      <c r="CN63" s="388">
        <f t="shared" si="386"/>
        <v>602</v>
      </c>
      <c r="CO63" s="388">
        <v>306</v>
      </c>
      <c r="CP63" s="388">
        <v>335</v>
      </c>
      <c r="CQ63" s="388">
        <f t="shared" si="387"/>
        <v>641</v>
      </c>
      <c r="CR63" s="388">
        <v>272</v>
      </c>
      <c r="CS63" s="388">
        <v>319</v>
      </c>
      <c r="CT63" s="388">
        <f t="shared" si="388"/>
        <v>591</v>
      </c>
      <c r="CU63" s="388">
        <v>310</v>
      </c>
      <c r="CV63" s="388">
        <v>319</v>
      </c>
      <c r="CW63" s="388">
        <f t="shared" si="389"/>
        <v>629</v>
      </c>
      <c r="CX63" s="388">
        <v>316</v>
      </c>
      <c r="CY63" s="388">
        <v>287</v>
      </c>
      <c r="CZ63" s="388">
        <f t="shared" si="390"/>
        <v>603</v>
      </c>
      <c r="DA63" s="388">
        <v>311</v>
      </c>
      <c r="DB63" s="388">
        <v>286</v>
      </c>
      <c r="DC63" s="388">
        <f t="shared" si="391"/>
        <v>597</v>
      </c>
      <c r="DD63" s="388">
        <v>279</v>
      </c>
      <c r="DE63" s="388">
        <v>265</v>
      </c>
      <c r="DF63" s="388">
        <f t="shared" si="392"/>
        <v>544</v>
      </c>
      <c r="DG63" s="388">
        <v>260</v>
      </c>
      <c r="DH63" s="388">
        <v>261</v>
      </c>
      <c r="DI63" s="388">
        <f t="shared" si="393"/>
        <v>521</v>
      </c>
      <c r="DJ63" s="388">
        <v>234</v>
      </c>
      <c r="DK63" s="388">
        <v>250</v>
      </c>
      <c r="DL63" s="388">
        <f t="shared" si="394"/>
        <v>484</v>
      </c>
      <c r="DM63" s="388">
        <v>240</v>
      </c>
      <c r="DN63" s="388">
        <v>260</v>
      </c>
      <c r="DO63" s="388">
        <f t="shared" si="395"/>
        <v>500</v>
      </c>
      <c r="DP63" s="388">
        <v>225</v>
      </c>
      <c r="DQ63" s="388">
        <v>238</v>
      </c>
      <c r="DR63" s="388">
        <f t="shared" si="396"/>
        <v>463</v>
      </c>
      <c r="DS63" s="388">
        <v>222</v>
      </c>
      <c r="DT63" s="388">
        <v>234</v>
      </c>
      <c r="DU63" s="388">
        <f t="shared" si="397"/>
        <v>456</v>
      </c>
      <c r="DV63" s="388">
        <v>222</v>
      </c>
      <c r="DW63" s="388">
        <v>245</v>
      </c>
      <c r="DX63" s="388">
        <f t="shared" si="398"/>
        <v>467</v>
      </c>
      <c r="DY63" s="388">
        <v>225</v>
      </c>
      <c r="DZ63" s="388">
        <v>266</v>
      </c>
      <c r="EA63" s="388">
        <f t="shared" si="399"/>
        <v>491</v>
      </c>
      <c r="EB63" s="388">
        <v>207</v>
      </c>
      <c r="EC63" s="388">
        <v>256</v>
      </c>
      <c r="ED63" s="388">
        <f t="shared" si="400"/>
        <v>463</v>
      </c>
      <c r="EE63" s="388">
        <v>223</v>
      </c>
      <c r="EF63" s="388">
        <v>218</v>
      </c>
      <c r="EG63" s="388">
        <f t="shared" si="401"/>
        <v>441</v>
      </c>
      <c r="EH63" s="388">
        <v>209</v>
      </c>
      <c r="EI63" s="388">
        <v>225</v>
      </c>
      <c r="EJ63" s="388">
        <f t="shared" si="402"/>
        <v>434</v>
      </c>
      <c r="EK63" s="388">
        <v>248</v>
      </c>
      <c r="EL63" s="388">
        <v>220</v>
      </c>
      <c r="EM63" s="388">
        <f t="shared" si="403"/>
        <v>468</v>
      </c>
      <c r="EN63" s="388">
        <v>211</v>
      </c>
      <c r="EO63" s="388">
        <v>228</v>
      </c>
      <c r="EP63" s="388">
        <f t="shared" si="404"/>
        <v>439</v>
      </c>
      <c r="EQ63" s="388">
        <v>185</v>
      </c>
      <c r="ER63" s="388">
        <v>213</v>
      </c>
      <c r="ES63" s="388">
        <f t="shared" si="405"/>
        <v>398</v>
      </c>
      <c r="ET63" s="388">
        <v>193</v>
      </c>
      <c r="EU63" s="388">
        <v>169</v>
      </c>
      <c r="EV63" s="388">
        <f t="shared" si="406"/>
        <v>362</v>
      </c>
      <c r="EW63" s="388">
        <v>170</v>
      </c>
      <c r="EX63" s="388">
        <v>215</v>
      </c>
      <c r="EY63" s="388">
        <f t="shared" si="407"/>
        <v>385</v>
      </c>
      <c r="EZ63" s="388">
        <v>170</v>
      </c>
      <c r="FA63" s="388">
        <v>183</v>
      </c>
      <c r="FB63" s="388">
        <f t="shared" si="408"/>
        <v>353</v>
      </c>
      <c r="FC63" s="388">
        <v>168</v>
      </c>
      <c r="FD63" s="388">
        <v>200</v>
      </c>
      <c r="FE63" s="388">
        <f t="shared" si="409"/>
        <v>368</v>
      </c>
      <c r="FF63" s="388">
        <v>173</v>
      </c>
      <c r="FG63" s="388">
        <v>210</v>
      </c>
      <c r="FH63" s="388">
        <f t="shared" si="410"/>
        <v>383</v>
      </c>
      <c r="FI63" s="388">
        <v>172</v>
      </c>
      <c r="FJ63" s="388">
        <v>187</v>
      </c>
      <c r="FK63" s="388">
        <f t="shared" si="411"/>
        <v>359</v>
      </c>
      <c r="FL63" s="388">
        <v>161</v>
      </c>
      <c r="FM63" s="388">
        <v>198</v>
      </c>
      <c r="FN63" s="388">
        <f t="shared" si="412"/>
        <v>359</v>
      </c>
      <c r="FO63" s="388">
        <v>185</v>
      </c>
      <c r="FP63" s="388">
        <v>200</v>
      </c>
      <c r="FQ63" s="388">
        <f t="shared" si="413"/>
        <v>385</v>
      </c>
      <c r="FR63" s="388">
        <v>141</v>
      </c>
      <c r="FS63" s="388">
        <v>208</v>
      </c>
      <c r="FT63" s="388">
        <f t="shared" si="414"/>
        <v>349</v>
      </c>
      <c r="FU63" s="388">
        <v>147</v>
      </c>
      <c r="FV63" s="388">
        <v>220</v>
      </c>
      <c r="FW63" s="388">
        <f t="shared" si="415"/>
        <v>367</v>
      </c>
      <c r="FX63" s="388">
        <v>145</v>
      </c>
      <c r="FY63" s="388">
        <v>178</v>
      </c>
      <c r="FZ63" s="388">
        <f t="shared" si="416"/>
        <v>323</v>
      </c>
      <c r="GA63" s="388">
        <v>152</v>
      </c>
      <c r="GB63" s="388">
        <v>226</v>
      </c>
      <c r="GC63" s="388">
        <f t="shared" si="417"/>
        <v>378</v>
      </c>
      <c r="GD63" s="388">
        <v>172</v>
      </c>
      <c r="GE63" s="388">
        <v>232</v>
      </c>
      <c r="GF63" s="388">
        <f t="shared" si="418"/>
        <v>404</v>
      </c>
      <c r="GG63" s="388">
        <v>165</v>
      </c>
      <c r="GH63" s="388">
        <v>201</v>
      </c>
      <c r="GI63" s="388">
        <f t="shared" si="419"/>
        <v>366</v>
      </c>
      <c r="GJ63" s="388">
        <v>176</v>
      </c>
      <c r="GK63" s="388">
        <v>180</v>
      </c>
      <c r="GL63" s="388">
        <f t="shared" si="420"/>
        <v>356</v>
      </c>
      <c r="GM63" s="388">
        <v>185</v>
      </c>
      <c r="GN63" s="388">
        <v>162</v>
      </c>
      <c r="GO63" s="388">
        <f t="shared" si="421"/>
        <v>347</v>
      </c>
      <c r="GP63" s="388">
        <v>149</v>
      </c>
      <c r="GQ63" s="388">
        <v>123</v>
      </c>
      <c r="GR63" s="388">
        <f t="shared" si="422"/>
        <v>272</v>
      </c>
      <c r="GS63" s="388">
        <v>161</v>
      </c>
      <c r="GT63" s="388">
        <v>133</v>
      </c>
      <c r="GU63" s="388">
        <f t="shared" si="423"/>
        <v>294</v>
      </c>
      <c r="GV63" s="388">
        <v>127</v>
      </c>
      <c r="GW63" s="388">
        <v>95</v>
      </c>
      <c r="GX63" s="388">
        <f t="shared" si="424"/>
        <v>222</v>
      </c>
      <c r="GY63" s="388">
        <v>124</v>
      </c>
      <c r="GZ63" s="388">
        <v>95</v>
      </c>
      <c r="HA63" s="388">
        <f t="shared" si="425"/>
        <v>219</v>
      </c>
      <c r="HB63" s="388">
        <v>83</v>
      </c>
      <c r="HC63" s="388">
        <v>56</v>
      </c>
      <c r="HD63" s="388">
        <f t="shared" si="426"/>
        <v>139</v>
      </c>
      <c r="HE63" s="388">
        <v>67</v>
      </c>
      <c r="HF63" s="388">
        <v>65</v>
      </c>
      <c r="HG63" s="388">
        <f t="shared" si="427"/>
        <v>132</v>
      </c>
      <c r="HH63" s="388">
        <v>62</v>
      </c>
      <c r="HI63" s="388">
        <v>46</v>
      </c>
      <c r="HJ63" s="388">
        <f t="shared" si="428"/>
        <v>108</v>
      </c>
      <c r="HK63" s="388">
        <v>61</v>
      </c>
      <c r="HL63" s="388">
        <v>39</v>
      </c>
      <c r="HM63" s="388">
        <f t="shared" si="429"/>
        <v>100</v>
      </c>
      <c r="HN63" s="388">
        <v>47</v>
      </c>
      <c r="HO63" s="388">
        <v>34</v>
      </c>
      <c r="HP63" s="388">
        <f t="shared" si="430"/>
        <v>81</v>
      </c>
      <c r="HQ63" s="388">
        <v>34</v>
      </c>
      <c r="HR63" s="388">
        <v>31</v>
      </c>
      <c r="HS63" s="388">
        <f t="shared" si="431"/>
        <v>65</v>
      </c>
      <c r="HT63" s="388">
        <v>23</v>
      </c>
      <c r="HU63" s="388">
        <v>36</v>
      </c>
      <c r="HV63" s="388">
        <f t="shared" si="432"/>
        <v>59</v>
      </c>
      <c r="HW63" s="388">
        <v>24</v>
      </c>
      <c r="HX63" s="388">
        <v>30</v>
      </c>
      <c r="HY63" s="388">
        <f t="shared" si="433"/>
        <v>54</v>
      </c>
      <c r="HZ63" s="388">
        <v>21</v>
      </c>
      <c r="IA63" s="388">
        <v>22</v>
      </c>
      <c r="IB63" s="388">
        <f t="shared" si="434"/>
        <v>43</v>
      </c>
      <c r="IC63" s="388">
        <v>12</v>
      </c>
      <c r="ID63" s="388">
        <v>11</v>
      </c>
      <c r="IE63" s="388">
        <f t="shared" si="435"/>
        <v>23</v>
      </c>
      <c r="IF63" s="388">
        <v>7</v>
      </c>
      <c r="IG63" s="388">
        <v>13</v>
      </c>
      <c r="IH63" s="388">
        <f t="shared" si="436"/>
        <v>20</v>
      </c>
      <c r="II63" s="388">
        <v>12</v>
      </c>
      <c r="IJ63" s="388">
        <v>12</v>
      </c>
      <c r="IK63" s="388">
        <f t="shared" si="437"/>
        <v>24</v>
      </c>
      <c r="IL63" s="388">
        <v>10</v>
      </c>
      <c r="IM63" s="388">
        <v>13</v>
      </c>
      <c r="IN63" s="388">
        <f t="shared" si="438"/>
        <v>23</v>
      </c>
      <c r="IO63" s="388">
        <v>9</v>
      </c>
      <c r="IP63" s="388">
        <v>17</v>
      </c>
      <c r="IQ63" s="388">
        <f t="shared" si="439"/>
        <v>26</v>
      </c>
      <c r="IR63" s="388">
        <v>11</v>
      </c>
      <c r="IS63" s="388">
        <v>16</v>
      </c>
      <c r="IT63" s="388">
        <f t="shared" si="440"/>
        <v>27</v>
      </c>
      <c r="IU63" s="388">
        <v>10</v>
      </c>
      <c r="IV63" s="388">
        <v>8</v>
      </c>
      <c r="IW63" s="388">
        <f t="shared" si="441"/>
        <v>18</v>
      </c>
      <c r="IX63" s="388">
        <v>4</v>
      </c>
      <c r="IY63" s="388">
        <v>9</v>
      </c>
      <c r="IZ63" s="388">
        <f t="shared" si="442"/>
        <v>13</v>
      </c>
      <c r="JA63" s="388">
        <v>4</v>
      </c>
      <c r="JB63" s="388">
        <v>10</v>
      </c>
      <c r="JC63" s="388">
        <f t="shared" si="443"/>
        <v>14</v>
      </c>
      <c r="JD63" s="388">
        <v>2</v>
      </c>
      <c r="JE63" s="388">
        <v>10</v>
      </c>
      <c r="JF63" s="388">
        <f t="shared" si="444"/>
        <v>12</v>
      </c>
      <c r="JG63" s="388">
        <v>9</v>
      </c>
      <c r="JH63" s="388">
        <v>7</v>
      </c>
      <c r="JI63" s="388">
        <f t="shared" si="445"/>
        <v>16</v>
      </c>
      <c r="JJ63" s="388">
        <v>2</v>
      </c>
      <c r="JK63" s="388">
        <v>3</v>
      </c>
      <c r="JL63" s="388">
        <f t="shared" si="446"/>
        <v>5</v>
      </c>
      <c r="JM63" s="388">
        <v>1</v>
      </c>
      <c r="JN63" s="388">
        <v>1</v>
      </c>
      <c r="JO63" s="388">
        <f t="shared" si="447"/>
        <v>2</v>
      </c>
      <c r="JP63" s="388">
        <v>2</v>
      </c>
      <c r="JQ63" s="388">
        <v>7</v>
      </c>
      <c r="JR63" s="388">
        <f t="shared" si="448"/>
        <v>9</v>
      </c>
      <c r="JS63" s="388">
        <v>3</v>
      </c>
      <c r="JT63" s="388">
        <v>2</v>
      </c>
      <c r="JU63" s="388">
        <f t="shared" si="449"/>
        <v>5</v>
      </c>
      <c r="JV63" s="388">
        <v>2</v>
      </c>
      <c r="JW63" s="388">
        <v>3</v>
      </c>
      <c r="JX63" s="388">
        <f t="shared" si="450"/>
        <v>5</v>
      </c>
      <c r="JY63" s="388">
        <v>0</v>
      </c>
      <c r="JZ63" s="388">
        <v>2</v>
      </c>
      <c r="KA63" s="388">
        <f t="shared" si="451"/>
        <v>2</v>
      </c>
      <c r="KB63" s="388">
        <v>0</v>
      </c>
      <c r="KC63" s="388">
        <v>2</v>
      </c>
      <c r="KD63" s="388">
        <f t="shared" si="452"/>
        <v>2</v>
      </c>
      <c r="KE63" s="388">
        <v>3</v>
      </c>
      <c r="KF63" s="388">
        <v>3</v>
      </c>
      <c r="KG63" s="388">
        <f t="shared" si="453"/>
        <v>6</v>
      </c>
      <c r="KH63" s="388">
        <v>0</v>
      </c>
      <c r="KI63" s="388">
        <v>1</v>
      </c>
      <c r="KJ63" s="388">
        <f t="shared" si="454"/>
        <v>1</v>
      </c>
      <c r="KK63" s="388">
        <v>0</v>
      </c>
      <c r="KL63" s="388">
        <v>2</v>
      </c>
      <c r="KM63" s="388">
        <f t="shared" si="455"/>
        <v>2</v>
      </c>
      <c r="KN63" s="388">
        <v>0</v>
      </c>
      <c r="KO63" s="388">
        <v>0</v>
      </c>
      <c r="KP63" s="388">
        <f t="shared" si="456"/>
        <v>0</v>
      </c>
      <c r="KQ63" s="388">
        <v>0</v>
      </c>
      <c r="KR63" s="388">
        <v>0</v>
      </c>
      <c r="KS63" s="388">
        <f t="shared" si="457"/>
        <v>0</v>
      </c>
      <c r="KT63" s="388">
        <v>0</v>
      </c>
      <c r="KU63" s="388">
        <v>0</v>
      </c>
      <c r="KV63" s="388">
        <f t="shared" si="458"/>
        <v>0</v>
      </c>
      <c r="KW63" s="388">
        <v>0</v>
      </c>
      <c r="KX63" s="388">
        <v>0</v>
      </c>
      <c r="KY63" s="388">
        <f t="shared" si="459"/>
        <v>0</v>
      </c>
      <c r="KZ63" s="388">
        <v>0</v>
      </c>
      <c r="LA63" s="388">
        <v>0</v>
      </c>
      <c r="LB63" s="388">
        <f t="shared" si="460"/>
        <v>0</v>
      </c>
      <c r="LC63" s="388">
        <v>0</v>
      </c>
      <c r="LD63" s="388">
        <v>0</v>
      </c>
      <c r="LE63" s="388">
        <f t="shared" si="461"/>
        <v>0</v>
      </c>
      <c r="LF63" s="388">
        <v>0</v>
      </c>
      <c r="LG63" s="388">
        <v>0</v>
      </c>
      <c r="LH63" s="388">
        <f t="shared" si="462"/>
        <v>0</v>
      </c>
      <c r="LI63" s="388">
        <v>0</v>
      </c>
      <c r="LJ63" s="388">
        <v>0</v>
      </c>
      <c r="LK63" s="388">
        <f t="shared" si="463"/>
        <v>0</v>
      </c>
      <c r="LL63" s="388">
        <v>0</v>
      </c>
      <c r="LM63" s="388">
        <v>0</v>
      </c>
      <c r="LN63" s="388">
        <f t="shared" si="464"/>
        <v>0</v>
      </c>
      <c r="LO63" s="388">
        <v>0</v>
      </c>
      <c r="LP63" s="388">
        <v>0</v>
      </c>
      <c r="LQ63" s="388">
        <f t="shared" si="465"/>
        <v>0</v>
      </c>
      <c r="LR63" s="388">
        <v>0</v>
      </c>
      <c r="LS63" s="388">
        <v>0</v>
      </c>
      <c r="LT63" s="388">
        <f t="shared" si="466"/>
        <v>0</v>
      </c>
      <c r="LU63" s="388">
        <v>0</v>
      </c>
      <c r="LV63" s="388">
        <v>0</v>
      </c>
      <c r="LW63" s="388">
        <f t="shared" si="467"/>
        <v>0</v>
      </c>
      <c r="LX63" s="388">
        <v>0</v>
      </c>
      <c r="LY63" s="388">
        <v>0</v>
      </c>
      <c r="LZ63" s="388">
        <f t="shared" si="468"/>
        <v>0</v>
      </c>
      <c r="MA63" s="388">
        <v>0</v>
      </c>
      <c r="MB63" s="388">
        <v>0</v>
      </c>
      <c r="MC63" s="388">
        <f t="shared" si="469"/>
        <v>0</v>
      </c>
      <c r="MD63" s="388">
        <v>0</v>
      </c>
      <c r="ME63" s="388">
        <v>0</v>
      </c>
      <c r="MF63" s="388">
        <f t="shared" si="470"/>
        <v>0</v>
      </c>
      <c r="MG63" s="388">
        <v>0</v>
      </c>
      <c r="MH63" s="388">
        <v>0</v>
      </c>
      <c r="MI63" s="388">
        <f t="shared" si="471"/>
        <v>0</v>
      </c>
      <c r="MJ63" s="388">
        <v>0</v>
      </c>
      <c r="MK63" s="388">
        <v>0</v>
      </c>
      <c r="ML63" s="388">
        <f t="shared" si="472"/>
        <v>0</v>
      </c>
      <c r="MM63" s="388">
        <v>0</v>
      </c>
      <c r="MN63" s="388">
        <v>0</v>
      </c>
      <c r="MO63" s="388">
        <f t="shared" si="473"/>
        <v>0</v>
      </c>
      <c r="MP63" s="388">
        <v>0</v>
      </c>
      <c r="MQ63" s="388">
        <v>0</v>
      </c>
      <c r="MR63" s="388">
        <f t="shared" si="474"/>
        <v>0</v>
      </c>
      <c r="MS63" s="388">
        <v>0</v>
      </c>
      <c r="MT63" s="388">
        <v>0</v>
      </c>
      <c r="MU63" s="388">
        <f t="shared" si="475"/>
        <v>0</v>
      </c>
      <c r="MV63" s="388">
        <v>0</v>
      </c>
      <c r="MW63" s="388">
        <v>0</v>
      </c>
      <c r="MX63" s="388">
        <f t="shared" si="476"/>
        <v>0</v>
      </c>
      <c r="MY63" s="388">
        <v>0</v>
      </c>
      <c r="MZ63" s="388">
        <v>0</v>
      </c>
      <c r="NA63" s="562">
        <f t="shared" si="477"/>
        <v>0</v>
      </c>
      <c r="NB63" s="388">
        <v>0</v>
      </c>
      <c r="NC63" s="388">
        <v>0</v>
      </c>
      <c r="ND63" s="560">
        <f t="shared" si="478"/>
        <v>0</v>
      </c>
      <c r="NE63" s="559">
        <f>SUM(C63,F63,I63,L63,O63,R63,U63,X63,AA63,AD63,AG63,AJ63,AM63,AP63,AS63,AV63,AY63,BB63,BE63,BH63,BK63,BN63,BQ63,BT63,BW63,BZ63,CC63,CF63,CI63,CL63,CO63,CR63,CU63,CX63,DA63,DD63,DG63,DJ63,DM63,DP63,DS63,DV63,DY63,EB63,EE63,EH63,EK63,EN63,EQ63,ET63,EW63,EZ63,FC63,FF63,FI63,FL63,FO63,FR63,FU63,FX63,GA63,GD63,GG63,GJ63,GM63,GP63,GS63,GV63,GY63,HB63,HE63,HH63,HK63,HN63,HQ63,HT63,HW63,HZ63,IC63,IF63,II63,IL63,IO63,IR63,IU63,IX63,JA63,JD63,JG63,JJ63,JM63,JP63,JS63,JV63,JY63,KB63,KE63,KH63,KK63,KN63,KQ63,KT63,KW63,KZ63,LC63,LF63,LI63,LL63,LO63,LR63,LU63,LX63,MA63,MD63,MG63,MJ63,MM63,MP63,MS63,MV63,MY63)</f>
        <v>15990</v>
      </c>
      <c r="NF63" s="388">
        <f>SUM(D63,G63,J63,M63,P63,S63,V63,Y63,AB63,AE63,AH63,AK63,AN63,AQ63,AT63,AW63,AZ63,BC63,BF63,BI63,BL63,BO63,BR63,BU63,BX63,CA63,CD63,CG63,CJ63,CM63,CP63,CS63,CV63,CY63,DB63,DE63,DH63,DK63,DN63,DQ63,DT63,DW63,DZ63,EC63,EF63,EI63,EL63,EO63,ER63,EU63,EX63,FA63,FD63,FG63,FJ63,FM63,FP63,FS63,FV63,FY63,GB63,GE63,GH63,GK63,GN63,GQ63,GT63,GW63,GZ63,HC63,HF63,HI63,HL63,HO63,HR63,HU63,HX63,IA63,ID63,IG63,IJ63,IM63,IP63,IS63,IV63,IY63,JB63,JE63,JH63,JK63,JN63,JQ63,JT63,JW63,JZ63,KC63,KF63,KI63,KL63,KO63,KR63,KU63,KX63,LA63,LD63,LG63,LJ63,LM63,LP63,LS63,LV63,LY63,MB63,ME63,MH63,MK63,MN63,MQ63,MT63,MW63,MZ63)</f>
        <v>16349</v>
      </c>
      <c r="NG63" s="560">
        <f t="shared" si="480"/>
        <v>32339</v>
      </c>
      <c r="NH63" s="559">
        <f t="shared" si="481"/>
        <v>1227</v>
      </c>
      <c r="NI63" s="388">
        <f t="shared" si="481"/>
        <v>1154</v>
      </c>
      <c r="NJ63" s="560">
        <f t="shared" si="482"/>
        <v>2381</v>
      </c>
    </row>
    <row r="64" spans="1:374" x14ac:dyDescent="0.3">
      <c r="A64" s="558" t="s">
        <v>307</v>
      </c>
      <c r="B64" s="592" t="s">
        <v>125</v>
      </c>
      <c r="C64" s="561">
        <v>62</v>
      </c>
      <c r="D64" s="388">
        <v>53</v>
      </c>
      <c r="E64" s="388">
        <f t="shared" si="357"/>
        <v>115</v>
      </c>
      <c r="F64" s="388">
        <v>87</v>
      </c>
      <c r="G64" s="388">
        <v>64</v>
      </c>
      <c r="H64" s="388">
        <f t="shared" si="358"/>
        <v>151</v>
      </c>
      <c r="I64" s="388">
        <v>87</v>
      </c>
      <c r="J64" s="388">
        <v>92</v>
      </c>
      <c r="K64" s="388">
        <f t="shared" si="359"/>
        <v>179</v>
      </c>
      <c r="L64" s="388">
        <v>97</v>
      </c>
      <c r="M64" s="388">
        <v>102</v>
      </c>
      <c r="N64" s="388">
        <f t="shared" si="360"/>
        <v>199</v>
      </c>
      <c r="O64" s="388">
        <v>109</v>
      </c>
      <c r="P64" s="388">
        <v>106</v>
      </c>
      <c r="Q64" s="388">
        <f t="shared" si="361"/>
        <v>215</v>
      </c>
      <c r="R64" s="388">
        <v>128</v>
      </c>
      <c r="S64" s="388">
        <v>117</v>
      </c>
      <c r="T64" s="388">
        <f t="shared" si="362"/>
        <v>245</v>
      </c>
      <c r="U64" s="388">
        <v>116</v>
      </c>
      <c r="V64" s="388">
        <v>138</v>
      </c>
      <c r="W64" s="388">
        <f t="shared" si="363"/>
        <v>254</v>
      </c>
      <c r="X64" s="388">
        <v>134</v>
      </c>
      <c r="Y64" s="388">
        <v>148</v>
      </c>
      <c r="Z64" s="388">
        <f t="shared" si="364"/>
        <v>282</v>
      </c>
      <c r="AA64" s="388">
        <v>135</v>
      </c>
      <c r="AB64" s="388">
        <v>131</v>
      </c>
      <c r="AC64" s="388">
        <f t="shared" si="365"/>
        <v>266</v>
      </c>
      <c r="AD64" s="388">
        <v>125</v>
      </c>
      <c r="AE64" s="388">
        <v>122</v>
      </c>
      <c r="AF64" s="388">
        <f t="shared" si="366"/>
        <v>247</v>
      </c>
      <c r="AG64" s="388">
        <v>130</v>
      </c>
      <c r="AH64" s="388">
        <v>137</v>
      </c>
      <c r="AI64" s="388">
        <f t="shared" si="367"/>
        <v>267</v>
      </c>
      <c r="AJ64" s="388">
        <v>139</v>
      </c>
      <c r="AK64" s="388">
        <v>132</v>
      </c>
      <c r="AL64" s="388">
        <f t="shared" si="368"/>
        <v>271</v>
      </c>
      <c r="AM64" s="388">
        <v>149</v>
      </c>
      <c r="AN64" s="388">
        <v>145</v>
      </c>
      <c r="AO64" s="388">
        <f t="shared" si="369"/>
        <v>294</v>
      </c>
      <c r="AP64" s="388">
        <v>135</v>
      </c>
      <c r="AQ64" s="388">
        <v>163</v>
      </c>
      <c r="AR64" s="388">
        <f t="shared" si="370"/>
        <v>298</v>
      </c>
      <c r="AS64" s="388">
        <v>138</v>
      </c>
      <c r="AT64" s="388">
        <v>171</v>
      </c>
      <c r="AU64" s="388">
        <f t="shared" si="371"/>
        <v>309</v>
      </c>
      <c r="AV64" s="388">
        <v>150</v>
      </c>
      <c r="AW64" s="388">
        <v>153</v>
      </c>
      <c r="AX64" s="388">
        <f t="shared" si="372"/>
        <v>303</v>
      </c>
      <c r="AY64" s="388">
        <v>166</v>
      </c>
      <c r="AZ64" s="388">
        <v>157</v>
      </c>
      <c r="BA64" s="388">
        <f t="shared" si="373"/>
        <v>323</v>
      </c>
      <c r="BB64" s="388">
        <v>118</v>
      </c>
      <c r="BC64" s="388">
        <v>135</v>
      </c>
      <c r="BD64" s="388">
        <f t="shared" si="374"/>
        <v>253</v>
      </c>
      <c r="BE64" s="388">
        <v>163</v>
      </c>
      <c r="BF64" s="388">
        <v>143</v>
      </c>
      <c r="BG64" s="388">
        <f t="shared" si="375"/>
        <v>306</v>
      </c>
      <c r="BH64" s="388">
        <v>153</v>
      </c>
      <c r="BI64" s="388">
        <v>170</v>
      </c>
      <c r="BJ64" s="388">
        <f t="shared" si="376"/>
        <v>323</v>
      </c>
      <c r="BK64" s="388">
        <v>131</v>
      </c>
      <c r="BL64" s="388">
        <v>137</v>
      </c>
      <c r="BM64" s="388">
        <f t="shared" si="377"/>
        <v>268</v>
      </c>
      <c r="BN64" s="388">
        <v>148</v>
      </c>
      <c r="BO64" s="388">
        <v>145</v>
      </c>
      <c r="BP64" s="388">
        <f t="shared" si="378"/>
        <v>293</v>
      </c>
      <c r="BQ64" s="388">
        <v>145</v>
      </c>
      <c r="BR64" s="388">
        <v>155</v>
      </c>
      <c r="BS64" s="388">
        <f t="shared" si="379"/>
        <v>300</v>
      </c>
      <c r="BT64" s="388">
        <v>153</v>
      </c>
      <c r="BU64" s="388">
        <v>124</v>
      </c>
      <c r="BV64" s="388">
        <f t="shared" si="380"/>
        <v>277</v>
      </c>
      <c r="BW64" s="388">
        <v>138</v>
      </c>
      <c r="BX64" s="388">
        <v>150</v>
      </c>
      <c r="BY64" s="388">
        <f t="shared" si="381"/>
        <v>288</v>
      </c>
      <c r="BZ64" s="388">
        <v>162</v>
      </c>
      <c r="CA64" s="388">
        <v>136</v>
      </c>
      <c r="CB64" s="388">
        <f t="shared" si="382"/>
        <v>298</v>
      </c>
      <c r="CC64" s="388">
        <v>122</v>
      </c>
      <c r="CD64" s="388">
        <v>142</v>
      </c>
      <c r="CE64" s="388">
        <f t="shared" si="383"/>
        <v>264</v>
      </c>
      <c r="CF64" s="388">
        <v>121</v>
      </c>
      <c r="CG64" s="388">
        <v>124</v>
      </c>
      <c r="CH64" s="388">
        <f t="shared" si="384"/>
        <v>245</v>
      </c>
      <c r="CI64" s="388">
        <v>134</v>
      </c>
      <c r="CJ64" s="388">
        <v>140</v>
      </c>
      <c r="CK64" s="388">
        <f t="shared" si="385"/>
        <v>274</v>
      </c>
      <c r="CL64" s="388">
        <v>118</v>
      </c>
      <c r="CM64" s="388">
        <v>148</v>
      </c>
      <c r="CN64" s="388">
        <f t="shared" si="386"/>
        <v>266</v>
      </c>
      <c r="CO64" s="388">
        <v>137</v>
      </c>
      <c r="CP64" s="388">
        <v>132</v>
      </c>
      <c r="CQ64" s="388">
        <f t="shared" si="387"/>
        <v>269</v>
      </c>
      <c r="CR64" s="388">
        <v>151</v>
      </c>
      <c r="CS64" s="388">
        <v>152</v>
      </c>
      <c r="CT64" s="388">
        <f t="shared" si="388"/>
        <v>303</v>
      </c>
      <c r="CU64" s="388">
        <v>132</v>
      </c>
      <c r="CV64" s="388">
        <v>106</v>
      </c>
      <c r="CW64" s="388">
        <f t="shared" si="389"/>
        <v>238</v>
      </c>
      <c r="CX64" s="388">
        <v>117</v>
      </c>
      <c r="CY64" s="388">
        <v>132</v>
      </c>
      <c r="CZ64" s="388">
        <f t="shared" si="390"/>
        <v>249</v>
      </c>
      <c r="DA64" s="388">
        <v>99</v>
      </c>
      <c r="DB64" s="388">
        <v>125</v>
      </c>
      <c r="DC64" s="388">
        <f t="shared" si="391"/>
        <v>224</v>
      </c>
      <c r="DD64" s="388">
        <v>112</v>
      </c>
      <c r="DE64" s="388">
        <v>117</v>
      </c>
      <c r="DF64" s="388">
        <f t="shared" si="392"/>
        <v>229</v>
      </c>
      <c r="DG64" s="388">
        <v>109</v>
      </c>
      <c r="DH64" s="388">
        <v>126</v>
      </c>
      <c r="DI64" s="388">
        <f t="shared" si="393"/>
        <v>235</v>
      </c>
      <c r="DJ64" s="388">
        <v>98</v>
      </c>
      <c r="DK64" s="388">
        <v>110</v>
      </c>
      <c r="DL64" s="388">
        <f t="shared" si="394"/>
        <v>208</v>
      </c>
      <c r="DM64" s="388">
        <v>102</v>
      </c>
      <c r="DN64" s="388">
        <v>135</v>
      </c>
      <c r="DO64" s="388">
        <f t="shared" si="395"/>
        <v>237</v>
      </c>
      <c r="DP64" s="388">
        <v>107</v>
      </c>
      <c r="DQ64" s="388">
        <v>106</v>
      </c>
      <c r="DR64" s="388">
        <f t="shared" si="396"/>
        <v>213</v>
      </c>
      <c r="DS64" s="388">
        <v>126</v>
      </c>
      <c r="DT64" s="388">
        <v>145</v>
      </c>
      <c r="DU64" s="388">
        <f t="shared" si="397"/>
        <v>271</v>
      </c>
      <c r="DV64" s="388">
        <v>96</v>
      </c>
      <c r="DW64" s="388">
        <v>119</v>
      </c>
      <c r="DX64" s="388">
        <f t="shared" si="398"/>
        <v>215</v>
      </c>
      <c r="DY64" s="388">
        <v>113</v>
      </c>
      <c r="DZ64" s="388">
        <v>146</v>
      </c>
      <c r="EA64" s="388">
        <f t="shared" si="399"/>
        <v>259</v>
      </c>
      <c r="EB64" s="388">
        <v>133</v>
      </c>
      <c r="EC64" s="388">
        <v>167</v>
      </c>
      <c r="ED64" s="388">
        <f t="shared" si="400"/>
        <v>300</v>
      </c>
      <c r="EE64" s="388">
        <v>135</v>
      </c>
      <c r="EF64" s="388">
        <v>146</v>
      </c>
      <c r="EG64" s="388">
        <f t="shared" si="401"/>
        <v>281</v>
      </c>
      <c r="EH64" s="388">
        <v>115</v>
      </c>
      <c r="EI64" s="388">
        <v>163</v>
      </c>
      <c r="EJ64" s="388">
        <f t="shared" si="402"/>
        <v>278</v>
      </c>
      <c r="EK64" s="388">
        <v>145</v>
      </c>
      <c r="EL64" s="388">
        <v>157</v>
      </c>
      <c r="EM64" s="388">
        <f t="shared" si="403"/>
        <v>302</v>
      </c>
      <c r="EN64" s="388">
        <v>165</v>
      </c>
      <c r="EO64" s="388">
        <v>166</v>
      </c>
      <c r="EP64" s="388">
        <f t="shared" si="404"/>
        <v>331</v>
      </c>
      <c r="EQ64" s="388">
        <v>131</v>
      </c>
      <c r="ER64" s="388">
        <v>151</v>
      </c>
      <c r="ES64" s="388">
        <f t="shared" si="405"/>
        <v>282</v>
      </c>
      <c r="ET64" s="388">
        <v>158</v>
      </c>
      <c r="EU64" s="388">
        <v>146</v>
      </c>
      <c r="EV64" s="388">
        <f t="shared" si="406"/>
        <v>304</v>
      </c>
      <c r="EW64" s="388">
        <v>142</v>
      </c>
      <c r="EX64" s="388">
        <v>157</v>
      </c>
      <c r="EY64" s="388">
        <f t="shared" si="407"/>
        <v>299</v>
      </c>
      <c r="EZ64" s="388">
        <v>161</v>
      </c>
      <c r="FA64" s="388">
        <v>146</v>
      </c>
      <c r="FB64" s="388">
        <f t="shared" si="408"/>
        <v>307</v>
      </c>
      <c r="FC64" s="388">
        <v>111</v>
      </c>
      <c r="FD64" s="388">
        <v>135</v>
      </c>
      <c r="FE64" s="388">
        <f t="shared" si="409"/>
        <v>246</v>
      </c>
      <c r="FF64" s="388">
        <v>105</v>
      </c>
      <c r="FG64" s="388">
        <v>145</v>
      </c>
      <c r="FH64" s="388">
        <f t="shared" si="410"/>
        <v>250</v>
      </c>
      <c r="FI64" s="388">
        <v>139</v>
      </c>
      <c r="FJ64" s="388">
        <v>135</v>
      </c>
      <c r="FK64" s="388">
        <f t="shared" si="411"/>
        <v>274</v>
      </c>
      <c r="FL64" s="388">
        <v>118</v>
      </c>
      <c r="FM64" s="388">
        <v>109</v>
      </c>
      <c r="FN64" s="388">
        <f t="shared" si="412"/>
        <v>227</v>
      </c>
      <c r="FO64" s="388">
        <v>117</v>
      </c>
      <c r="FP64" s="388">
        <v>121</v>
      </c>
      <c r="FQ64" s="388">
        <f t="shared" si="413"/>
        <v>238</v>
      </c>
      <c r="FR64" s="388">
        <v>96</v>
      </c>
      <c r="FS64" s="388">
        <v>105</v>
      </c>
      <c r="FT64" s="388">
        <f t="shared" si="414"/>
        <v>201</v>
      </c>
      <c r="FU64" s="388">
        <v>98</v>
      </c>
      <c r="FV64" s="388">
        <v>91</v>
      </c>
      <c r="FW64" s="388">
        <f t="shared" si="415"/>
        <v>189</v>
      </c>
      <c r="FX64" s="388">
        <v>90</v>
      </c>
      <c r="FY64" s="388">
        <v>102</v>
      </c>
      <c r="FZ64" s="388">
        <f t="shared" si="416"/>
        <v>192</v>
      </c>
      <c r="GA64" s="388">
        <v>82</v>
      </c>
      <c r="GB64" s="388">
        <v>68</v>
      </c>
      <c r="GC64" s="388">
        <f t="shared" si="417"/>
        <v>150</v>
      </c>
      <c r="GD64" s="388">
        <v>91</v>
      </c>
      <c r="GE64" s="388">
        <v>75</v>
      </c>
      <c r="GF64" s="388">
        <f t="shared" si="418"/>
        <v>166</v>
      </c>
      <c r="GG64" s="388">
        <v>66</v>
      </c>
      <c r="GH64" s="388">
        <v>61</v>
      </c>
      <c r="GI64" s="388">
        <f t="shared" si="419"/>
        <v>127</v>
      </c>
      <c r="GJ64" s="388">
        <v>49</v>
      </c>
      <c r="GK64" s="388">
        <v>56</v>
      </c>
      <c r="GL64" s="388">
        <f t="shared" si="420"/>
        <v>105</v>
      </c>
      <c r="GM64" s="388">
        <v>54</v>
      </c>
      <c r="GN64" s="388">
        <v>53</v>
      </c>
      <c r="GO64" s="388">
        <f t="shared" si="421"/>
        <v>107</v>
      </c>
      <c r="GP64" s="388">
        <v>38</v>
      </c>
      <c r="GQ64" s="388">
        <v>59</v>
      </c>
      <c r="GR64" s="388">
        <f t="shared" si="422"/>
        <v>97</v>
      </c>
      <c r="GS64" s="388">
        <v>58</v>
      </c>
      <c r="GT64" s="388">
        <v>46</v>
      </c>
      <c r="GU64" s="388">
        <f t="shared" si="423"/>
        <v>104</v>
      </c>
      <c r="GV64" s="388">
        <v>39</v>
      </c>
      <c r="GW64" s="388">
        <v>40</v>
      </c>
      <c r="GX64" s="388">
        <f t="shared" si="424"/>
        <v>79</v>
      </c>
      <c r="GY64" s="388">
        <v>35</v>
      </c>
      <c r="GZ64" s="388">
        <v>43</v>
      </c>
      <c r="HA64" s="388">
        <f t="shared" si="425"/>
        <v>78</v>
      </c>
      <c r="HB64" s="388">
        <v>32</v>
      </c>
      <c r="HC64" s="388">
        <v>36</v>
      </c>
      <c r="HD64" s="388">
        <f t="shared" si="426"/>
        <v>68</v>
      </c>
      <c r="HE64" s="388">
        <v>25</v>
      </c>
      <c r="HF64" s="388">
        <v>28</v>
      </c>
      <c r="HG64" s="388">
        <f t="shared" si="427"/>
        <v>53</v>
      </c>
      <c r="HH64" s="388">
        <v>30</v>
      </c>
      <c r="HI64" s="388">
        <v>27</v>
      </c>
      <c r="HJ64" s="388">
        <f t="shared" si="428"/>
        <v>57</v>
      </c>
      <c r="HK64" s="388">
        <v>29</v>
      </c>
      <c r="HL64" s="388">
        <v>30</v>
      </c>
      <c r="HM64" s="388">
        <f t="shared" si="429"/>
        <v>59</v>
      </c>
      <c r="HN64" s="388">
        <v>27</v>
      </c>
      <c r="HO64" s="388">
        <v>22</v>
      </c>
      <c r="HP64" s="388">
        <f t="shared" si="430"/>
        <v>49</v>
      </c>
      <c r="HQ64" s="388">
        <v>18</v>
      </c>
      <c r="HR64" s="388">
        <v>27</v>
      </c>
      <c r="HS64" s="388">
        <f t="shared" si="431"/>
        <v>45</v>
      </c>
      <c r="HT64" s="388">
        <v>15</v>
      </c>
      <c r="HU64" s="388">
        <v>27</v>
      </c>
      <c r="HV64" s="388">
        <f t="shared" si="432"/>
        <v>42</v>
      </c>
      <c r="HW64" s="388">
        <v>8</v>
      </c>
      <c r="HX64" s="388">
        <v>22</v>
      </c>
      <c r="HY64" s="388">
        <f t="shared" si="433"/>
        <v>30</v>
      </c>
      <c r="HZ64" s="388">
        <v>12</v>
      </c>
      <c r="IA64" s="388">
        <v>15</v>
      </c>
      <c r="IB64" s="388">
        <f t="shared" si="434"/>
        <v>27</v>
      </c>
      <c r="IC64" s="388">
        <v>7</v>
      </c>
      <c r="ID64" s="388">
        <v>23</v>
      </c>
      <c r="IE64" s="388">
        <f t="shared" si="435"/>
        <v>30</v>
      </c>
      <c r="IF64" s="388">
        <v>8</v>
      </c>
      <c r="IG64" s="388">
        <v>17</v>
      </c>
      <c r="IH64" s="388">
        <f t="shared" si="436"/>
        <v>25</v>
      </c>
      <c r="II64" s="388">
        <v>8</v>
      </c>
      <c r="IJ64" s="388">
        <v>12</v>
      </c>
      <c r="IK64" s="388">
        <f t="shared" si="437"/>
        <v>20</v>
      </c>
      <c r="IL64" s="388">
        <v>9</v>
      </c>
      <c r="IM64" s="388">
        <v>12</v>
      </c>
      <c r="IN64" s="388">
        <f t="shared" si="438"/>
        <v>21</v>
      </c>
      <c r="IO64" s="388">
        <v>7</v>
      </c>
      <c r="IP64" s="388">
        <v>10</v>
      </c>
      <c r="IQ64" s="388">
        <f t="shared" si="439"/>
        <v>17</v>
      </c>
      <c r="IR64" s="388">
        <v>8</v>
      </c>
      <c r="IS64" s="388">
        <v>15</v>
      </c>
      <c r="IT64" s="388">
        <f t="shared" si="440"/>
        <v>23</v>
      </c>
      <c r="IU64" s="388">
        <v>6</v>
      </c>
      <c r="IV64" s="388">
        <v>7</v>
      </c>
      <c r="IW64" s="388">
        <f t="shared" si="441"/>
        <v>13</v>
      </c>
      <c r="IX64" s="388">
        <v>3</v>
      </c>
      <c r="IY64" s="388">
        <v>5</v>
      </c>
      <c r="IZ64" s="388">
        <f t="shared" si="442"/>
        <v>8</v>
      </c>
      <c r="JA64" s="388">
        <v>0</v>
      </c>
      <c r="JB64" s="388">
        <v>8</v>
      </c>
      <c r="JC64" s="388">
        <f t="shared" si="443"/>
        <v>8</v>
      </c>
      <c r="JD64" s="388">
        <v>2</v>
      </c>
      <c r="JE64" s="388">
        <v>9</v>
      </c>
      <c r="JF64" s="388">
        <f t="shared" si="444"/>
        <v>11</v>
      </c>
      <c r="JG64" s="388">
        <v>1</v>
      </c>
      <c r="JH64" s="388">
        <v>5</v>
      </c>
      <c r="JI64" s="388">
        <f t="shared" si="445"/>
        <v>6</v>
      </c>
      <c r="JJ64" s="388">
        <v>0</v>
      </c>
      <c r="JK64" s="388">
        <v>3</v>
      </c>
      <c r="JL64" s="388">
        <f t="shared" si="446"/>
        <v>3</v>
      </c>
      <c r="JM64" s="388">
        <v>4</v>
      </c>
      <c r="JN64" s="388">
        <v>3</v>
      </c>
      <c r="JO64" s="388">
        <f t="shared" si="447"/>
        <v>7</v>
      </c>
      <c r="JP64" s="388">
        <v>1</v>
      </c>
      <c r="JQ64" s="388">
        <v>6</v>
      </c>
      <c r="JR64" s="388">
        <f t="shared" si="448"/>
        <v>7</v>
      </c>
      <c r="JS64" s="388">
        <v>0</v>
      </c>
      <c r="JT64" s="388">
        <v>2</v>
      </c>
      <c r="JU64" s="388">
        <f t="shared" si="449"/>
        <v>2</v>
      </c>
      <c r="JV64" s="388">
        <v>1</v>
      </c>
      <c r="JW64" s="388">
        <v>0</v>
      </c>
      <c r="JX64" s="388">
        <f t="shared" si="450"/>
        <v>1</v>
      </c>
      <c r="JY64" s="388">
        <v>1</v>
      </c>
      <c r="JZ64" s="388">
        <v>1</v>
      </c>
      <c r="KA64" s="388">
        <f t="shared" si="451"/>
        <v>2</v>
      </c>
      <c r="KB64" s="388">
        <v>0</v>
      </c>
      <c r="KC64" s="388">
        <v>0</v>
      </c>
      <c r="KD64" s="388">
        <f t="shared" si="452"/>
        <v>0</v>
      </c>
      <c r="KE64" s="388">
        <v>0</v>
      </c>
      <c r="KF64" s="388">
        <v>0</v>
      </c>
      <c r="KG64" s="388">
        <f t="shared" si="453"/>
        <v>0</v>
      </c>
      <c r="KH64" s="388">
        <v>0</v>
      </c>
      <c r="KI64" s="388">
        <v>0</v>
      </c>
      <c r="KJ64" s="388">
        <f t="shared" si="454"/>
        <v>0</v>
      </c>
      <c r="KK64" s="388">
        <v>0</v>
      </c>
      <c r="KL64" s="388">
        <v>0</v>
      </c>
      <c r="KM64" s="388">
        <f t="shared" si="455"/>
        <v>0</v>
      </c>
      <c r="KN64" s="388">
        <v>0</v>
      </c>
      <c r="KO64" s="388">
        <v>0</v>
      </c>
      <c r="KP64" s="388">
        <f t="shared" si="456"/>
        <v>0</v>
      </c>
      <c r="KQ64" s="388">
        <v>0</v>
      </c>
      <c r="KR64" s="388">
        <v>0</v>
      </c>
      <c r="KS64" s="388">
        <f t="shared" si="457"/>
        <v>0</v>
      </c>
      <c r="KT64" s="388">
        <v>0</v>
      </c>
      <c r="KU64" s="388">
        <v>2</v>
      </c>
      <c r="KV64" s="388">
        <f t="shared" si="458"/>
        <v>2</v>
      </c>
      <c r="KW64" s="388">
        <v>0</v>
      </c>
      <c r="KX64" s="388">
        <v>0</v>
      </c>
      <c r="KY64" s="388">
        <f t="shared" si="459"/>
        <v>0</v>
      </c>
      <c r="KZ64" s="388">
        <v>0</v>
      </c>
      <c r="LA64" s="388">
        <v>0</v>
      </c>
      <c r="LB64" s="388">
        <f t="shared" si="460"/>
        <v>0</v>
      </c>
      <c r="LC64" s="388">
        <v>0</v>
      </c>
      <c r="LD64" s="388">
        <v>0</v>
      </c>
      <c r="LE64" s="388">
        <f t="shared" si="461"/>
        <v>0</v>
      </c>
      <c r="LF64" s="388">
        <v>0</v>
      </c>
      <c r="LG64" s="388">
        <v>0</v>
      </c>
      <c r="LH64" s="388">
        <f t="shared" si="462"/>
        <v>0</v>
      </c>
      <c r="LI64" s="388">
        <v>0</v>
      </c>
      <c r="LJ64" s="388">
        <v>0</v>
      </c>
      <c r="LK64" s="388">
        <f t="shared" si="463"/>
        <v>0</v>
      </c>
      <c r="LL64" s="388">
        <v>0</v>
      </c>
      <c r="LM64" s="388">
        <v>0</v>
      </c>
      <c r="LN64" s="388">
        <f t="shared" si="464"/>
        <v>0</v>
      </c>
      <c r="LO64" s="388">
        <v>0</v>
      </c>
      <c r="LP64" s="388">
        <v>0</v>
      </c>
      <c r="LQ64" s="388">
        <f t="shared" si="465"/>
        <v>0</v>
      </c>
      <c r="LR64" s="388">
        <v>0</v>
      </c>
      <c r="LS64" s="388">
        <v>0</v>
      </c>
      <c r="LT64" s="388">
        <f t="shared" si="466"/>
        <v>0</v>
      </c>
      <c r="LU64" s="388">
        <v>0</v>
      </c>
      <c r="LV64" s="388">
        <v>0</v>
      </c>
      <c r="LW64" s="388">
        <f t="shared" si="467"/>
        <v>0</v>
      </c>
      <c r="LX64" s="388">
        <v>0</v>
      </c>
      <c r="LY64" s="388">
        <v>0</v>
      </c>
      <c r="LZ64" s="388">
        <f t="shared" si="468"/>
        <v>0</v>
      </c>
      <c r="MA64" s="388">
        <v>0</v>
      </c>
      <c r="MB64" s="388">
        <v>0</v>
      </c>
      <c r="MC64" s="388">
        <f t="shared" si="469"/>
        <v>0</v>
      </c>
      <c r="MD64" s="388">
        <v>0</v>
      </c>
      <c r="ME64" s="388">
        <v>0</v>
      </c>
      <c r="MF64" s="388">
        <f t="shared" si="470"/>
        <v>0</v>
      </c>
      <c r="MG64" s="388">
        <v>0</v>
      </c>
      <c r="MH64" s="388">
        <v>0</v>
      </c>
      <c r="MI64" s="388">
        <f t="shared" si="471"/>
        <v>0</v>
      </c>
      <c r="MJ64" s="388">
        <v>0</v>
      </c>
      <c r="MK64" s="388">
        <v>0</v>
      </c>
      <c r="ML64" s="388">
        <f t="shared" si="472"/>
        <v>0</v>
      </c>
      <c r="MM64" s="388">
        <v>0</v>
      </c>
      <c r="MN64" s="388">
        <v>0</v>
      </c>
      <c r="MO64" s="388">
        <f t="shared" si="473"/>
        <v>0</v>
      </c>
      <c r="MP64" s="388">
        <v>0</v>
      </c>
      <c r="MQ64" s="388">
        <v>0</v>
      </c>
      <c r="MR64" s="388">
        <f t="shared" si="474"/>
        <v>0</v>
      </c>
      <c r="MS64" s="388">
        <v>0</v>
      </c>
      <c r="MT64" s="388">
        <v>0</v>
      </c>
      <c r="MU64" s="388">
        <f t="shared" si="475"/>
        <v>0</v>
      </c>
      <c r="MV64" s="388">
        <v>0</v>
      </c>
      <c r="MW64" s="388">
        <v>0</v>
      </c>
      <c r="MX64" s="388">
        <f t="shared" si="476"/>
        <v>0</v>
      </c>
      <c r="MY64" s="388">
        <v>0</v>
      </c>
      <c r="MZ64" s="388">
        <v>0</v>
      </c>
      <c r="NA64" s="562">
        <f t="shared" si="477"/>
        <v>0</v>
      </c>
      <c r="NB64" s="388">
        <v>0</v>
      </c>
      <c r="NC64" s="388">
        <v>0</v>
      </c>
      <c r="ND64" s="560">
        <f t="shared" si="478"/>
        <v>0</v>
      </c>
      <c r="NE64" s="559">
        <f t="shared" ref="NE64:NF67" si="490">SUM(C64,F64,I64,L64,O64,R64,U64,X64,AA64,AD64,AG64,AJ64,AM64,AP64,AS64,AV64,AY64,BB64,BE64,BH64,BK64,BN64,BQ64,BT64,BW64,BZ64,CC64,CF64,CI64,CL64,CO64,CR64,CU64,CX64,DA64,DD64,DG64,DJ64,DM64,DP64,DS64,DV64,DY64,EB64,EE64,EH64,EK64,EN64,EQ64,ET64,EW64,EZ64,FC64,FF64,FI64,FL64,FO64,FR64,FU64,FX64,GA64,GD64,GG64,GJ64,GM64,GP64,GS64,GV64,GY64,HB64,HE64,HH64,HK64,HN64,HQ64,HT64,HW64,HZ64,IC64,IF64,II64,IL64,IO64,IR64,IU64,IX64,JA64,JD64,JG64,JJ64,JM64,JP64,JS64,JV64,JY64,KB64,KE64,KH64,KK64,KN64,KQ64,KT64,KW64,KZ64,LC64,LF64,LI64,LL64,LO64,LR64,LU64,LX64,MA64,MD64,MG64,MJ64,MM64,MP64,MS64,MV64,MY64)</f>
        <v>8325</v>
      </c>
      <c r="NF64" s="388">
        <f t="shared" si="490"/>
        <v>8848</v>
      </c>
      <c r="NG64" s="560">
        <f t="shared" si="480"/>
        <v>17173</v>
      </c>
      <c r="NH64" s="559">
        <f t="shared" si="481"/>
        <v>570</v>
      </c>
      <c r="NI64" s="388">
        <f t="shared" si="481"/>
        <v>534</v>
      </c>
      <c r="NJ64" s="560">
        <f t="shared" si="482"/>
        <v>1104</v>
      </c>
    </row>
    <row r="65" spans="1:374" x14ac:dyDescent="0.3">
      <c r="A65" s="558" t="s">
        <v>308</v>
      </c>
      <c r="B65" s="592" t="s">
        <v>127</v>
      </c>
      <c r="C65" s="561">
        <v>134</v>
      </c>
      <c r="D65" s="388">
        <v>118</v>
      </c>
      <c r="E65" s="388">
        <f t="shared" si="357"/>
        <v>252</v>
      </c>
      <c r="F65" s="388">
        <v>169</v>
      </c>
      <c r="G65" s="388">
        <v>151</v>
      </c>
      <c r="H65" s="388">
        <f t="shared" si="358"/>
        <v>320</v>
      </c>
      <c r="I65" s="388">
        <v>199</v>
      </c>
      <c r="J65" s="388">
        <v>192</v>
      </c>
      <c r="K65" s="388">
        <f t="shared" si="359"/>
        <v>391</v>
      </c>
      <c r="L65" s="388">
        <v>192</v>
      </c>
      <c r="M65" s="388">
        <v>212</v>
      </c>
      <c r="N65" s="388">
        <f t="shared" si="360"/>
        <v>404</v>
      </c>
      <c r="O65" s="388">
        <v>195</v>
      </c>
      <c r="P65" s="388">
        <v>200</v>
      </c>
      <c r="Q65" s="388">
        <f t="shared" si="361"/>
        <v>395</v>
      </c>
      <c r="R65" s="388">
        <v>212</v>
      </c>
      <c r="S65" s="388">
        <v>227</v>
      </c>
      <c r="T65" s="388">
        <f t="shared" si="362"/>
        <v>439</v>
      </c>
      <c r="U65" s="388">
        <v>260</v>
      </c>
      <c r="V65" s="388">
        <v>252</v>
      </c>
      <c r="W65" s="388">
        <f t="shared" si="363"/>
        <v>512</v>
      </c>
      <c r="X65" s="388">
        <v>252</v>
      </c>
      <c r="Y65" s="388">
        <v>246</v>
      </c>
      <c r="Z65" s="388">
        <f t="shared" si="364"/>
        <v>498</v>
      </c>
      <c r="AA65" s="388">
        <v>273</v>
      </c>
      <c r="AB65" s="388">
        <v>241</v>
      </c>
      <c r="AC65" s="388">
        <f t="shared" si="365"/>
        <v>514</v>
      </c>
      <c r="AD65" s="388">
        <v>247</v>
      </c>
      <c r="AE65" s="388">
        <v>243</v>
      </c>
      <c r="AF65" s="388">
        <f t="shared" si="366"/>
        <v>490</v>
      </c>
      <c r="AG65" s="388">
        <v>255</v>
      </c>
      <c r="AH65" s="388">
        <v>243</v>
      </c>
      <c r="AI65" s="388">
        <f t="shared" si="367"/>
        <v>498</v>
      </c>
      <c r="AJ65" s="388">
        <v>253</v>
      </c>
      <c r="AK65" s="388">
        <v>232</v>
      </c>
      <c r="AL65" s="388">
        <f t="shared" si="368"/>
        <v>485</v>
      </c>
      <c r="AM65" s="388">
        <v>258</v>
      </c>
      <c r="AN65" s="388">
        <v>281</v>
      </c>
      <c r="AO65" s="388">
        <f t="shared" si="369"/>
        <v>539</v>
      </c>
      <c r="AP65" s="388">
        <v>282</v>
      </c>
      <c r="AQ65" s="388">
        <v>246</v>
      </c>
      <c r="AR65" s="388">
        <f t="shared" si="370"/>
        <v>528</v>
      </c>
      <c r="AS65" s="388">
        <v>274</v>
      </c>
      <c r="AT65" s="388">
        <v>253</v>
      </c>
      <c r="AU65" s="388">
        <f t="shared" si="371"/>
        <v>527</v>
      </c>
      <c r="AV65" s="388">
        <v>305</v>
      </c>
      <c r="AW65" s="388">
        <v>267</v>
      </c>
      <c r="AX65" s="388">
        <f t="shared" si="372"/>
        <v>572</v>
      </c>
      <c r="AY65" s="388">
        <v>256</v>
      </c>
      <c r="AZ65" s="388">
        <v>253</v>
      </c>
      <c r="BA65" s="388">
        <f t="shared" si="373"/>
        <v>509</v>
      </c>
      <c r="BB65" s="388">
        <v>246</v>
      </c>
      <c r="BC65" s="388">
        <v>231</v>
      </c>
      <c r="BD65" s="388">
        <f t="shared" si="374"/>
        <v>477</v>
      </c>
      <c r="BE65" s="388">
        <v>269</v>
      </c>
      <c r="BF65" s="388">
        <v>259</v>
      </c>
      <c r="BG65" s="388">
        <f t="shared" si="375"/>
        <v>528</v>
      </c>
      <c r="BH65" s="388">
        <v>296</v>
      </c>
      <c r="BI65" s="388">
        <v>267</v>
      </c>
      <c r="BJ65" s="388">
        <f t="shared" si="376"/>
        <v>563</v>
      </c>
      <c r="BK65" s="388">
        <v>274</v>
      </c>
      <c r="BL65" s="388">
        <v>243</v>
      </c>
      <c r="BM65" s="388">
        <f t="shared" si="377"/>
        <v>517</v>
      </c>
      <c r="BN65" s="388">
        <v>258</v>
      </c>
      <c r="BO65" s="388">
        <v>233</v>
      </c>
      <c r="BP65" s="388">
        <f t="shared" si="378"/>
        <v>491</v>
      </c>
      <c r="BQ65" s="388">
        <v>287</v>
      </c>
      <c r="BR65" s="388">
        <v>279</v>
      </c>
      <c r="BS65" s="388">
        <f t="shared" si="379"/>
        <v>566</v>
      </c>
      <c r="BT65" s="388">
        <v>273</v>
      </c>
      <c r="BU65" s="388">
        <v>289</v>
      </c>
      <c r="BV65" s="388">
        <f t="shared" si="380"/>
        <v>562</v>
      </c>
      <c r="BW65" s="388">
        <v>277</v>
      </c>
      <c r="BX65" s="388">
        <v>244</v>
      </c>
      <c r="BY65" s="388">
        <f t="shared" si="381"/>
        <v>521</v>
      </c>
      <c r="BZ65" s="388">
        <v>275</v>
      </c>
      <c r="CA65" s="388">
        <v>290</v>
      </c>
      <c r="CB65" s="388">
        <f t="shared" si="382"/>
        <v>565</v>
      </c>
      <c r="CC65" s="388">
        <v>256</v>
      </c>
      <c r="CD65" s="388">
        <v>242</v>
      </c>
      <c r="CE65" s="388">
        <f t="shared" si="383"/>
        <v>498</v>
      </c>
      <c r="CF65" s="388">
        <v>225</v>
      </c>
      <c r="CG65" s="388">
        <v>198</v>
      </c>
      <c r="CH65" s="388">
        <f t="shared" si="384"/>
        <v>423</v>
      </c>
      <c r="CI65" s="388">
        <v>266</v>
      </c>
      <c r="CJ65" s="388">
        <v>226</v>
      </c>
      <c r="CK65" s="388">
        <f t="shared" si="385"/>
        <v>492</v>
      </c>
      <c r="CL65" s="388">
        <v>247</v>
      </c>
      <c r="CM65" s="388">
        <v>278</v>
      </c>
      <c r="CN65" s="388">
        <f t="shared" si="386"/>
        <v>525</v>
      </c>
      <c r="CO65" s="388">
        <v>238</v>
      </c>
      <c r="CP65" s="388">
        <v>222</v>
      </c>
      <c r="CQ65" s="388">
        <f t="shared" si="387"/>
        <v>460</v>
      </c>
      <c r="CR65" s="388">
        <v>214</v>
      </c>
      <c r="CS65" s="388">
        <v>264</v>
      </c>
      <c r="CT65" s="388">
        <f t="shared" si="388"/>
        <v>478</v>
      </c>
      <c r="CU65" s="388">
        <v>209</v>
      </c>
      <c r="CV65" s="388">
        <v>226</v>
      </c>
      <c r="CW65" s="388">
        <f t="shared" si="389"/>
        <v>435</v>
      </c>
      <c r="CX65" s="388">
        <v>209</v>
      </c>
      <c r="CY65" s="388">
        <v>247</v>
      </c>
      <c r="CZ65" s="388">
        <f t="shared" si="390"/>
        <v>456</v>
      </c>
      <c r="DA65" s="388">
        <v>200</v>
      </c>
      <c r="DB65" s="388">
        <v>251</v>
      </c>
      <c r="DC65" s="388">
        <f t="shared" si="391"/>
        <v>451</v>
      </c>
      <c r="DD65" s="388">
        <v>225</v>
      </c>
      <c r="DE65" s="388">
        <v>232</v>
      </c>
      <c r="DF65" s="388">
        <f t="shared" si="392"/>
        <v>457</v>
      </c>
      <c r="DG65" s="388">
        <v>199</v>
      </c>
      <c r="DH65" s="388">
        <v>243</v>
      </c>
      <c r="DI65" s="388">
        <f t="shared" si="393"/>
        <v>442</v>
      </c>
      <c r="DJ65" s="388">
        <v>183</v>
      </c>
      <c r="DK65" s="388">
        <v>186</v>
      </c>
      <c r="DL65" s="388">
        <f t="shared" si="394"/>
        <v>369</v>
      </c>
      <c r="DM65" s="388">
        <v>184</v>
      </c>
      <c r="DN65" s="388">
        <v>173</v>
      </c>
      <c r="DO65" s="388">
        <f t="shared" si="395"/>
        <v>357</v>
      </c>
      <c r="DP65" s="388">
        <v>213</v>
      </c>
      <c r="DQ65" s="388">
        <v>191</v>
      </c>
      <c r="DR65" s="388">
        <f t="shared" si="396"/>
        <v>404</v>
      </c>
      <c r="DS65" s="388">
        <v>220</v>
      </c>
      <c r="DT65" s="388">
        <v>230</v>
      </c>
      <c r="DU65" s="388">
        <f t="shared" si="397"/>
        <v>450</v>
      </c>
      <c r="DV65" s="388">
        <v>229</v>
      </c>
      <c r="DW65" s="388">
        <v>230</v>
      </c>
      <c r="DX65" s="388">
        <f t="shared" si="398"/>
        <v>459</v>
      </c>
      <c r="DY65" s="388">
        <v>234</v>
      </c>
      <c r="DZ65" s="388">
        <v>248</v>
      </c>
      <c r="EA65" s="388">
        <f t="shared" si="399"/>
        <v>482</v>
      </c>
      <c r="EB65" s="388">
        <v>258</v>
      </c>
      <c r="EC65" s="388">
        <v>265</v>
      </c>
      <c r="ED65" s="388">
        <f t="shared" si="400"/>
        <v>523</v>
      </c>
      <c r="EE65" s="388">
        <v>242</v>
      </c>
      <c r="EF65" s="388">
        <v>269</v>
      </c>
      <c r="EG65" s="388">
        <f t="shared" si="401"/>
        <v>511</v>
      </c>
      <c r="EH65" s="388">
        <v>245</v>
      </c>
      <c r="EI65" s="388">
        <v>269</v>
      </c>
      <c r="EJ65" s="388">
        <f t="shared" si="402"/>
        <v>514</v>
      </c>
      <c r="EK65" s="388">
        <v>235</v>
      </c>
      <c r="EL65" s="388">
        <v>230</v>
      </c>
      <c r="EM65" s="388">
        <f t="shared" si="403"/>
        <v>465</v>
      </c>
      <c r="EN65" s="388">
        <v>230</v>
      </c>
      <c r="EO65" s="388">
        <v>253</v>
      </c>
      <c r="EP65" s="388">
        <f t="shared" si="404"/>
        <v>483</v>
      </c>
      <c r="EQ65" s="388">
        <v>221</v>
      </c>
      <c r="ER65" s="388">
        <v>268</v>
      </c>
      <c r="ES65" s="388">
        <f t="shared" si="405"/>
        <v>489</v>
      </c>
      <c r="ET65" s="388">
        <v>203</v>
      </c>
      <c r="EU65" s="388">
        <v>244</v>
      </c>
      <c r="EV65" s="388">
        <f t="shared" si="406"/>
        <v>447</v>
      </c>
      <c r="EW65" s="388">
        <v>235</v>
      </c>
      <c r="EX65" s="388">
        <v>251</v>
      </c>
      <c r="EY65" s="388">
        <f t="shared" si="407"/>
        <v>486</v>
      </c>
      <c r="EZ65" s="388">
        <v>229</v>
      </c>
      <c r="FA65" s="388">
        <v>226</v>
      </c>
      <c r="FB65" s="388">
        <f t="shared" si="408"/>
        <v>455</v>
      </c>
      <c r="FC65" s="388">
        <v>207</v>
      </c>
      <c r="FD65" s="388">
        <v>197</v>
      </c>
      <c r="FE65" s="388">
        <f t="shared" si="409"/>
        <v>404</v>
      </c>
      <c r="FF65" s="388">
        <v>197</v>
      </c>
      <c r="FG65" s="388">
        <v>252</v>
      </c>
      <c r="FH65" s="388">
        <f t="shared" si="410"/>
        <v>449</v>
      </c>
      <c r="FI65" s="388">
        <v>209</v>
      </c>
      <c r="FJ65" s="388">
        <v>206</v>
      </c>
      <c r="FK65" s="388">
        <f t="shared" si="411"/>
        <v>415</v>
      </c>
      <c r="FL65" s="388">
        <v>227</v>
      </c>
      <c r="FM65" s="388">
        <v>202</v>
      </c>
      <c r="FN65" s="388">
        <f t="shared" si="412"/>
        <v>429</v>
      </c>
      <c r="FO65" s="388">
        <v>199</v>
      </c>
      <c r="FP65" s="388">
        <v>230</v>
      </c>
      <c r="FQ65" s="388">
        <f t="shared" si="413"/>
        <v>429</v>
      </c>
      <c r="FR65" s="388">
        <v>195</v>
      </c>
      <c r="FS65" s="388">
        <v>179</v>
      </c>
      <c r="FT65" s="388">
        <f t="shared" si="414"/>
        <v>374</v>
      </c>
      <c r="FU65" s="388">
        <v>170</v>
      </c>
      <c r="FV65" s="388">
        <v>134</v>
      </c>
      <c r="FW65" s="388">
        <f t="shared" si="415"/>
        <v>304</v>
      </c>
      <c r="FX65" s="388">
        <v>155</v>
      </c>
      <c r="FY65" s="388">
        <v>133</v>
      </c>
      <c r="FZ65" s="388">
        <f t="shared" si="416"/>
        <v>288</v>
      </c>
      <c r="GA65" s="388">
        <v>146</v>
      </c>
      <c r="GB65" s="388">
        <v>139</v>
      </c>
      <c r="GC65" s="388">
        <f t="shared" si="417"/>
        <v>285</v>
      </c>
      <c r="GD65" s="388">
        <v>130</v>
      </c>
      <c r="GE65" s="388">
        <v>124</v>
      </c>
      <c r="GF65" s="388">
        <f t="shared" si="418"/>
        <v>254</v>
      </c>
      <c r="GG65" s="388">
        <v>112</v>
      </c>
      <c r="GH65" s="388">
        <v>103</v>
      </c>
      <c r="GI65" s="388">
        <f t="shared" si="419"/>
        <v>215</v>
      </c>
      <c r="GJ65" s="388">
        <v>110</v>
      </c>
      <c r="GK65" s="388">
        <v>86</v>
      </c>
      <c r="GL65" s="388">
        <f t="shared" si="420"/>
        <v>196</v>
      </c>
      <c r="GM65" s="388">
        <v>102</v>
      </c>
      <c r="GN65" s="388">
        <v>85</v>
      </c>
      <c r="GO65" s="388">
        <f t="shared" si="421"/>
        <v>187</v>
      </c>
      <c r="GP65" s="388">
        <v>71</v>
      </c>
      <c r="GQ65" s="388">
        <v>83</v>
      </c>
      <c r="GR65" s="388">
        <f t="shared" si="422"/>
        <v>154</v>
      </c>
      <c r="GS65" s="388">
        <v>74</v>
      </c>
      <c r="GT65" s="388">
        <v>95</v>
      </c>
      <c r="GU65" s="388">
        <f t="shared" si="423"/>
        <v>169</v>
      </c>
      <c r="GV65" s="388">
        <v>78</v>
      </c>
      <c r="GW65" s="388">
        <v>101</v>
      </c>
      <c r="GX65" s="388">
        <f t="shared" si="424"/>
        <v>179</v>
      </c>
      <c r="GY65" s="388">
        <v>70</v>
      </c>
      <c r="GZ65" s="388">
        <v>68</v>
      </c>
      <c r="HA65" s="388">
        <f t="shared" si="425"/>
        <v>138</v>
      </c>
      <c r="HB65" s="388">
        <v>42</v>
      </c>
      <c r="HC65" s="388">
        <v>61</v>
      </c>
      <c r="HD65" s="388">
        <f t="shared" si="426"/>
        <v>103</v>
      </c>
      <c r="HE65" s="388">
        <v>49</v>
      </c>
      <c r="HF65" s="388">
        <v>54</v>
      </c>
      <c r="HG65" s="388">
        <f t="shared" si="427"/>
        <v>103</v>
      </c>
      <c r="HH65" s="388">
        <v>46</v>
      </c>
      <c r="HI65" s="388">
        <v>48</v>
      </c>
      <c r="HJ65" s="388">
        <f t="shared" si="428"/>
        <v>94</v>
      </c>
      <c r="HK65" s="388">
        <v>45</v>
      </c>
      <c r="HL65" s="388">
        <v>46</v>
      </c>
      <c r="HM65" s="388">
        <f t="shared" si="429"/>
        <v>91</v>
      </c>
      <c r="HN65" s="388">
        <v>27</v>
      </c>
      <c r="HO65" s="388">
        <v>34</v>
      </c>
      <c r="HP65" s="388">
        <f t="shared" si="430"/>
        <v>61</v>
      </c>
      <c r="HQ65" s="388">
        <v>38</v>
      </c>
      <c r="HR65" s="388">
        <v>29</v>
      </c>
      <c r="HS65" s="388">
        <f t="shared" si="431"/>
        <v>67</v>
      </c>
      <c r="HT65" s="388">
        <v>20</v>
      </c>
      <c r="HU65" s="388">
        <v>27</v>
      </c>
      <c r="HV65" s="388">
        <f t="shared" si="432"/>
        <v>47</v>
      </c>
      <c r="HW65" s="388">
        <v>25</v>
      </c>
      <c r="HX65" s="388">
        <v>30</v>
      </c>
      <c r="HY65" s="388">
        <f t="shared" si="433"/>
        <v>55</v>
      </c>
      <c r="HZ65" s="388">
        <v>29</v>
      </c>
      <c r="IA65" s="388">
        <v>29</v>
      </c>
      <c r="IB65" s="388">
        <f t="shared" si="434"/>
        <v>58</v>
      </c>
      <c r="IC65" s="388">
        <v>14</v>
      </c>
      <c r="ID65" s="388">
        <v>16</v>
      </c>
      <c r="IE65" s="388">
        <f t="shared" si="435"/>
        <v>30</v>
      </c>
      <c r="IF65" s="388">
        <v>12</v>
      </c>
      <c r="IG65" s="388">
        <v>17</v>
      </c>
      <c r="IH65" s="388">
        <f t="shared" si="436"/>
        <v>29</v>
      </c>
      <c r="II65" s="388">
        <v>16</v>
      </c>
      <c r="IJ65" s="388">
        <v>15</v>
      </c>
      <c r="IK65" s="388">
        <f t="shared" si="437"/>
        <v>31</v>
      </c>
      <c r="IL65" s="388">
        <v>18</v>
      </c>
      <c r="IM65" s="388">
        <v>12</v>
      </c>
      <c r="IN65" s="388">
        <f t="shared" si="438"/>
        <v>30</v>
      </c>
      <c r="IO65" s="388">
        <v>8</v>
      </c>
      <c r="IP65" s="388">
        <v>8</v>
      </c>
      <c r="IQ65" s="388">
        <f t="shared" si="439"/>
        <v>16</v>
      </c>
      <c r="IR65" s="388">
        <v>8</v>
      </c>
      <c r="IS65" s="388">
        <v>12</v>
      </c>
      <c r="IT65" s="388">
        <f t="shared" si="440"/>
        <v>20</v>
      </c>
      <c r="IU65" s="388">
        <v>9</v>
      </c>
      <c r="IV65" s="388">
        <v>14</v>
      </c>
      <c r="IW65" s="388">
        <f t="shared" si="441"/>
        <v>23</v>
      </c>
      <c r="IX65" s="388">
        <v>5</v>
      </c>
      <c r="IY65" s="388">
        <v>3</v>
      </c>
      <c r="IZ65" s="388">
        <f t="shared" si="442"/>
        <v>8</v>
      </c>
      <c r="JA65" s="388">
        <v>6</v>
      </c>
      <c r="JB65" s="388">
        <v>9</v>
      </c>
      <c r="JC65" s="388">
        <f t="shared" si="443"/>
        <v>15</v>
      </c>
      <c r="JD65" s="388">
        <v>5</v>
      </c>
      <c r="JE65" s="388">
        <v>3</v>
      </c>
      <c r="JF65" s="388">
        <f t="shared" si="444"/>
        <v>8</v>
      </c>
      <c r="JG65" s="388">
        <v>6</v>
      </c>
      <c r="JH65" s="388">
        <v>2</v>
      </c>
      <c r="JI65" s="388">
        <f t="shared" si="445"/>
        <v>8</v>
      </c>
      <c r="JJ65" s="388">
        <v>1</v>
      </c>
      <c r="JK65" s="388">
        <v>2</v>
      </c>
      <c r="JL65" s="388">
        <f t="shared" si="446"/>
        <v>3</v>
      </c>
      <c r="JM65" s="388">
        <v>1</v>
      </c>
      <c r="JN65" s="388">
        <v>4</v>
      </c>
      <c r="JO65" s="388">
        <f t="shared" si="447"/>
        <v>5</v>
      </c>
      <c r="JP65" s="388">
        <v>2</v>
      </c>
      <c r="JQ65" s="388">
        <v>5</v>
      </c>
      <c r="JR65" s="388">
        <f t="shared" si="448"/>
        <v>7</v>
      </c>
      <c r="JS65" s="388">
        <v>0</v>
      </c>
      <c r="JT65" s="388">
        <v>2</v>
      </c>
      <c r="JU65" s="388">
        <f t="shared" si="449"/>
        <v>2</v>
      </c>
      <c r="JV65" s="388">
        <v>2</v>
      </c>
      <c r="JW65" s="388">
        <v>2</v>
      </c>
      <c r="JX65" s="388">
        <f t="shared" si="450"/>
        <v>4</v>
      </c>
      <c r="JY65" s="388">
        <v>0</v>
      </c>
      <c r="JZ65" s="388">
        <v>0</v>
      </c>
      <c r="KA65" s="388">
        <f t="shared" si="451"/>
        <v>0</v>
      </c>
      <c r="KB65" s="388">
        <v>0</v>
      </c>
      <c r="KC65" s="388">
        <v>0</v>
      </c>
      <c r="KD65" s="388">
        <f t="shared" si="452"/>
        <v>0</v>
      </c>
      <c r="KE65" s="388">
        <v>0</v>
      </c>
      <c r="KF65" s="388">
        <v>2</v>
      </c>
      <c r="KG65" s="388">
        <f t="shared" si="453"/>
        <v>2</v>
      </c>
      <c r="KH65" s="388">
        <v>0</v>
      </c>
      <c r="KI65" s="388">
        <v>0</v>
      </c>
      <c r="KJ65" s="388">
        <f t="shared" si="454"/>
        <v>0</v>
      </c>
      <c r="KK65" s="388">
        <v>0</v>
      </c>
      <c r="KL65" s="388">
        <v>1</v>
      </c>
      <c r="KM65" s="388">
        <f t="shared" si="455"/>
        <v>1</v>
      </c>
      <c r="KN65" s="388">
        <v>0</v>
      </c>
      <c r="KO65" s="388">
        <v>0</v>
      </c>
      <c r="KP65" s="388">
        <f t="shared" si="456"/>
        <v>0</v>
      </c>
      <c r="KQ65" s="388">
        <v>0</v>
      </c>
      <c r="KR65" s="388">
        <v>0</v>
      </c>
      <c r="KS65" s="388">
        <f t="shared" si="457"/>
        <v>0</v>
      </c>
      <c r="KT65" s="388">
        <v>0</v>
      </c>
      <c r="KU65" s="388">
        <v>0</v>
      </c>
      <c r="KV65" s="388">
        <f t="shared" si="458"/>
        <v>0</v>
      </c>
      <c r="KW65" s="388">
        <v>0</v>
      </c>
      <c r="KX65" s="388">
        <v>0</v>
      </c>
      <c r="KY65" s="388">
        <f t="shared" si="459"/>
        <v>0</v>
      </c>
      <c r="KZ65" s="388">
        <v>0</v>
      </c>
      <c r="LA65" s="388">
        <v>0</v>
      </c>
      <c r="LB65" s="388">
        <f t="shared" si="460"/>
        <v>0</v>
      </c>
      <c r="LC65" s="388">
        <v>0</v>
      </c>
      <c r="LD65" s="388">
        <v>0</v>
      </c>
      <c r="LE65" s="388">
        <f t="shared" si="461"/>
        <v>0</v>
      </c>
      <c r="LF65" s="388">
        <v>0</v>
      </c>
      <c r="LG65" s="388">
        <v>0</v>
      </c>
      <c r="LH65" s="388">
        <f t="shared" si="462"/>
        <v>0</v>
      </c>
      <c r="LI65" s="388">
        <v>0</v>
      </c>
      <c r="LJ65" s="388">
        <v>0</v>
      </c>
      <c r="LK65" s="388">
        <f t="shared" si="463"/>
        <v>0</v>
      </c>
      <c r="LL65" s="388">
        <v>0</v>
      </c>
      <c r="LM65" s="388">
        <v>0</v>
      </c>
      <c r="LN65" s="388">
        <f t="shared" si="464"/>
        <v>0</v>
      </c>
      <c r="LO65" s="388">
        <v>0</v>
      </c>
      <c r="LP65" s="388">
        <v>0</v>
      </c>
      <c r="LQ65" s="388">
        <f t="shared" si="465"/>
        <v>0</v>
      </c>
      <c r="LR65" s="388">
        <v>0</v>
      </c>
      <c r="LS65" s="388">
        <v>0</v>
      </c>
      <c r="LT65" s="388">
        <f t="shared" si="466"/>
        <v>0</v>
      </c>
      <c r="LU65" s="388">
        <v>0</v>
      </c>
      <c r="LV65" s="388">
        <v>0</v>
      </c>
      <c r="LW65" s="388">
        <f t="shared" si="467"/>
        <v>0</v>
      </c>
      <c r="LX65" s="388">
        <v>0</v>
      </c>
      <c r="LY65" s="388">
        <v>0</v>
      </c>
      <c r="LZ65" s="388">
        <f t="shared" si="468"/>
        <v>0</v>
      </c>
      <c r="MA65" s="388">
        <v>0</v>
      </c>
      <c r="MB65" s="388">
        <v>0</v>
      </c>
      <c r="MC65" s="388">
        <f t="shared" si="469"/>
        <v>0</v>
      </c>
      <c r="MD65" s="388">
        <v>0</v>
      </c>
      <c r="ME65" s="388">
        <v>0</v>
      </c>
      <c r="MF65" s="388">
        <f t="shared" si="470"/>
        <v>0</v>
      </c>
      <c r="MG65" s="388">
        <v>0</v>
      </c>
      <c r="MH65" s="388">
        <v>0</v>
      </c>
      <c r="MI65" s="388">
        <f t="shared" si="471"/>
        <v>0</v>
      </c>
      <c r="MJ65" s="388">
        <v>0</v>
      </c>
      <c r="MK65" s="388">
        <v>0</v>
      </c>
      <c r="ML65" s="388">
        <f t="shared" si="472"/>
        <v>0</v>
      </c>
      <c r="MM65" s="388">
        <v>0</v>
      </c>
      <c r="MN65" s="388">
        <v>0</v>
      </c>
      <c r="MO65" s="388">
        <f t="shared" si="473"/>
        <v>0</v>
      </c>
      <c r="MP65" s="388">
        <v>0</v>
      </c>
      <c r="MQ65" s="388">
        <v>0</v>
      </c>
      <c r="MR65" s="388">
        <f t="shared" si="474"/>
        <v>0</v>
      </c>
      <c r="MS65" s="388">
        <v>0</v>
      </c>
      <c r="MT65" s="388">
        <v>0</v>
      </c>
      <c r="MU65" s="388">
        <f t="shared" si="475"/>
        <v>0</v>
      </c>
      <c r="MV65" s="388">
        <v>0</v>
      </c>
      <c r="MW65" s="388">
        <v>0</v>
      </c>
      <c r="MX65" s="388">
        <f t="shared" si="476"/>
        <v>0</v>
      </c>
      <c r="MY65" s="388">
        <v>0</v>
      </c>
      <c r="MZ65" s="388">
        <v>0</v>
      </c>
      <c r="NA65" s="562">
        <f t="shared" si="477"/>
        <v>0</v>
      </c>
      <c r="NB65" s="388">
        <v>0</v>
      </c>
      <c r="NC65" s="388">
        <v>0</v>
      </c>
      <c r="ND65" s="560">
        <f t="shared" si="478"/>
        <v>0</v>
      </c>
      <c r="NE65" s="559">
        <f t="shared" si="490"/>
        <v>15206</v>
      </c>
      <c r="NF65" s="388">
        <f t="shared" si="490"/>
        <v>15258</v>
      </c>
      <c r="NG65" s="560">
        <f t="shared" si="480"/>
        <v>30464</v>
      </c>
      <c r="NH65" s="559">
        <f t="shared" si="481"/>
        <v>1101</v>
      </c>
      <c r="NI65" s="388">
        <f t="shared" si="481"/>
        <v>1100</v>
      </c>
      <c r="NJ65" s="560">
        <f t="shared" si="482"/>
        <v>2201</v>
      </c>
    </row>
    <row r="66" spans="1:374" x14ac:dyDescent="0.3">
      <c r="A66" s="558" t="s">
        <v>309</v>
      </c>
      <c r="B66" s="592" t="s">
        <v>129</v>
      </c>
      <c r="C66" s="561">
        <v>110</v>
      </c>
      <c r="D66" s="388">
        <v>98</v>
      </c>
      <c r="E66" s="388">
        <f t="shared" si="357"/>
        <v>208</v>
      </c>
      <c r="F66" s="388">
        <v>130</v>
      </c>
      <c r="G66" s="388">
        <v>127</v>
      </c>
      <c r="H66" s="388">
        <f t="shared" si="358"/>
        <v>257</v>
      </c>
      <c r="I66" s="388">
        <v>147</v>
      </c>
      <c r="J66" s="388">
        <v>152</v>
      </c>
      <c r="K66" s="388">
        <f t="shared" si="359"/>
        <v>299</v>
      </c>
      <c r="L66" s="388">
        <v>150</v>
      </c>
      <c r="M66" s="388">
        <v>155</v>
      </c>
      <c r="N66" s="388">
        <f t="shared" si="360"/>
        <v>305</v>
      </c>
      <c r="O66" s="388">
        <v>191</v>
      </c>
      <c r="P66" s="388">
        <v>152</v>
      </c>
      <c r="Q66" s="388">
        <f t="shared" si="361"/>
        <v>343</v>
      </c>
      <c r="R66" s="388">
        <v>194</v>
      </c>
      <c r="S66" s="388">
        <v>185</v>
      </c>
      <c r="T66" s="388">
        <f t="shared" si="362"/>
        <v>379</v>
      </c>
      <c r="U66" s="388">
        <v>226</v>
      </c>
      <c r="V66" s="388">
        <v>188</v>
      </c>
      <c r="W66" s="388">
        <f t="shared" si="363"/>
        <v>414</v>
      </c>
      <c r="X66" s="388">
        <v>188</v>
      </c>
      <c r="Y66" s="388">
        <v>215</v>
      </c>
      <c r="Z66" s="388">
        <f t="shared" si="364"/>
        <v>403</v>
      </c>
      <c r="AA66" s="388">
        <v>181</v>
      </c>
      <c r="AB66" s="388">
        <v>158</v>
      </c>
      <c r="AC66" s="388">
        <f t="shared" si="365"/>
        <v>339</v>
      </c>
      <c r="AD66" s="388">
        <v>200</v>
      </c>
      <c r="AE66" s="388">
        <v>174</v>
      </c>
      <c r="AF66" s="388">
        <f t="shared" si="366"/>
        <v>374</v>
      </c>
      <c r="AG66" s="388">
        <v>173</v>
      </c>
      <c r="AH66" s="388">
        <v>158</v>
      </c>
      <c r="AI66" s="388">
        <f t="shared" si="367"/>
        <v>331</v>
      </c>
      <c r="AJ66" s="388">
        <v>192</v>
      </c>
      <c r="AK66" s="388">
        <v>143</v>
      </c>
      <c r="AL66" s="388">
        <f t="shared" si="368"/>
        <v>335</v>
      </c>
      <c r="AM66" s="388">
        <v>176</v>
      </c>
      <c r="AN66" s="388">
        <v>177</v>
      </c>
      <c r="AO66" s="388">
        <f t="shared" si="369"/>
        <v>353</v>
      </c>
      <c r="AP66" s="388">
        <v>194</v>
      </c>
      <c r="AQ66" s="388">
        <v>175</v>
      </c>
      <c r="AR66" s="388">
        <f t="shared" si="370"/>
        <v>369</v>
      </c>
      <c r="AS66" s="388">
        <v>168</v>
      </c>
      <c r="AT66" s="388">
        <v>163</v>
      </c>
      <c r="AU66" s="388">
        <f t="shared" si="371"/>
        <v>331</v>
      </c>
      <c r="AV66" s="388">
        <v>160</v>
      </c>
      <c r="AW66" s="388">
        <v>187</v>
      </c>
      <c r="AX66" s="388">
        <f t="shared" si="372"/>
        <v>347</v>
      </c>
      <c r="AY66" s="388">
        <v>152</v>
      </c>
      <c r="AZ66" s="388">
        <v>168</v>
      </c>
      <c r="BA66" s="388">
        <f t="shared" si="373"/>
        <v>320</v>
      </c>
      <c r="BB66" s="388">
        <v>158</v>
      </c>
      <c r="BC66" s="388">
        <v>158</v>
      </c>
      <c r="BD66" s="388">
        <f t="shared" si="374"/>
        <v>316</v>
      </c>
      <c r="BE66" s="388">
        <v>151</v>
      </c>
      <c r="BF66" s="388">
        <v>131</v>
      </c>
      <c r="BG66" s="388">
        <f t="shared" si="375"/>
        <v>282</v>
      </c>
      <c r="BH66" s="388">
        <v>147</v>
      </c>
      <c r="BI66" s="388">
        <v>158</v>
      </c>
      <c r="BJ66" s="388">
        <f t="shared" si="376"/>
        <v>305</v>
      </c>
      <c r="BK66" s="388">
        <v>159</v>
      </c>
      <c r="BL66" s="388">
        <v>151</v>
      </c>
      <c r="BM66" s="388">
        <f t="shared" si="377"/>
        <v>310</v>
      </c>
      <c r="BN66" s="388">
        <v>148</v>
      </c>
      <c r="BO66" s="388">
        <v>153</v>
      </c>
      <c r="BP66" s="388">
        <f t="shared" si="378"/>
        <v>301</v>
      </c>
      <c r="BQ66" s="388">
        <v>159</v>
      </c>
      <c r="BR66" s="388">
        <v>142</v>
      </c>
      <c r="BS66" s="388">
        <f t="shared" si="379"/>
        <v>301</v>
      </c>
      <c r="BT66" s="388">
        <v>175</v>
      </c>
      <c r="BU66" s="388">
        <v>150</v>
      </c>
      <c r="BV66" s="388">
        <f t="shared" si="380"/>
        <v>325</v>
      </c>
      <c r="BW66" s="388">
        <v>165</v>
      </c>
      <c r="BX66" s="388">
        <v>153</v>
      </c>
      <c r="BY66" s="388">
        <f t="shared" si="381"/>
        <v>318</v>
      </c>
      <c r="BZ66" s="388">
        <v>158</v>
      </c>
      <c r="CA66" s="388">
        <v>212</v>
      </c>
      <c r="CB66" s="388">
        <f t="shared" si="382"/>
        <v>370</v>
      </c>
      <c r="CC66" s="388">
        <v>157</v>
      </c>
      <c r="CD66" s="388">
        <v>177</v>
      </c>
      <c r="CE66" s="388">
        <f t="shared" si="383"/>
        <v>334</v>
      </c>
      <c r="CF66" s="388">
        <v>167</v>
      </c>
      <c r="CG66" s="388">
        <v>152</v>
      </c>
      <c r="CH66" s="388">
        <f t="shared" si="384"/>
        <v>319</v>
      </c>
      <c r="CI66" s="388">
        <v>191</v>
      </c>
      <c r="CJ66" s="388">
        <v>196</v>
      </c>
      <c r="CK66" s="388">
        <f t="shared" si="385"/>
        <v>387</v>
      </c>
      <c r="CL66" s="388">
        <v>162</v>
      </c>
      <c r="CM66" s="388">
        <v>177</v>
      </c>
      <c r="CN66" s="388">
        <f t="shared" si="386"/>
        <v>339</v>
      </c>
      <c r="CO66" s="388">
        <v>194</v>
      </c>
      <c r="CP66" s="388">
        <v>192</v>
      </c>
      <c r="CQ66" s="388">
        <f t="shared" si="387"/>
        <v>386</v>
      </c>
      <c r="CR66" s="388">
        <v>206</v>
      </c>
      <c r="CS66" s="388">
        <v>200</v>
      </c>
      <c r="CT66" s="388">
        <f t="shared" si="388"/>
        <v>406</v>
      </c>
      <c r="CU66" s="388">
        <v>191</v>
      </c>
      <c r="CV66" s="388">
        <v>210</v>
      </c>
      <c r="CW66" s="388">
        <f t="shared" si="389"/>
        <v>401</v>
      </c>
      <c r="CX66" s="388">
        <v>196</v>
      </c>
      <c r="CY66" s="388">
        <v>186</v>
      </c>
      <c r="CZ66" s="388">
        <f t="shared" si="390"/>
        <v>382</v>
      </c>
      <c r="DA66" s="388">
        <v>139</v>
      </c>
      <c r="DB66" s="388">
        <v>183</v>
      </c>
      <c r="DC66" s="388">
        <f t="shared" si="391"/>
        <v>322</v>
      </c>
      <c r="DD66" s="388">
        <v>164</v>
      </c>
      <c r="DE66" s="388">
        <v>197</v>
      </c>
      <c r="DF66" s="388">
        <f t="shared" si="392"/>
        <v>361</v>
      </c>
      <c r="DG66" s="388">
        <v>200</v>
      </c>
      <c r="DH66" s="388">
        <v>167</v>
      </c>
      <c r="DI66" s="388">
        <f t="shared" si="393"/>
        <v>367</v>
      </c>
      <c r="DJ66" s="388">
        <v>166</v>
      </c>
      <c r="DK66" s="388">
        <v>152</v>
      </c>
      <c r="DL66" s="388">
        <f t="shared" si="394"/>
        <v>318</v>
      </c>
      <c r="DM66" s="388">
        <v>163</v>
      </c>
      <c r="DN66" s="388">
        <v>160</v>
      </c>
      <c r="DO66" s="388">
        <f t="shared" si="395"/>
        <v>323</v>
      </c>
      <c r="DP66" s="388">
        <v>141</v>
      </c>
      <c r="DQ66" s="388">
        <v>157</v>
      </c>
      <c r="DR66" s="388">
        <f t="shared" si="396"/>
        <v>298</v>
      </c>
      <c r="DS66" s="388">
        <v>172</v>
      </c>
      <c r="DT66" s="388">
        <v>165</v>
      </c>
      <c r="DU66" s="388">
        <f t="shared" si="397"/>
        <v>337</v>
      </c>
      <c r="DV66" s="388">
        <v>158</v>
      </c>
      <c r="DW66" s="388">
        <v>179</v>
      </c>
      <c r="DX66" s="388">
        <f t="shared" si="398"/>
        <v>337</v>
      </c>
      <c r="DY66" s="388">
        <v>151</v>
      </c>
      <c r="DZ66" s="388">
        <v>163</v>
      </c>
      <c r="EA66" s="388">
        <f t="shared" si="399"/>
        <v>314</v>
      </c>
      <c r="EB66" s="388">
        <v>196</v>
      </c>
      <c r="EC66" s="388">
        <v>181</v>
      </c>
      <c r="ED66" s="388">
        <f t="shared" si="400"/>
        <v>377</v>
      </c>
      <c r="EE66" s="388">
        <v>166</v>
      </c>
      <c r="EF66" s="388">
        <v>164</v>
      </c>
      <c r="EG66" s="388">
        <f t="shared" si="401"/>
        <v>330</v>
      </c>
      <c r="EH66" s="388">
        <v>145</v>
      </c>
      <c r="EI66" s="388">
        <v>155</v>
      </c>
      <c r="EJ66" s="388">
        <f t="shared" si="402"/>
        <v>300</v>
      </c>
      <c r="EK66" s="388">
        <v>155</v>
      </c>
      <c r="EL66" s="388">
        <v>175</v>
      </c>
      <c r="EM66" s="388">
        <f t="shared" si="403"/>
        <v>330</v>
      </c>
      <c r="EN66" s="388">
        <v>127</v>
      </c>
      <c r="EO66" s="388">
        <v>166</v>
      </c>
      <c r="EP66" s="388">
        <f t="shared" si="404"/>
        <v>293</v>
      </c>
      <c r="EQ66" s="388">
        <v>152</v>
      </c>
      <c r="ER66" s="388">
        <v>123</v>
      </c>
      <c r="ES66" s="388">
        <f t="shared" si="405"/>
        <v>275</v>
      </c>
      <c r="ET66" s="388">
        <v>119</v>
      </c>
      <c r="EU66" s="388">
        <v>126</v>
      </c>
      <c r="EV66" s="388">
        <f t="shared" si="406"/>
        <v>245</v>
      </c>
      <c r="EW66" s="388">
        <v>136</v>
      </c>
      <c r="EX66" s="388">
        <v>148</v>
      </c>
      <c r="EY66" s="388">
        <f t="shared" si="407"/>
        <v>284</v>
      </c>
      <c r="EZ66" s="388">
        <v>109</v>
      </c>
      <c r="FA66" s="388">
        <v>129</v>
      </c>
      <c r="FB66" s="388">
        <f t="shared" si="408"/>
        <v>238</v>
      </c>
      <c r="FC66" s="388">
        <v>120</v>
      </c>
      <c r="FD66" s="388">
        <v>125</v>
      </c>
      <c r="FE66" s="388">
        <f t="shared" si="409"/>
        <v>245</v>
      </c>
      <c r="FF66" s="388">
        <v>140</v>
      </c>
      <c r="FG66" s="388">
        <v>117</v>
      </c>
      <c r="FH66" s="388">
        <f t="shared" si="410"/>
        <v>257</v>
      </c>
      <c r="FI66" s="388">
        <v>113</v>
      </c>
      <c r="FJ66" s="388">
        <v>114</v>
      </c>
      <c r="FK66" s="388">
        <f t="shared" si="411"/>
        <v>227</v>
      </c>
      <c r="FL66" s="388">
        <v>112</v>
      </c>
      <c r="FM66" s="388">
        <v>91</v>
      </c>
      <c r="FN66" s="388">
        <f t="shared" si="412"/>
        <v>203</v>
      </c>
      <c r="FO66" s="388">
        <v>124</v>
      </c>
      <c r="FP66" s="388">
        <v>108</v>
      </c>
      <c r="FQ66" s="388">
        <f t="shared" si="413"/>
        <v>232</v>
      </c>
      <c r="FR66" s="388">
        <v>92</v>
      </c>
      <c r="FS66" s="388">
        <v>114</v>
      </c>
      <c r="FT66" s="388">
        <f t="shared" si="414"/>
        <v>206</v>
      </c>
      <c r="FU66" s="388">
        <v>67</v>
      </c>
      <c r="FV66" s="388">
        <v>77</v>
      </c>
      <c r="FW66" s="388">
        <f t="shared" si="415"/>
        <v>144</v>
      </c>
      <c r="FX66" s="388">
        <v>56</v>
      </c>
      <c r="FY66" s="388">
        <v>68</v>
      </c>
      <c r="FZ66" s="388">
        <f t="shared" si="416"/>
        <v>124</v>
      </c>
      <c r="GA66" s="388">
        <v>79</v>
      </c>
      <c r="GB66" s="388">
        <v>78</v>
      </c>
      <c r="GC66" s="388">
        <f t="shared" si="417"/>
        <v>157</v>
      </c>
      <c r="GD66" s="388">
        <v>74</v>
      </c>
      <c r="GE66" s="388">
        <v>81</v>
      </c>
      <c r="GF66" s="388">
        <f t="shared" si="418"/>
        <v>155</v>
      </c>
      <c r="GG66" s="388">
        <v>85</v>
      </c>
      <c r="GH66" s="388">
        <v>78</v>
      </c>
      <c r="GI66" s="388">
        <f t="shared" si="419"/>
        <v>163</v>
      </c>
      <c r="GJ66" s="388">
        <v>58</v>
      </c>
      <c r="GK66" s="388">
        <v>60</v>
      </c>
      <c r="GL66" s="388">
        <f t="shared" si="420"/>
        <v>118</v>
      </c>
      <c r="GM66" s="388">
        <v>57</v>
      </c>
      <c r="GN66" s="388">
        <v>48</v>
      </c>
      <c r="GO66" s="388">
        <f t="shared" si="421"/>
        <v>105</v>
      </c>
      <c r="GP66" s="388">
        <v>49</v>
      </c>
      <c r="GQ66" s="388">
        <v>49</v>
      </c>
      <c r="GR66" s="388">
        <f t="shared" si="422"/>
        <v>98</v>
      </c>
      <c r="GS66" s="388">
        <v>60</v>
      </c>
      <c r="GT66" s="388">
        <v>59</v>
      </c>
      <c r="GU66" s="388">
        <f t="shared" si="423"/>
        <v>119</v>
      </c>
      <c r="GV66" s="388">
        <v>48</v>
      </c>
      <c r="GW66" s="388">
        <v>52</v>
      </c>
      <c r="GX66" s="388">
        <f t="shared" si="424"/>
        <v>100</v>
      </c>
      <c r="GY66" s="388">
        <v>28</v>
      </c>
      <c r="GZ66" s="388">
        <v>27</v>
      </c>
      <c r="HA66" s="388">
        <f t="shared" si="425"/>
        <v>55</v>
      </c>
      <c r="HB66" s="388">
        <v>34</v>
      </c>
      <c r="HC66" s="388">
        <v>35</v>
      </c>
      <c r="HD66" s="388">
        <f t="shared" si="426"/>
        <v>69</v>
      </c>
      <c r="HE66" s="388">
        <v>35</v>
      </c>
      <c r="HF66" s="388">
        <v>32</v>
      </c>
      <c r="HG66" s="388">
        <f t="shared" si="427"/>
        <v>67</v>
      </c>
      <c r="HH66" s="388">
        <v>40</v>
      </c>
      <c r="HI66" s="388">
        <v>40</v>
      </c>
      <c r="HJ66" s="388">
        <f t="shared" si="428"/>
        <v>80</v>
      </c>
      <c r="HK66" s="388">
        <v>30</v>
      </c>
      <c r="HL66" s="388">
        <v>16</v>
      </c>
      <c r="HM66" s="388">
        <f t="shared" si="429"/>
        <v>46</v>
      </c>
      <c r="HN66" s="388">
        <v>17</v>
      </c>
      <c r="HO66" s="388">
        <v>22</v>
      </c>
      <c r="HP66" s="388">
        <f t="shared" si="430"/>
        <v>39</v>
      </c>
      <c r="HQ66" s="388">
        <v>16</v>
      </c>
      <c r="HR66" s="388">
        <v>20</v>
      </c>
      <c r="HS66" s="388">
        <f t="shared" si="431"/>
        <v>36</v>
      </c>
      <c r="HT66" s="388">
        <v>12</v>
      </c>
      <c r="HU66" s="388">
        <v>13</v>
      </c>
      <c r="HV66" s="388">
        <f t="shared" si="432"/>
        <v>25</v>
      </c>
      <c r="HW66" s="388">
        <v>25</v>
      </c>
      <c r="HX66" s="388">
        <v>12</v>
      </c>
      <c r="HY66" s="388">
        <f t="shared" si="433"/>
        <v>37</v>
      </c>
      <c r="HZ66" s="388">
        <v>12</v>
      </c>
      <c r="IA66" s="388">
        <v>11</v>
      </c>
      <c r="IB66" s="388">
        <f t="shared" si="434"/>
        <v>23</v>
      </c>
      <c r="IC66" s="388">
        <v>8</v>
      </c>
      <c r="ID66" s="388">
        <v>14</v>
      </c>
      <c r="IE66" s="388">
        <f t="shared" si="435"/>
        <v>22</v>
      </c>
      <c r="IF66" s="388">
        <v>7</v>
      </c>
      <c r="IG66" s="388">
        <v>12</v>
      </c>
      <c r="IH66" s="388">
        <f t="shared" si="436"/>
        <v>19</v>
      </c>
      <c r="II66" s="388">
        <v>6</v>
      </c>
      <c r="IJ66" s="388">
        <v>6</v>
      </c>
      <c r="IK66" s="388">
        <f t="shared" si="437"/>
        <v>12</v>
      </c>
      <c r="IL66" s="388">
        <v>8</v>
      </c>
      <c r="IM66" s="388">
        <v>4</v>
      </c>
      <c r="IN66" s="388">
        <f t="shared" si="438"/>
        <v>12</v>
      </c>
      <c r="IO66" s="388">
        <v>11</v>
      </c>
      <c r="IP66" s="388">
        <v>12</v>
      </c>
      <c r="IQ66" s="388">
        <f t="shared" si="439"/>
        <v>23</v>
      </c>
      <c r="IR66" s="388">
        <v>2</v>
      </c>
      <c r="IS66" s="388">
        <v>8</v>
      </c>
      <c r="IT66" s="388">
        <f t="shared" si="440"/>
        <v>10</v>
      </c>
      <c r="IU66" s="388">
        <v>6</v>
      </c>
      <c r="IV66" s="388">
        <v>8</v>
      </c>
      <c r="IW66" s="388">
        <f t="shared" si="441"/>
        <v>14</v>
      </c>
      <c r="IX66" s="388">
        <v>5</v>
      </c>
      <c r="IY66" s="388">
        <v>6</v>
      </c>
      <c r="IZ66" s="388">
        <f t="shared" si="442"/>
        <v>11</v>
      </c>
      <c r="JA66" s="388">
        <v>6</v>
      </c>
      <c r="JB66" s="388">
        <v>5</v>
      </c>
      <c r="JC66" s="388">
        <f t="shared" si="443"/>
        <v>11</v>
      </c>
      <c r="JD66" s="388">
        <v>5</v>
      </c>
      <c r="JE66" s="388">
        <v>7</v>
      </c>
      <c r="JF66" s="388">
        <f t="shared" si="444"/>
        <v>12</v>
      </c>
      <c r="JG66" s="388">
        <v>1</v>
      </c>
      <c r="JH66" s="388">
        <v>3</v>
      </c>
      <c r="JI66" s="388">
        <f t="shared" si="445"/>
        <v>4</v>
      </c>
      <c r="JJ66" s="388">
        <v>2</v>
      </c>
      <c r="JK66" s="388">
        <v>3</v>
      </c>
      <c r="JL66" s="388">
        <f t="shared" si="446"/>
        <v>5</v>
      </c>
      <c r="JM66" s="388">
        <v>0</v>
      </c>
      <c r="JN66" s="388">
        <v>4</v>
      </c>
      <c r="JO66" s="388">
        <f t="shared" si="447"/>
        <v>4</v>
      </c>
      <c r="JP66" s="388">
        <v>4</v>
      </c>
      <c r="JQ66" s="388">
        <v>3</v>
      </c>
      <c r="JR66" s="388">
        <f t="shared" si="448"/>
        <v>7</v>
      </c>
      <c r="JS66" s="388">
        <v>3</v>
      </c>
      <c r="JT66" s="388">
        <v>2</v>
      </c>
      <c r="JU66" s="388">
        <f t="shared" si="449"/>
        <v>5</v>
      </c>
      <c r="JV66" s="388">
        <v>0</v>
      </c>
      <c r="JW66" s="388">
        <v>1</v>
      </c>
      <c r="JX66" s="388">
        <f t="shared" si="450"/>
        <v>1</v>
      </c>
      <c r="JY66" s="388">
        <v>1</v>
      </c>
      <c r="JZ66" s="388">
        <v>0</v>
      </c>
      <c r="KA66" s="388">
        <f t="shared" si="451"/>
        <v>1</v>
      </c>
      <c r="KB66" s="388">
        <v>0</v>
      </c>
      <c r="KC66" s="388">
        <v>0</v>
      </c>
      <c r="KD66" s="388">
        <f t="shared" si="452"/>
        <v>0</v>
      </c>
      <c r="KE66" s="388">
        <v>1</v>
      </c>
      <c r="KF66" s="388">
        <v>0</v>
      </c>
      <c r="KG66" s="388">
        <f t="shared" si="453"/>
        <v>1</v>
      </c>
      <c r="KH66" s="388">
        <v>0</v>
      </c>
      <c r="KI66" s="388">
        <v>0</v>
      </c>
      <c r="KJ66" s="388">
        <f t="shared" si="454"/>
        <v>0</v>
      </c>
      <c r="KK66" s="388">
        <v>0</v>
      </c>
      <c r="KL66" s="388">
        <v>0</v>
      </c>
      <c r="KM66" s="388">
        <f t="shared" si="455"/>
        <v>0</v>
      </c>
      <c r="KN66" s="388">
        <v>0</v>
      </c>
      <c r="KO66" s="388">
        <v>0</v>
      </c>
      <c r="KP66" s="388">
        <f t="shared" si="456"/>
        <v>0</v>
      </c>
      <c r="KQ66" s="388">
        <v>0</v>
      </c>
      <c r="KR66" s="388">
        <v>0</v>
      </c>
      <c r="KS66" s="388">
        <f t="shared" si="457"/>
        <v>0</v>
      </c>
      <c r="KT66" s="388">
        <v>0</v>
      </c>
      <c r="KU66" s="388">
        <v>0</v>
      </c>
      <c r="KV66" s="388">
        <f t="shared" si="458"/>
        <v>0</v>
      </c>
      <c r="KW66" s="388">
        <v>0</v>
      </c>
      <c r="KX66" s="388">
        <v>0</v>
      </c>
      <c r="KY66" s="388">
        <f t="shared" si="459"/>
        <v>0</v>
      </c>
      <c r="KZ66" s="388">
        <v>0</v>
      </c>
      <c r="LA66" s="388">
        <v>0</v>
      </c>
      <c r="LB66" s="388">
        <f t="shared" si="460"/>
        <v>0</v>
      </c>
      <c r="LC66" s="388">
        <v>0</v>
      </c>
      <c r="LD66" s="388">
        <v>0</v>
      </c>
      <c r="LE66" s="388">
        <f t="shared" si="461"/>
        <v>0</v>
      </c>
      <c r="LF66" s="388">
        <v>0</v>
      </c>
      <c r="LG66" s="388">
        <v>0</v>
      </c>
      <c r="LH66" s="388">
        <f t="shared" si="462"/>
        <v>0</v>
      </c>
      <c r="LI66" s="388">
        <v>0</v>
      </c>
      <c r="LJ66" s="388">
        <v>0</v>
      </c>
      <c r="LK66" s="388">
        <f t="shared" si="463"/>
        <v>0</v>
      </c>
      <c r="LL66" s="388">
        <v>0</v>
      </c>
      <c r="LM66" s="388">
        <v>0</v>
      </c>
      <c r="LN66" s="388">
        <f t="shared" si="464"/>
        <v>0</v>
      </c>
      <c r="LO66" s="388">
        <v>0</v>
      </c>
      <c r="LP66" s="388">
        <v>0</v>
      </c>
      <c r="LQ66" s="388">
        <f t="shared" si="465"/>
        <v>0</v>
      </c>
      <c r="LR66" s="388">
        <v>0</v>
      </c>
      <c r="LS66" s="388">
        <v>0</v>
      </c>
      <c r="LT66" s="388">
        <f t="shared" si="466"/>
        <v>0</v>
      </c>
      <c r="LU66" s="388">
        <v>0</v>
      </c>
      <c r="LV66" s="388">
        <v>0</v>
      </c>
      <c r="LW66" s="388">
        <f t="shared" si="467"/>
        <v>0</v>
      </c>
      <c r="LX66" s="388">
        <v>0</v>
      </c>
      <c r="LY66" s="388">
        <v>0</v>
      </c>
      <c r="LZ66" s="388">
        <f t="shared" si="468"/>
        <v>0</v>
      </c>
      <c r="MA66" s="388">
        <v>0</v>
      </c>
      <c r="MB66" s="388">
        <v>0</v>
      </c>
      <c r="MC66" s="388">
        <f t="shared" si="469"/>
        <v>0</v>
      </c>
      <c r="MD66" s="388">
        <v>0</v>
      </c>
      <c r="ME66" s="388">
        <v>0</v>
      </c>
      <c r="MF66" s="388">
        <f t="shared" si="470"/>
        <v>0</v>
      </c>
      <c r="MG66" s="388">
        <v>0</v>
      </c>
      <c r="MH66" s="388">
        <v>0</v>
      </c>
      <c r="MI66" s="388">
        <f t="shared" si="471"/>
        <v>0</v>
      </c>
      <c r="MJ66" s="388">
        <v>0</v>
      </c>
      <c r="MK66" s="388">
        <v>0</v>
      </c>
      <c r="ML66" s="388">
        <f t="shared" si="472"/>
        <v>0</v>
      </c>
      <c r="MM66" s="388">
        <v>0</v>
      </c>
      <c r="MN66" s="388">
        <v>0</v>
      </c>
      <c r="MO66" s="388">
        <f t="shared" si="473"/>
        <v>0</v>
      </c>
      <c r="MP66" s="388">
        <v>0</v>
      </c>
      <c r="MQ66" s="388">
        <v>0</v>
      </c>
      <c r="MR66" s="388">
        <f t="shared" si="474"/>
        <v>0</v>
      </c>
      <c r="MS66" s="388">
        <v>0</v>
      </c>
      <c r="MT66" s="388">
        <v>0</v>
      </c>
      <c r="MU66" s="388">
        <f t="shared" si="475"/>
        <v>0</v>
      </c>
      <c r="MV66" s="388">
        <v>0</v>
      </c>
      <c r="MW66" s="388">
        <v>0</v>
      </c>
      <c r="MX66" s="388">
        <f t="shared" si="476"/>
        <v>0</v>
      </c>
      <c r="MY66" s="388">
        <v>0</v>
      </c>
      <c r="MZ66" s="388">
        <v>0</v>
      </c>
      <c r="NA66" s="562">
        <f t="shared" si="477"/>
        <v>0</v>
      </c>
      <c r="NB66" s="388">
        <v>0</v>
      </c>
      <c r="NC66" s="388">
        <v>0</v>
      </c>
      <c r="ND66" s="560">
        <f t="shared" si="478"/>
        <v>0</v>
      </c>
      <c r="NE66" s="559">
        <f t="shared" si="490"/>
        <v>10234</v>
      </c>
      <c r="NF66" s="388">
        <f t="shared" si="490"/>
        <v>10208</v>
      </c>
      <c r="NG66" s="560">
        <f t="shared" si="480"/>
        <v>20442</v>
      </c>
      <c r="NH66" s="559">
        <f t="shared" si="481"/>
        <v>922</v>
      </c>
      <c r="NI66" s="388">
        <f t="shared" si="481"/>
        <v>869</v>
      </c>
      <c r="NJ66" s="560">
        <f t="shared" si="482"/>
        <v>1791</v>
      </c>
    </row>
    <row r="67" spans="1:374" ht="14.5" thickBot="1" x14ac:dyDescent="0.35">
      <c r="A67" s="563" t="s">
        <v>310</v>
      </c>
      <c r="B67" s="593" t="s">
        <v>131</v>
      </c>
      <c r="C67" s="566">
        <v>106</v>
      </c>
      <c r="D67" s="392">
        <v>109</v>
      </c>
      <c r="E67" s="392">
        <f t="shared" si="357"/>
        <v>215</v>
      </c>
      <c r="F67" s="392">
        <v>118</v>
      </c>
      <c r="G67" s="392">
        <v>144</v>
      </c>
      <c r="H67" s="392">
        <f t="shared" si="358"/>
        <v>262</v>
      </c>
      <c r="I67" s="392">
        <v>174</v>
      </c>
      <c r="J67" s="392">
        <v>164</v>
      </c>
      <c r="K67" s="392">
        <f t="shared" si="359"/>
        <v>338</v>
      </c>
      <c r="L67" s="392">
        <v>176</v>
      </c>
      <c r="M67" s="392">
        <v>152</v>
      </c>
      <c r="N67" s="392">
        <f t="shared" si="360"/>
        <v>328</v>
      </c>
      <c r="O67" s="392">
        <v>188</v>
      </c>
      <c r="P67" s="392">
        <v>184</v>
      </c>
      <c r="Q67" s="392">
        <f t="shared" si="361"/>
        <v>372</v>
      </c>
      <c r="R67" s="392">
        <v>231</v>
      </c>
      <c r="S67" s="392">
        <v>227</v>
      </c>
      <c r="T67" s="392">
        <f t="shared" si="362"/>
        <v>458</v>
      </c>
      <c r="U67" s="392">
        <v>230</v>
      </c>
      <c r="V67" s="392">
        <v>216</v>
      </c>
      <c r="W67" s="392">
        <f t="shared" si="363"/>
        <v>446</v>
      </c>
      <c r="X67" s="392">
        <v>262</v>
      </c>
      <c r="Y67" s="392">
        <v>213</v>
      </c>
      <c r="Z67" s="392">
        <f t="shared" si="364"/>
        <v>475</v>
      </c>
      <c r="AA67" s="392">
        <v>230</v>
      </c>
      <c r="AB67" s="392">
        <v>242</v>
      </c>
      <c r="AC67" s="392">
        <f t="shared" si="365"/>
        <v>472</v>
      </c>
      <c r="AD67" s="392">
        <v>204</v>
      </c>
      <c r="AE67" s="392">
        <v>223</v>
      </c>
      <c r="AF67" s="392">
        <f t="shared" si="366"/>
        <v>427</v>
      </c>
      <c r="AG67" s="392">
        <v>206</v>
      </c>
      <c r="AH67" s="392">
        <v>234</v>
      </c>
      <c r="AI67" s="392">
        <f t="shared" si="367"/>
        <v>440</v>
      </c>
      <c r="AJ67" s="392">
        <v>225</v>
      </c>
      <c r="AK67" s="392">
        <v>190</v>
      </c>
      <c r="AL67" s="392">
        <f t="shared" si="368"/>
        <v>415</v>
      </c>
      <c r="AM67" s="392">
        <v>192</v>
      </c>
      <c r="AN67" s="392">
        <v>218</v>
      </c>
      <c r="AO67" s="392">
        <f t="shared" si="369"/>
        <v>410</v>
      </c>
      <c r="AP67" s="392">
        <v>219</v>
      </c>
      <c r="AQ67" s="392">
        <v>228</v>
      </c>
      <c r="AR67" s="392">
        <f t="shared" si="370"/>
        <v>447</v>
      </c>
      <c r="AS67" s="392">
        <v>248</v>
      </c>
      <c r="AT67" s="392">
        <v>204</v>
      </c>
      <c r="AU67" s="392">
        <f t="shared" si="371"/>
        <v>452</v>
      </c>
      <c r="AV67" s="392">
        <v>224</v>
      </c>
      <c r="AW67" s="392">
        <v>187</v>
      </c>
      <c r="AX67" s="392">
        <f t="shared" si="372"/>
        <v>411</v>
      </c>
      <c r="AY67" s="392">
        <v>243</v>
      </c>
      <c r="AZ67" s="392">
        <v>192</v>
      </c>
      <c r="BA67" s="392">
        <f t="shared" si="373"/>
        <v>435</v>
      </c>
      <c r="BB67" s="392">
        <v>203</v>
      </c>
      <c r="BC67" s="392">
        <v>165</v>
      </c>
      <c r="BD67" s="392">
        <f t="shared" si="374"/>
        <v>368</v>
      </c>
      <c r="BE67" s="392">
        <v>214</v>
      </c>
      <c r="BF67" s="392">
        <v>191</v>
      </c>
      <c r="BG67" s="392">
        <f t="shared" si="375"/>
        <v>405</v>
      </c>
      <c r="BH67" s="392">
        <v>195</v>
      </c>
      <c r="BI67" s="392">
        <v>183</v>
      </c>
      <c r="BJ67" s="392">
        <f t="shared" si="376"/>
        <v>378</v>
      </c>
      <c r="BK67" s="392">
        <v>195</v>
      </c>
      <c r="BL67" s="392">
        <v>180</v>
      </c>
      <c r="BM67" s="392">
        <f t="shared" si="377"/>
        <v>375</v>
      </c>
      <c r="BN67" s="392">
        <v>197</v>
      </c>
      <c r="BO67" s="392">
        <v>185</v>
      </c>
      <c r="BP67" s="392">
        <f t="shared" si="378"/>
        <v>382</v>
      </c>
      <c r="BQ67" s="392">
        <v>173</v>
      </c>
      <c r="BR67" s="392">
        <v>218</v>
      </c>
      <c r="BS67" s="392">
        <f t="shared" si="379"/>
        <v>391</v>
      </c>
      <c r="BT67" s="392">
        <v>228</v>
      </c>
      <c r="BU67" s="392">
        <v>196</v>
      </c>
      <c r="BV67" s="392">
        <f t="shared" si="380"/>
        <v>424</v>
      </c>
      <c r="BW67" s="392">
        <v>195</v>
      </c>
      <c r="BX67" s="392">
        <v>184</v>
      </c>
      <c r="BY67" s="392">
        <f t="shared" si="381"/>
        <v>379</v>
      </c>
      <c r="BZ67" s="392">
        <v>182</v>
      </c>
      <c r="CA67" s="392">
        <v>178</v>
      </c>
      <c r="CB67" s="392">
        <f t="shared" si="382"/>
        <v>360</v>
      </c>
      <c r="CC67" s="392">
        <v>217</v>
      </c>
      <c r="CD67" s="392">
        <v>176</v>
      </c>
      <c r="CE67" s="392">
        <f t="shared" si="383"/>
        <v>393</v>
      </c>
      <c r="CF67" s="392">
        <v>175</v>
      </c>
      <c r="CG67" s="392">
        <v>173</v>
      </c>
      <c r="CH67" s="392">
        <f t="shared" si="384"/>
        <v>348</v>
      </c>
      <c r="CI67" s="392">
        <v>175</v>
      </c>
      <c r="CJ67" s="392">
        <v>194</v>
      </c>
      <c r="CK67" s="392">
        <f t="shared" si="385"/>
        <v>369</v>
      </c>
      <c r="CL67" s="392">
        <v>162</v>
      </c>
      <c r="CM67" s="392">
        <v>206</v>
      </c>
      <c r="CN67" s="392">
        <f t="shared" si="386"/>
        <v>368</v>
      </c>
      <c r="CO67" s="392">
        <v>173</v>
      </c>
      <c r="CP67" s="392">
        <v>195</v>
      </c>
      <c r="CQ67" s="392">
        <f t="shared" si="387"/>
        <v>368</v>
      </c>
      <c r="CR67" s="392">
        <v>193</v>
      </c>
      <c r="CS67" s="392">
        <v>196</v>
      </c>
      <c r="CT67" s="392">
        <f t="shared" si="388"/>
        <v>389</v>
      </c>
      <c r="CU67" s="392">
        <v>176</v>
      </c>
      <c r="CV67" s="392">
        <v>203</v>
      </c>
      <c r="CW67" s="392">
        <f t="shared" si="389"/>
        <v>379</v>
      </c>
      <c r="CX67" s="392">
        <v>188</v>
      </c>
      <c r="CY67" s="392">
        <v>206</v>
      </c>
      <c r="CZ67" s="392">
        <f t="shared" si="390"/>
        <v>394</v>
      </c>
      <c r="DA67" s="392">
        <v>181</v>
      </c>
      <c r="DB67" s="392">
        <v>207</v>
      </c>
      <c r="DC67" s="392">
        <f t="shared" si="391"/>
        <v>388</v>
      </c>
      <c r="DD67" s="392">
        <v>174</v>
      </c>
      <c r="DE67" s="392">
        <v>220</v>
      </c>
      <c r="DF67" s="392">
        <f t="shared" si="392"/>
        <v>394</v>
      </c>
      <c r="DG67" s="392">
        <v>178</v>
      </c>
      <c r="DH67" s="392">
        <v>172</v>
      </c>
      <c r="DI67" s="392">
        <f t="shared" si="393"/>
        <v>350</v>
      </c>
      <c r="DJ67" s="392">
        <v>180</v>
      </c>
      <c r="DK67" s="392">
        <v>152</v>
      </c>
      <c r="DL67" s="392">
        <f t="shared" si="394"/>
        <v>332</v>
      </c>
      <c r="DM67" s="392">
        <v>158</v>
      </c>
      <c r="DN67" s="392">
        <v>174</v>
      </c>
      <c r="DO67" s="392">
        <f t="shared" si="395"/>
        <v>332</v>
      </c>
      <c r="DP67" s="392">
        <v>176</v>
      </c>
      <c r="DQ67" s="392">
        <v>159</v>
      </c>
      <c r="DR67" s="392">
        <f t="shared" si="396"/>
        <v>335</v>
      </c>
      <c r="DS67" s="392">
        <v>186</v>
      </c>
      <c r="DT67" s="392">
        <v>203</v>
      </c>
      <c r="DU67" s="392">
        <f t="shared" si="397"/>
        <v>389</v>
      </c>
      <c r="DV67" s="392">
        <v>191</v>
      </c>
      <c r="DW67" s="392">
        <v>190</v>
      </c>
      <c r="DX67" s="392">
        <f t="shared" si="398"/>
        <v>381</v>
      </c>
      <c r="DY67" s="392">
        <v>210</v>
      </c>
      <c r="DZ67" s="392">
        <v>177</v>
      </c>
      <c r="EA67" s="392">
        <f t="shared" si="399"/>
        <v>387</v>
      </c>
      <c r="EB67" s="392">
        <v>182</v>
      </c>
      <c r="EC67" s="392">
        <v>221</v>
      </c>
      <c r="ED67" s="392">
        <f t="shared" si="400"/>
        <v>403</v>
      </c>
      <c r="EE67" s="392">
        <v>188</v>
      </c>
      <c r="EF67" s="392">
        <v>216</v>
      </c>
      <c r="EG67" s="392">
        <f t="shared" si="401"/>
        <v>404</v>
      </c>
      <c r="EH67" s="392">
        <v>156</v>
      </c>
      <c r="EI67" s="392">
        <v>176</v>
      </c>
      <c r="EJ67" s="392">
        <f t="shared" si="402"/>
        <v>332</v>
      </c>
      <c r="EK67" s="392">
        <v>192</v>
      </c>
      <c r="EL67" s="392">
        <v>189</v>
      </c>
      <c r="EM67" s="392">
        <f t="shared" si="403"/>
        <v>381</v>
      </c>
      <c r="EN67" s="392">
        <v>209</v>
      </c>
      <c r="EO67" s="392">
        <v>146</v>
      </c>
      <c r="EP67" s="392">
        <f t="shared" si="404"/>
        <v>355</v>
      </c>
      <c r="EQ67" s="392">
        <v>162</v>
      </c>
      <c r="ER67" s="392">
        <v>181</v>
      </c>
      <c r="ES67" s="392">
        <f t="shared" si="405"/>
        <v>343</v>
      </c>
      <c r="ET67" s="392">
        <v>178</v>
      </c>
      <c r="EU67" s="392">
        <v>152</v>
      </c>
      <c r="EV67" s="392">
        <f t="shared" si="406"/>
        <v>330</v>
      </c>
      <c r="EW67" s="392">
        <v>139</v>
      </c>
      <c r="EX67" s="392">
        <v>147</v>
      </c>
      <c r="EY67" s="392">
        <f t="shared" si="407"/>
        <v>286</v>
      </c>
      <c r="EZ67" s="392">
        <v>157</v>
      </c>
      <c r="FA67" s="392">
        <v>166</v>
      </c>
      <c r="FB67" s="392">
        <f t="shared" si="408"/>
        <v>323</v>
      </c>
      <c r="FC67" s="392">
        <v>127</v>
      </c>
      <c r="FD67" s="392">
        <v>130</v>
      </c>
      <c r="FE67" s="392">
        <f t="shared" si="409"/>
        <v>257</v>
      </c>
      <c r="FF67" s="392">
        <v>133</v>
      </c>
      <c r="FG67" s="392">
        <v>151</v>
      </c>
      <c r="FH67" s="392">
        <f t="shared" si="410"/>
        <v>284</v>
      </c>
      <c r="FI67" s="392">
        <v>142</v>
      </c>
      <c r="FJ67" s="392">
        <v>136</v>
      </c>
      <c r="FK67" s="392">
        <f t="shared" si="411"/>
        <v>278</v>
      </c>
      <c r="FL67" s="392">
        <v>118</v>
      </c>
      <c r="FM67" s="392">
        <v>120</v>
      </c>
      <c r="FN67" s="392">
        <f t="shared" si="412"/>
        <v>238</v>
      </c>
      <c r="FO67" s="392">
        <v>127</v>
      </c>
      <c r="FP67" s="392">
        <v>129</v>
      </c>
      <c r="FQ67" s="392">
        <f t="shared" si="413"/>
        <v>256</v>
      </c>
      <c r="FR67" s="392">
        <v>120</v>
      </c>
      <c r="FS67" s="392">
        <v>115</v>
      </c>
      <c r="FT67" s="392">
        <f t="shared" si="414"/>
        <v>235</v>
      </c>
      <c r="FU67" s="392">
        <v>110</v>
      </c>
      <c r="FV67" s="392">
        <v>113</v>
      </c>
      <c r="FW67" s="392">
        <f t="shared" si="415"/>
        <v>223</v>
      </c>
      <c r="FX67" s="392">
        <v>96</v>
      </c>
      <c r="FY67" s="392">
        <v>98</v>
      </c>
      <c r="FZ67" s="392">
        <f t="shared" si="416"/>
        <v>194</v>
      </c>
      <c r="GA67" s="392">
        <v>73</v>
      </c>
      <c r="GB67" s="392">
        <v>84</v>
      </c>
      <c r="GC67" s="392">
        <f t="shared" si="417"/>
        <v>157</v>
      </c>
      <c r="GD67" s="392">
        <v>90</v>
      </c>
      <c r="GE67" s="392">
        <v>95</v>
      </c>
      <c r="GF67" s="392">
        <f t="shared" si="418"/>
        <v>185</v>
      </c>
      <c r="GG67" s="392">
        <v>107</v>
      </c>
      <c r="GH67" s="392">
        <v>85</v>
      </c>
      <c r="GI67" s="392">
        <f t="shared" si="419"/>
        <v>192</v>
      </c>
      <c r="GJ67" s="392">
        <v>68</v>
      </c>
      <c r="GK67" s="392">
        <v>66</v>
      </c>
      <c r="GL67" s="392">
        <f t="shared" si="420"/>
        <v>134</v>
      </c>
      <c r="GM67" s="392">
        <v>68</v>
      </c>
      <c r="GN67" s="392">
        <v>55</v>
      </c>
      <c r="GO67" s="392">
        <f t="shared" si="421"/>
        <v>123</v>
      </c>
      <c r="GP67" s="392">
        <v>61</v>
      </c>
      <c r="GQ67" s="392">
        <v>60</v>
      </c>
      <c r="GR67" s="392">
        <f t="shared" si="422"/>
        <v>121</v>
      </c>
      <c r="GS67" s="392">
        <v>56</v>
      </c>
      <c r="GT67" s="392">
        <v>63</v>
      </c>
      <c r="GU67" s="392">
        <f t="shared" si="423"/>
        <v>119</v>
      </c>
      <c r="GV67" s="392">
        <v>53</v>
      </c>
      <c r="GW67" s="392">
        <v>47</v>
      </c>
      <c r="GX67" s="392">
        <f t="shared" si="424"/>
        <v>100</v>
      </c>
      <c r="GY67" s="392">
        <v>45</v>
      </c>
      <c r="GZ67" s="392">
        <v>51</v>
      </c>
      <c r="HA67" s="392">
        <f t="shared" si="425"/>
        <v>96</v>
      </c>
      <c r="HB67" s="392">
        <v>45</v>
      </c>
      <c r="HC67" s="392">
        <v>38</v>
      </c>
      <c r="HD67" s="392">
        <f t="shared" si="426"/>
        <v>83</v>
      </c>
      <c r="HE67" s="392">
        <v>30</v>
      </c>
      <c r="HF67" s="392">
        <v>50</v>
      </c>
      <c r="HG67" s="392">
        <f t="shared" si="427"/>
        <v>80</v>
      </c>
      <c r="HH67" s="392">
        <v>37</v>
      </c>
      <c r="HI67" s="392">
        <v>39</v>
      </c>
      <c r="HJ67" s="392">
        <f t="shared" si="428"/>
        <v>76</v>
      </c>
      <c r="HK67" s="392">
        <v>23</v>
      </c>
      <c r="HL67" s="392">
        <v>21</v>
      </c>
      <c r="HM67" s="392">
        <f t="shared" si="429"/>
        <v>44</v>
      </c>
      <c r="HN67" s="392">
        <v>28</v>
      </c>
      <c r="HO67" s="392">
        <v>27</v>
      </c>
      <c r="HP67" s="392">
        <f t="shared" si="430"/>
        <v>55</v>
      </c>
      <c r="HQ67" s="392">
        <v>32</v>
      </c>
      <c r="HR67" s="392">
        <v>27</v>
      </c>
      <c r="HS67" s="392">
        <f t="shared" si="431"/>
        <v>59</v>
      </c>
      <c r="HT67" s="392">
        <v>21</v>
      </c>
      <c r="HU67" s="392">
        <v>22</v>
      </c>
      <c r="HV67" s="392">
        <f t="shared" si="432"/>
        <v>43</v>
      </c>
      <c r="HW67" s="392">
        <v>21</v>
      </c>
      <c r="HX67" s="392">
        <v>26</v>
      </c>
      <c r="HY67" s="392">
        <f t="shared" si="433"/>
        <v>47</v>
      </c>
      <c r="HZ67" s="392">
        <v>10</v>
      </c>
      <c r="IA67" s="392">
        <v>15</v>
      </c>
      <c r="IB67" s="392">
        <f t="shared" si="434"/>
        <v>25</v>
      </c>
      <c r="IC67" s="392">
        <v>9</v>
      </c>
      <c r="ID67" s="392">
        <v>15</v>
      </c>
      <c r="IE67" s="392">
        <f t="shared" si="435"/>
        <v>24</v>
      </c>
      <c r="IF67" s="392">
        <v>14</v>
      </c>
      <c r="IG67" s="392">
        <v>6</v>
      </c>
      <c r="IH67" s="392">
        <f t="shared" si="436"/>
        <v>20</v>
      </c>
      <c r="II67" s="392">
        <v>5</v>
      </c>
      <c r="IJ67" s="392">
        <v>14</v>
      </c>
      <c r="IK67" s="392">
        <f t="shared" si="437"/>
        <v>19</v>
      </c>
      <c r="IL67" s="392">
        <v>13</v>
      </c>
      <c r="IM67" s="392">
        <v>11</v>
      </c>
      <c r="IN67" s="392">
        <f t="shared" si="438"/>
        <v>24</v>
      </c>
      <c r="IO67" s="392">
        <v>14</v>
      </c>
      <c r="IP67" s="392">
        <v>10</v>
      </c>
      <c r="IQ67" s="392">
        <f t="shared" si="439"/>
        <v>24</v>
      </c>
      <c r="IR67" s="392">
        <v>7</v>
      </c>
      <c r="IS67" s="392">
        <v>13</v>
      </c>
      <c r="IT67" s="392">
        <f t="shared" si="440"/>
        <v>20</v>
      </c>
      <c r="IU67" s="392">
        <v>15</v>
      </c>
      <c r="IV67" s="392">
        <v>12</v>
      </c>
      <c r="IW67" s="392">
        <f t="shared" si="441"/>
        <v>27</v>
      </c>
      <c r="IX67" s="392">
        <v>4</v>
      </c>
      <c r="IY67" s="392">
        <v>5</v>
      </c>
      <c r="IZ67" s="392">
        <f t="shared" si="442"/>
        <v>9</v>
      </c>
      <c r="JA67" s="392">
        <v>4</v>
      </c>
      <c r="JB67" s="392">
        <v>15</v>
      </c>
      <c r="JC67" s="392">
        <f t="shared" si="443"/>
        <v>19</v>
      </c>
      <c r="JD67" s="392">
        <v>2</v>
      </c>
      <c r="JE67" s="392">
        <v>7</v>
      </c>
      <c r="JF67" s="392">
        <f t="shared" si="444"/>
        <v>9</v>
      </c>
      <c r="JG67" s="392">
        <v>2</v>
      </c>
      <c r="JH67" s="392">
        <v>3</v>
      </c>
      <c r="JI67" s="392">
        <f t="shared" si="445"/>
        <v>5</v>
      </c>
      <c r="JJ67" s="392">
        <v>1</v>
      </c>
      <c r="JK67" s="392">
        <v>1</v>
      </c>
      <c r="JL67" s="392">
        <f t="shared" si="446"/>
        <v>2</v>
      </c>
      <c r="JM67" s="392">
        <v>2</v>
      </c>
      <c r="JN67" s="392">
        <v>3</v>
      </c>
      <c r="JO67" s="392">
        <f t="shared" si="447"/>
        <v>5</v>
      </c>
      <c r="JP67" s="392">
        <v>0</v>
      </c>
      <c r="JQ67" s="392">
        <v>5</v>
      </c>
      <c r="JR67" s="392">
        <f t="shared" si="448"/>
        <v>5</v>
      </c>
      <c r="JS67" s="392">
        <v>4</v>
      </c>
      <c r="JT67" s="392">
        <v>2</v>
      </c>
      <c r="JU67" s="392">
        <f t="shared" si="449"/>
        <v>6</v>
      </c>
      <c r="JV67" s="392">
        <v>1</v>
      </c>
      <c r="JW67" s="392">
        <v>1</v>
      </c>
      <c r="JX67" s="392">
        <f t="shared" si="450"/>
        <v>2</v>
      </c>
      <c r="JY67" s="392">
        <v>1</v>
      </c>
      <c r="JZ67" s="392">
        <v>1</v>
      </c>
      <c r="KA67" s="392">
        <f t="shared" si="451"/>
        <v>2</v>
      </c>
      <c r="KB67" s="392">
        <v>1</v>
      </c>
      <c r="KC67" s="392">
        <v>0</v>
      </c>
      <c r="KD67" s="392">
        <f t="shared" si="452"/>
        <v>1</v>
      </c>
      <c r="KE67" s="392">
        <v>0</v>
      </c>
      <c r="KF67" s="392">
        <v>0</v>
      </c>
      <c r="KG67" s="392">
        <f t="shared" si="453"/>
        <v>0</v>
      </c>
      <c r="KH67" s="392">
        <v>0</v>
      </c>
      <c r="KI67" s="392">
        <v>0</v>
      </c>
      <c r="KJ67" s="392">
        <f t="shared" si="454"/>
        <v>0</v>
      </c>
      <c r="KK67" s="392">
        <v>0</v>
      </c>
      <c r="KL67" s="392">
        <v>0</v>
      </c>
      <c r="KM67" s="392">
        <f t="shared" si="455"/>
        <v>0</v>
      </c>
      <c r="KN67" s="392">
        <v>0</v>
      </c>
      <c r="KO67" s="392">
        <v>1</v>
      </c>
      <c r="KP67" s="392">
        <f t="shared" si="456"/>
        <v>1</v>
      </c>
      <c r="KQ67" s="392">
        <v>1</v>
      </c>
      <c r="KR67" s="392">
        <v>0</v>
      </c>
      <c r="KS67" s="392">
        <f t="shared" si="457"/>
        <v>1</v>
      </c>
      <c r="KT67" s="392">
        <v>0</v>
      </c>
      <c r="KU67" s="392">
        <v>0</v>
      </c>
      <c r="KV67" s="392">
        <f t="shared" si="458"/>
        <v>0</v>
      </c>
      <c r="KW67" s="392">
        <v>0</v>
      </c>
      <c r="KX67" s="392">
        <v>0</v>
      </c>
      <c r="KY67" s="392">
        <f t="shared" si="459"/>
        <v>0</v>
      </c>
      <c r="KZ67" s="392">
        <v>0</v>
      </c>
      <c r="LA67" s="392">
        <v>0</v>
      </c>
      <c r="LB67" s="392">
        <f t="shared" si="460"/>
        <v>0</v>
      </c>
      <c r="LC67" s="392">
        <v>0</v>
      </c>
      <c r="LD67" s="392">
        <v>0</v>
      </c>
      <c r="LE67" s="392">
        <f t="shared" si="461"/>
        <v>0</v>
      </c>
      <c r="LF67" s="392">
        <v>0</v>
      </c>
      <c r="LG67" s="392">
        <v>0</v>
      </c>
      <c r="LH67" s="392">
        <f t="shared" si="462"/>
        <v>0</v>
      </c>
      <c r="LI67" s="392">
        <v>0</v>
      </c>
      <c r="LJ67" s="392">
        <v>0</v>
      </c>
      <c r="LK67" s="392">
        <f t="shared" si="463"/>
        <v>0</v>
      </c>
      <c r="LL67" s="392">
        <v>0</v>
      </c>
      <c r="LM67" s="392">
        <v>0</v>
      </c>
      <c r="LN67" s="392">
        <f t="shared" si="464"/>
        <v>0</v>
      </c>
      <c r="LO67" s="392">
        <v>0</v>
      </c>
      <c r="LP67" s="392">
        <v>0</v>
      </c>
      <c r="LQ67" s="392">
        <f t="shared" si="465"/>
        <v>0</v>
      </c>
      <c r="LR67" s="392">
        <v>0</v>
      </c>
      <c r="LS67" s="392">
        <v>0</v>
      </c>
      <c r="LT67" s="392">
        <f t="shared" si="466"/>
        <v>0</v>
      </c>
      <c r="LU67" s="392">
        <v>0</v>
      </c>
      <c r="LV67" s="392">
        <v>0</v>
      </c>
      <c r="LW67" s="392">
        <f t="shared" si="467"/>
        <v>0</v>
      </c>
      <c r="LX67" s="392">
        <v>0</v>
      </c>
      <c r="LY67" s="392">
        <v>0</v>
      </c>
      <c r="LZ67" s="392">
        <f t="shared" si="468"/>
        <v>0</v>
      </c>
      <c r="MA67" s="392">
        <v>0</v>
      </c>
      <c r="MB67" s="392">
        <v>0</v>
      </c>
      <c r="MC67" s="392">
        <f t="shared" si="469"/>
        <v>0</v>
      </c>
      <c r="MD67" s="392">
        <v>0</v>
      </c>
      <c r="ME67" s="392">
        <v>0</v>
      </c>
      <c r="MF67" s="392">
        <f t="shared" si="470"/>
        <v>0</v>
      </c>
      <c r="MG67" s="392">
        <v>0</v>
      </c>
      <c r="MH67" s="392">
        <v>0</v>
      </c>
      <c r="MI67" s="392">
        <f t="shared" si="471"/>
        <v>0</v>
      </c>
      <c r="MJ67" s="392">
        <v>0</v>
      </c>
      <c r="MK67" s="392">
        <v>0</v>
      </c>
      <c r="ML67" s="392">
        <f t="shared" si="472"/>
        <v>0</v>
      </c>
      <c r="MM67" s="392">
        <v>0</v>
      </c>
      <c r="MN67" s="392">
        <v>0</v>
      </c>
      <c r="MO67" s="392">
        <f t="shared" si="473"/>
        <v>0</v>
      </c>
      <c r="MP67" s="392">
        <v>0</v>
      </c>
      <c r="MQ67" s="392">
        <v>0</v>
      </c>
      <c r="MR67" s="392">
        <f t="shared" si="474"/>
        <v>0</v>
      </c>
      <c r="MS67" s="392">
        <v>0</v>
      </c>
      <c r="MT67" s="392">
        <v>0</v>
      </c>
      <c r="MU67" s="392">
        <f t="shared" si="475"/>
        <v>0</v>
      </c>
      <c r="MV67" s="392">
        <v>0</v>
      </c>
      <c r="MW67" s="392">
        <v>0</v>
      </c>
      <c r="MX67" s="392">
        <f t="shared" si="476"/>
        <v>0</v>
      </c>
      <c r="MY67" s="392">
        <v>0</v>
      </c>
      <c r="MZ67" s="392">
        <v>0</v>
      </c>
      <c r="NA67" s="567">
        <f t="shared" si="477"/>
        <v>0</v>
      </c>
      <c r="NB67" s="392">
        <v>0</v>
      </c>
      <c r="NC67" s="392">
        <v>0</v>
      </c>
      <c r="ND67" s="565">
        <f t="shared" si="478"/>
        <v>0</v>
      </c>
      <c r="NE67" s="559">
        <f t="shared" si="490"/>
        <v>11855</v>
      </c>
      <c r="NF67" s="388">
        <f t="shared" si="490"/>
        <v>11792</v>
      </c>
      <c r="NG67" s="576">
        <f t="shared" si="480"/>
        <v>23647</v>
      </c>
      <c r="NH67" s="575">
        <f t="shared" si="481"/>
        <v>993</v>
      </c>
      <c r="NI67" s="396">
        <f t="shared" si="481"/>
        <v>980</v>
      </c>
      <c r="NJ67" s="576">
        <f t="shared" si="482"/>
        <v>1973</v>
      </c>
    </row>
    <row r="68" spans="1:374" x14ac:dyDescent="0.3">
      <c r="A68" s="587" t="s">
        <v>311</v>
      </c>
      <c r="B68" s="588" t="s">
        <v>138</v>
      </c>
      <c r="C68" s="538">
        <v>993</v>
      </c>
      <c r="D68" s="372">
        <v>916</v>
      </c>
      <c r="E68" s="372">
        <f t="shared" si="357"/>
        <v>1909</v>
      </c>
      <c r="F68" s="372">
        <v>1244</v>
      </c>
      <c r="G68" s="372">
        <v>1138</v>
      </c>
      <c r="H68" s="372">
        <f t="shared" si="358"/>
        <v>2382</v>
      </c>
      <c r="I68" s="372">
        <v>1432</v>
      </c>
      <c r="J68" s="372">
        <v>1387</v>
      </c>
      <c r="K68" s="372">
        <f t="shared" si="359"/>
        <v>2819</v>
      </c>
      <c r="L68" s="372">
        <v>1672</v>
      </c>
      <c r="M68" s="372">
        <v>1621</v>
      </c>
      <c r="N68" s="372">
        <f t="shared" si="360"/>
        <v>3293</v>
      </c>
      <c r="O68" s="372">
        <v>1813</v>
      </c>
      <c r="P68" s="372">
        <v>1643</v>
      </c>
      <c r="Q68" s="372">
        <f t="shared" si="361"/>
        <v>3456</v>
      </c>
      <c r="R68" s="372">
        <v>1924</v>
      </c>
      <c r="S68" s="372">
        <v>1777</v>
      </c>
      <c r="T68" s="372">
        <f t="shared" si="362"/>
        <v>3701</v>
      </c>
      <c r="U68" s="372">
        <v>2106</v>
      </c>
      <c r="V68" s="372">
        <v>2024</v>
      </c>
      <c r="W68" s="372">
        <f t="shared" si="363"/>
        <v>4130</v>
      </c>
      <c r="X68" s="372">
        <v>2133</v>
      </c>
      <c r="Y68" s="372">
        <v>2011</v>
      </c>
      <c r="Z68" s="372">
        <f t="shared" si="364"/>
        <v>4144</v>
      </c>
      <c r="AA68" s="372">
        <v>2083</v>
      </c>
      <c r="AB68" s="372">
        <v>1944</v>
      </c>
      <c r="AC68" s="372">
        <f t="shared" si="365"/>
        <v>4027</v>
      </c>
      <c r="AD68" s="372">
        <v>1988</v>
      </c>
      <c r="AE68" s="372">
        <v>1875</v>
      </c>
      <c r="AF68" s="372">
        <f t="shared" si="366"/>
        <v>3863</v>
      </c>
      <c r="AG68" s="372">
        <v>2164</v>
      </c>
      <c r="AH68" s="372">
        <v>1925</v>
      </c>
      <c r="AI68" s="372">
        <f t="shared" si="367"/>
        <v>4089</v>
      </c>
      <c r="AJ68" s="372">
        <v>2030</v>
      </c>
      <c r="AK68" s="372">
        <v>1950</v>
      </c>
      <c r="AL68" s="372">
        <f t="shared" si="368"/>
        <v>3980</v>
      </c>
      <c r="AM68" s="372">
        <v>2171</v>
      </c>
      <c r="AN68" s="372">
        <v>2034</v>
      </c>
      <c r="AO68" s="372">
        <f t="shared" si="369"/>
        <v>4205</v>
      </c>
      <c r="AP68" s="372">
        <v>2165</v>
      </c>
      <c r="AQ68" s="372">
        <v>1991</v>
      </c>
      <c r="AR68" s="372">
        <f t="shared" si="370"/>
        <v>4156</v>
      </c>
      <c r="AS68" s="372">
        <v>2286</v>
      </c>
      <c r="AT68" s="372">
        <v>2190</v>
      </c>
      <c r="AU68" s="372">
        <f t="shared" si="371"/>
        <v>4476</v>
      </c>
      <c r="AV68" s="372">
        <v>2151</v>
      </c>
      <c r="AW68" s="372">
        <v>2038</v>
      </c>
      <c r="AX68" s="372">
        <f t="shared" si="372"/>
        <v>4189</v>
      </c>
      <c r="AY68" s="372">
        <v>2175</v>
      </c>
      <c r="AZ68" s="372">
        <v>2051</v>
      </c>
      <c r="BA68" s="372">
        <f t="shared" si="373"/>
        <v>4226</v>
      </c>
      <c r="BB68" s="372">
        <v>1951</v>
      </c>
      <c r="BC68" s="372">
        <v>1932</v>
      </c>
      <c r="BD68" s="372">
        <f t="shared" si="374"/>
        <v>3883</v>
      </c>
      <c r="BE68" s="372">
        <v>2084</v>
      </c>
      <c r="BF68" s="372">
        <v>1955</v>
      </c>
      <c r="BG68" s="372">
        <f t="shared" si="375"/>
        <v>4039</v>
      </c>
      <c r="BH68" s="372">
        <v>2168</v>
      </c>
      <c r="BI68" s="372">
        <v>2083</v>
      </c>
      <c r="BJ68" s="372">
        <f t="shared" si="376"/>
        <v>4251</v>
      </c>
      <c r="BK68" s="372">
        <v>2087</v>
      </c>
      <c r="BL68" s="372">
        <v>1904</v>
      </c>
      <c r="BM68" s="372">
        <f t="shared" si="377"/>
        <v>3991</v>
      </c>
      <c r="BN68" s="372">
        <v>1996</v>
      </c>
      <c r="BO68" s="372">
        <v>1878</v>
      </c>
      <c r="BP68" s="372">
        <f t="shared" si="378"/>
        <v>3874</v>
      </c>
      <c r="BQ68" s="372">
        <v>2059</v>
      </c>
      <c r="BR68" s="372">
        <v>1886</v>
      </c>
      <c r="BS68" s="372">
        <f t="shared" si="379"/>
        <v>3945</v>
      </c>
      <c r="BT68" s="372">
        <v>2174</v>
      </c>
      <c r="BU68" s="372">
        <v>1988</v>
      </c>
      <c r="BV68" s="372">
        <f t="shared" si="380"/>
        <v>4162</v>
      </c>
      <c r="BW68" s="372">
        <v>1924</v>
      </c>
      <c r="BX68" s="372">
        <v>1923</v>
      </c>
      <c r="BY68" s="372">
        <f t="shared" si="381"/>
        <v>3847</v>
      </c>
      <c r="BZ68" s="372">
        <v>2014</v>
      </c>
      <c r="CA68" s="372">
        <v>1927</v>
      </c>
      <c r="CB68" s="372">
        <f t="shared" si="382"/>
        <v>3941</v>
      </c>
      <c r="CC68" s="372">
        <v>1995</v>
      </c>
      <c r="CD68" s="372">
        <v>1988</v>
      </c>
      <c r="CE68" s="372">
        <f t="shared" si="383"/>
        <v>3983</v>
      </c>
      <c r="CF68" s="372">
        <v>1667</v>
      </c>
      <c r="CG68" s="372">
        <v>1647</v>
      </c>
      <c r="CH68" s="372">
        <f t="shared" si="384"/>
        <v>3314</v>
      </c>
      <c r="CI68" s="372">
        <v>1745</v>
      </c>
      <c r="CJ68" s="372">
        <v>1797</v>
      </c>
      <c r="CK68" s="372">
        <f t="shared" si="385"/>
        <v>3542</v>
      </c>
      <c r="CL68" s="372">
        <v>1703</v>
      </c>
      <c r="CM68" s="372">
        <v>1751</v>
      </c>
      <c r="CN68" s="372">
        <f t="shared" si="386"/>
        <v>3454</v>
      </c>
      <c r="CO68" s="372">
        <v>1771</v>
      </c>
      <c r="CP68" s="372">
        <v>1955</v>
      </c>
      <c r="CQ68" s="372">
        <f t="shared" si="387"/>
        <v>3726</v>
      </c>
      <c r="CR68" s="372">
        <v>1780</v>
      </c>
      <c r="CS68" s="372">
        <v>1867</v>
      </c>
      <c r="CT68" s="372">
        <f t="shared" si="388"/>
        <v>3647</v>
      </c>
      <c r="CU68" s="372">
        <v>1672</v>
      </c>
      <c r="CV68" s="372">
        <v>1789</v>
      </c>
      <c r="CW68" s="372">
        <f t="shared" si="389"/>
        <v>3461</v>
      </c>
      <c r="CX68" s="372">
        <v>1766</v>
      </c>
      <c r="CY68" s="372">
        <v>1869</v>
      </c>
      <c r="CZ68" s="372">
        <f t="shared" si="390"/>
        <v>3635</v>
      </c>
      <c r="DA68" s="372">
        <v>1718</v>
      </c>
      <c r="DB68" s="372">
        <v>1750</v>
      </c>
      <c r="DC68" s="372">
        <f t="shared" si="391"/>
        <v>3468</v>
      </c>
      <c r="DD68" s="372">
        <v>1638</v>
      </c>
      <c r="DE68" s="372">
        <v>1680</v>
      </c>
      <c r="DF68" s="372">
        <f t="shared" si="392"/>
        <v>3318</v>
      </c>
      <c r="DG68" s="372">
        <v>1692</v>
      </c>
      <c r="DH68" s="372">
        <v>1847</v>
      </c>
      <c r="DI68" s="372">
        <f t="shared" si="393"/>
        <v>3539</v>
      </c>
      <c r="DJ68" s="372">
        <v>1571</v>
      </c>
      <c r="DK68" s="372">
        <v>1629</v>
      </c>
      <c r="DL68" s="372">
        <f t="shared" si="394"/>
        <v>3200</v>
      </c>
      <c r="DM68" s="372">
        <v>1517</v>
      </c>
      <c r="DN68" s="372">
        <v>1639</v>
      </c>
      <c r="DO68" s="372">
        <f t="shared" si="395"/>
        <v>3156</v>
      </c>
      <c r="DP68" s="372">
        <v>1531</v>
      </c>
      <c r="DQ68" s="372">
        <v>1584</v>
      </c>
      <c r="DR68" s="372">
        <f t="shared" si="396"/>
        <v>3115</v>
      </c>
      <c r="DS68" s="372">
        <v>1628</v>
      </c>
      <c r="DT68" s="372">
        <v>1722</v>
      </c>
      <c r="DU68" s="372">
        <f t="shared" si="397"/>
        <v>3350</v>
      </c>
      <c r="DV68" s="372">
        <v>1678</v>
      </c>
      <c r="DW68" s="372">
        <v>1879</v>
      </c>
      <c r="DX68" s="372">
        <f t="shared" si="398"/>
        <v>3557</v>
      </c>
      <c r="DY68" s="372">
        <v>1691</v>
      </c>
      <c r="DZ68" s="372">
        <v>1858</v>
      </c>
      <c r="EA68" s="372">
        <f t="shared" si="399"/>
        <v>3549</v>
      </c>
      <c r="EB68" s="372">
        <v>1907</v>
      </c>
      <c r="EC68" s="372">
        <v>2045</v>
      </c>
      <c r="ED68" s="372">
        <f t="shared" si="400"/>
        <v>3952</v>
      </c>
      <c r="EE68" s="372">
        <v>1880</v>
      </c>
      <c r="EF68" s="372">
        <v>2038</v>
      </c>
      <c r="EG68" s="372">
        <f t="shared" si="401"/>
        <v>3918</v>
      </c>
      <c r="EH68" s="372">
        <v>1727</v>
      </c>
      <c r="EI68" s="372">
        <v>1948</v>
      </c>
      <c r="EJ68" s="372">
        <f t="shared" si="402"/>
        <v>3675</v>
      </c>
      <c r="EK68" s="372">
        <v>1876</v>
      </c>
      <c r="EL68" s="372">
        <v>2072</v>
      </c>
      <c r="EM68" s="372">
        <f t="shared" si="403"/>
        <v>3948</v>
      </c>
      <c r="EN68" s="372">
        <v>1698</v>
      </c>
      <c r="EO68" s="372">
        <v>1960</v>
      </c>
      <c r="EP68" s="372">
        <f t="shared" si="404"/>
        <v>3658</v>
      </c>
      <c r="EQ68" s="372">
        <v>1758</v>
      </c>
      <c r="ER68" s="372">
        <v>1838</v>
      </c>
      <c r="ES68" s="372">
        <f t="shared" si="405"/>
        <v>3596</v>
      </c>
      <c r="ET68" s="372">
        <v>1779</v>
      </c>
      <c r="EU68" s="372">
        <v>1953</v>
      </c>
      <c r="EV68" s="372">
        <f t="shared" si="406"/>
        <v>3732</v>
      </c>
      <c r="EW68" s="372">
        <v>1747</v>
      </c>
      <c r="EX68" s="372">
        <v>1912</v>
      </c>
      <c r="EY68" s="372">
        <f t="shared" si="407"/>
        <v>3659</v>
      </c>
      <c r="EZ68" s="372">
        <v>1718</v>
      </c>
      <c r="FA68" s="372">
        <v>1839</v>
      </c>
      <c r="FB68" s="372">
        <f t="shared" si="408"/>
        <v>3557</v>
      </c>
      <c r="FC68" s="372">
        <v>1574</v>
      </c>
      <c r="FD68" s="372">
        <v>1622</v>
      </c>
      <c r="FE68" s="372">
        <f t="shared" si="409"/>
        <v>3196</v>
      </c>
      <c r="FF68" s="372">
        <v>1632</v>
      </c>
      <c r="FG68" s="372">
        <v>1708</v>
      </c>
      <c r="FH68" s="372">
        <f t="shared" si="410"/>
        <v>3340</v>
      </c>
      <c r="FI68" s="372">
        <v>1588</v>
      </c>
      <c r="FJ68" s="372">
        <v>1530</v>
      </c>
      <c r="FK68" s="372">
        <f t="shared" si="411"/>
        <v>3118</v>
      </c>
      <c r="FL68" s="372">
        <v>1507</v>
      </c>
      <c r="FM68" s="372">
        <v>1413</v>
      </c>
      <c r="FN68" s="372">
        <f t="shared" si="412"/>
        <v>2920</v>
      </c>
      <c r="FO68" s="372">
        <v>1537</v>
      </c>
      <c r="FP68" s="372">
        <v>1467</v>
      </c>
      <c r="FQ68" s="372">
        <f t="shared" si="413"/>
        <v>3004</v>
      </c>
      <c r="FR68" s="372">
        <v>1338</v>
      </c>
      <c r="FS68" s="372">
        <v>1240</v>
      </c>
      <c r="FT68" s="372">
        <f t="shared" si="414"/>
        <v>2578</v>
      </c>
      <c r="FU68" s="372">
        <v>1260</v>
      </c>
      <c r="FV68" s="372">
        <v>1153</v>
      </c>
      <c r="FW68" s="372">
        <f t="shared" si="415"/>
        <v>2413</v>
      </c>
      <c r="FX68" s="372">
        <v>1030</v>
      </c>
      <c r="FY68" s="372">
        <v>968</v>
      </c>
      <c r="FZ68" s="372">
        <f t="shared" si="416"/>
        <v>1998</v>
      </c>
      <c r="GA68" s="372">
        <v>1030</v>
      </c>
      <c r="GB68" s="372">
        <v>912</v>
      </c>
      <c r="GC68" s="372">
        <f t="shared" si="417"/>
        <v>1942</v>
      </c>
      <c r="GD68" s="372">
        <v>915</v>
      </c>
      <c r="GE68" s="372">
        <v>846</v>
      </c>
      <c r="GF68" s="372">
        <f t="shared" si="418"/>
        <v>1761</v>
      </c>
      <c r="GG68" s="372">
        <v>807</v>
      </c>
      <c r="GH68" s="372">
        <v>700</v>
      </c>
      <c r="GI68" s="372">
        <f t="shared" si="419"/>
        <v>1507</v>
      </c>
      <c r="GJ68" s="372">
        <v>707</v>
      </c>
      <c r="GK68" s="372">
        <v>673</v>
      </c>
      <c r="GL68" s="372">
        <f t="shared" si="420"/>
        <v>1380</v>
      </c>
      <c r="GM68" s="372">
        <v>582</v>
      </c>
      <c r="GN68" s="372">
        <v>549</v>
      </c>
      <c r="GO68" s="372">
        <f t="shared" si="421"/>
        <v>1131</v>
      </c>
      <c r="GP68" s="372">
        <v>619</v>
      </c>
      <c r="GQ68" s="372">
        <v>542</v>
      </c>
      <c r="GR68" s="372">
        <f t="shared" si="422"/>
        <v>1161</v>
      </c>
      <c r="GS68" s="372">
        <v>559</v>
      </c>
      <c r="GT68" s="372">
        <v>531</v>
      </c>
      <c r="GU68" s="372">
        <f t="shared" si="423"/>
        <v>1090</v>
      </c>
      <c r="GV68" s="372">
        <v>432</v>
      </c>
      <c r="GW68" s="372">
        <v>445</v>
      </c>
      <c r="GX68" s="372">
        <f t="shared" si="424"/>
        <v>877</v>
      </c>
      <c r="GY68" s="372">
        <v>417</v>
      </c>
      <c r="GZ68" s="372">
        <v>453</v>
      </c>
      <c r="HA68" s="372">
        <f t="shared" si="425"/>
        <v>870</v>
      </c>
      <c r="HB68" s="372">
        <v>322</v>
      </c>
      <c r="HC68" s="372">
        <v>299</v>
      </c>
      <c r="HD68" s="372">
        <f t="shared" si="426"/>
        <v>621</v>
      </c>
      <c r="HE68" s="372">
        <v>300</v>
      </c>
      <c r="HF68" s="372">
        <v>341</v>
      </c>
      <c r="HG68" s="372">
        <f t="shared" si="427"/>
        <v>641</v>
      </c>
      <c r="HH68" s="372">
        <v>305</v>
      </c>
      <c r="HI68" s="372">
        <v>308</v>
      </c>
      <c r="HJ68" s="372">
        <f t="shared" si="428"/>
        <v>613</v>
      </c>
      <c r="HK68" s="372">
        <v>243</v>
      </c>
      <c r="HL68" s="372">
        <v>267</v>
      </c>
      <c r="HM68" s="372">
        <f t="shared" si="429"/>
        <v>510</v>
      </c>
      <c r="HN68" s="372">
        <v>191</v>
      </c>
      <c r="HO68" s="372">
        <v>217</v>
      </c>
      <c r="HP68" s="372">
        <f t="shared" si="430"/>
        <v>408</v>
      </c>
      <c r="HQ68" s="372">
        <v>177</v>
      </c>
      <c r="HR68" s="372">
        <v>203</v>
      </c>
      <c r="HS68" s="372">
        <f t="shared" si="431"/>
        <v>380</v>
      </c>
      <c r="HT68" s="372">
        <v>175</v>
      </c>
      <c r="HU68" s="372">
        <v>196</v>
      </c>
      <c r="HV68" s="372">
        <f t="shared" si="432"/>
        <v>371</v>
      </c>
      <c r="HW68" s="372">
        <v>163</v>
      </c>
      <c r="HX68" s="372">
        <v>201</v>
      </c>
      <c r="HY68" s="372">
        <f t="shared" si="433"/>
        <v>364</v>
      </c>
      <c r="HZ68" s="372">
        <v>97</v>
      </c>
      <c r="IA68" s="372">
        <v>113</v>
      </c>
      <c r="IB68" s="372">
        <f t="shared" si="434"/>
        <v>210</v>
      </c>
      <c r="IC68" s="372">
        <v>88</v>
      </c>
      <c r="ID68" s="372">
        <v>116</v>
      </c>
      <c r="IE68" s="372">
        <f t="shared" si="435"/>
        <v>204</v>
      </c>
      <c r="IF68" s="372">
        <v>66</v>
      </c>
      <c r="IG68" s="372">
        <v>102</v>
      </c>
      <c r="IH68" s="372">
        <f t="shared" si="436"/>
        <v>168</v>
      </c>
      <c r="II68" s="372">
        <v>62</v>
      </c>
      <c r="IJ68" s="372">
        <v>110</v>
      </c>
      <c r="IK68" s="372">
        <f t="shared" si="437"/>
        <v>172</v>
      </c>
      <c r="IL68" s="372">
        <v>71</v>
      </c>
      <c r="IM68" s="372">
        <v>96</v>
      </c>
      <c r="IN68" s="372">
        <f t="shared" si="438"/>
        <v>167</v>
      </c>
      <c r="IO68" s="372">
        <v>52</v>
      </c>
      <c r="IP68" s="372">
        <v>69</v>
      </c>
      <c r="IQ68" s="372">
        <f t="shared" si="439"/>
        <v>121</v>
      </c>
      <c r="IR68" s="372">
        <v>50</v>
      </c>
      <c r="IS68" s="372">
        <v>63</v>
      </c>
      <c r="IT68" s="372">
        <f t="shared" si="440"/>
        <v>113</v>
      </c>
      <c r="IU68" s="372">
        <v>34</v>
      </c>
      <c r="IV68" s="372">
        <v>48</v>
      </c>
      <c r="IW68" s="372">
        <f t="shared" si="441"/>
        <v>82</v>
      </c>
      <c r="IX68" s="372">
        <v>36</v>
      </c>
      <c r="IY68" s="372">
        <v>60</v>
      </c>
      <c r="IZ68" s="372">
        <f t="shared" si="442"/>
        <v>96</v>
      </c>
      <c r="JA68" s="372">
        <v>27</v>
      </c>
      <c r="JB68" s="372">
        <v>57</v>
      </c>
      <c r="JC68" s="372">
        <f t="shared" si="443"/>
        <v>84</v>
      </c>
      <c r="JD68" s="372">
        <v>12</v>
      </c>
      <c r="JE68" s="372">
        <v>46</v>
      </c>
      <c r="JF68" s="372">
        <f t="shared" si="444"/>
        <v>58</v>
      </c>
      <c r="JG68" s="372">
        <v>23</v>
      </c>
      <c r="JH68" s="372">
        <v>25</v>
      </c>
      <c r="JI68" s="372">
        <f t="shared" si="445"/>
        <v>48</v>
      </c>
      <c r="JJ68" s="372">
        <v>11</v>
      </c>
      <c r="JK68" s="372">
        <v>21</v>
      </c>
      <c r="JL68" s="372">
        <f t="shared" si="446"/>
        <v>32</v>
      </c>
      <c r="JM68" s="372">
        <v>12</v>
      </c>
      <c r="JN68" s="372">
        <v>32</v>
      </c>
      <c r="JO68" s="372">
        <f t="shared" si="447"/>
        <v>44</v>
      </c>
      <c r="JP68" s="372">
        <v>17</v>
      </c>
      <c r="JQ68" s="372">
        <v>25</v>
      </c>
      <c r="JR68" s="372">
        <f t="shared" si="448"/>
        <v>42</v>
      </c>
      <c r="JS68" s="372">
        <v>9</v>
      </c>
      <c r="JT68" s="372">
        <v>12</v>
      </c>
      <c r="JU68" s="372">
        <f t="shared" si="449"/>
        <v>21</v>
      </c>
      <c r="JV68" s="372">
        <v>10</v>
      </c>
      <c r="JW68" s="372">
        <v>12</v>
      </c>
      <c r="JX68" s="372">
        <f t="shared" si="450"/>
        <v>22</v>
      </c>
      <c r="JY68" s="372">
        <v>5</v>
      </c>
      <c r="JZ68" s="372">
        <v>4</v>
      </c>
      <c r="KA68" s="372">
        <f t="shared" si="451"/>
        <v>9</v>
      </c>
      <c r="KB68" s="372">
        <v>4</v>
      </c>
      <c r="KC68" s="372">
        <v>2</v>
      </c>
      <c r="KD68" s="372">
        <f t="shared" si="452"/>
        <v>6</v>
      </c>
      <c r="KE68" s="372">
        <v>2</v>
      </c>
      <c r="KF68" s="372">
        <v>10</v>
      </c>
      <c r="KG68" s="372">
        <f t="shared" si="453"/>
        <v>12</v>
      </c>
      <c r="KH68" s="372">
        <v>3</v>
      </c>
      <c r="KI68" s="372">
        <v>1</v>
      </c>
      <c r="KJ68" s="372">
        <f t="shared" si="454"/>
        <v>4</v>
      </c>
      <c r="KK68" s="372">
        <v>1</v>
      </c>
      <c r="KL68" s="372">
        <v>1</v>
      </c>
      <c r="KM68" s="372">
        <f t="shared" si="455"/>
        <v>2</v>
      </c>
      <c r="KN68" s="372">
        <v>1</v>
      </c>
      <c r="KO68" s="372">
        <v>0</v>
      </c>
      <c r="KP68" s="372">
        <f t="shared" si="456"/>
        <v>1</v>
      </c>
      <c r="KQ68" s="372">
        <v>1</v>
      </c>
      <c r="KR68" s="372">
        <v>0</v>
      </c>
      <c r="KS68" s="372">
        <f t="shared" si="457"/>
        <v>1</v>
      </c>
      <c r="KT68" s="372">
        <v>0</v>
      </c>
      <c r="KU68" s="372">
        <v>0</v>
      </c>
      <c r="KV68" s="372">
        <f t="shared" si="458"/>
        <v>0</v>
      </c>
      <c r="KW68" s="372">
        <v>0</v>
      </c>
      <c r="KX68" s="372">
        <v>0</v>
      </c>
      <c r="KY68" s="372">
        <f t="shared" si="459"/>
        <v>0</v>
      </c>
      <c r="KZ68" s="372">
        <v>0</v>
      </c>
      <c r="LA68" s="372">
        <v>0</v>
      </c>
      <c r="LB68" s="372">
        <f t="shared" si="460"/>
        <v>0</v>
      </c>
      <c r="LC68" s="372">
        <v>0</v>
      </c>
      <c r="LD68" s="372">
        <v>0</v>
      </c>
      <c r="LE68" s="372">
        <f t="shared" si="461"/>
        <v>0</v>
      </c>
      <c r="LF68" s="372">
        <v>0</v>
      </c>
      <c r="LG68" s="372">
        <v>0</v>
      </c>
      <c r="LH68" s="372">
        <f t="shared" si="462"/>
        <v>0</v>
      </c>
      <c r="LI68" s="372">
        <v>0</v>
      </c>
      <c r="LJ68" s="372">
        <v>0</v>
      </c>
      <c r="LK68" s="372">
        <f t="shared" si="463"/>
        <v>0</v>
      </c>
      <c r="LL68" s="372">
        <v>0</v>
      </c>
      <c r="LM68" s="372">
        <v>0</v>
      </c>
      <c r="LN68" s="372">
        <f t="shared" si="464"/>
        <v>0</v>
      </c>
      <c r="LO68" s="372">
        <v>0</v>
      </c>
      <c r="LP68" s="372">
        <v>0</v>
      </c>
      <c r="LQ68" s="372">
        <f t="shared" si="465"/>
        <v>0</v>
      </c>
      <c r="LR68" s="372">
        <v>0</v>
      </c>
      <c r="LS68" s="372">
        <v>0</v>
      </c>
      <c r="LT68" s="372">
        <f t="shared" si="466"/>
        <v>0</v>
      </c>
      <c r="LU68" s="372">
        <v>0</v>
      </c>
      <c r="LV68" s="372">
        <v>0</v>
      </c>
      <c r="LW68" s="372">
        <f t="shared" si="467"/>
        <v>0</v>
      </c>
      <c r="LX68" s="372">
        <v>0</v>
      </c>
      <c r="LY68" s="372">
        <v>0</v>
      </c>
      <c r="LZ68" s="372">
        <f t="shared" si="468"/>
        <v>0</v>
      </c>
      <c r="MA68" s="372">
        <v>0</v>
      </c>
      <c r="MB68" s="372">
        <v>0</v>
      </c>
      <c r="MC68" s="372">
        <f t="shared" si="469"/>
        <v>0</v>
      </c>
      <c r="MD68" s="372">
        <v>0</v>
      </c>
      <c r="ME68" s="372">
        <v>0</v>
      </c>
      <c r="MF68" s="372">
        <f t="shared" si="470"/>
        <v>0</v>
      </c>
      <c r="MG68" s="372">
        <v>0</v>
      </c>
      <c r="MH68" s="372">
        <v>0</v>
      </c>
      <c r="MI68" s="372">
        <f t="shared" si="471"/>
        <v>0</v>
      </c>
      <c r="MJ68" s="372">
        <v>0</v>
      </c>
      <c r="MK68" s="372">
        <v>0</v>
      </c>
      <c r="ML68" s="372">
        <f t="shared" si="472"/>
        <v>0</v>
      </c>
      <c r="MM68" s="372">
        <v>0</v>
      </c>
      <c r="MN68" s="372">
        <v>0</v>
      </c>
      <c r="MO68" s="372">
        <f t="shared" si="473"/>
        <v>0</v>
      </c>
      <c r="MP68" s="372">
        <v>0</v>
      </c>
      <c r="MQ68" s="372">
        <v>0</v>
      </c>
      <c r="MR68" s="372">
        <f t="shared" si="474"/>
        <v>0</v>
      </c>
      <c r="MS68" s="372">
        <v>0</v>
      </c>
      <c r="MT68" s="372">
        <v>0</v>
      </c>
      <c r="MU68" s="372">
        <f t="shared" si="475"/>
        <v>0</v>
      </c>
      <c r="MV68" s="372">
        <v>0</v>
      </c>
      <c r="MW68" s="372">
        <v>0</v>
      </c>
      <c r="MX68" s="372">
        <f t="shared" si="476"/>
        <v>0</v>
      </c>
      <c r="MY68" s="372">
        <v>0</v>
      </c>
      <c r="MZ68" s="372">
        <v>0</v>
      </c>
      <c r="NA68" s="539">
        <f t="shared" si="477"/>
        <v>0</v>
      </c>
      <c r="NB68" s="372">
        <v>0</v>
      </c>
      <c r="NC68" s="372">
        <v>0</v>
      </c>
      <c r="ND68" s="537">
        <f t="shared" si="478"/>
        <v>0</v>
      </c>
      <c r="NE68" s="536">
        <f>SUM(C68,F68,I68,L68,O68,R68,U68,X68,AA68,AD68,AG68,AJ68,AM68,AP68,AS68,AV68,AY68,BB68,BE68,BH68,BK68,BN68,BQ68,BT68,BW68,BZ68,CC68,CF68,CI68,CL68,CO68,CR68,CU68,CX68,DA68,DD68,DG68,DJ68,DM68,DP68,DS68,DV68,DY68,EB68,EE68,EH68,EK68,EN68,EQ68,ET68,EW68,EZ68,FC68,FF68,FI68,FL68,FO68,FR68,FU68,FX68,GA68,GD68,GG68,GJ68,GM68,GP68,GS68,GV68,GY68,HB68,HE68,HH68,HK68,HN68,HQ68,HT68,HW68,HZ68,IC68,IF68,II68,IL68,IO68,IR68,IU68,IX68,JA68,JD68,JG68,JJ68,JM68,JP68,JS68,JV68,JY68,KB68,KE68,KH68,KK68,KN68,KQ68,KT68,KW68,KZ68,LC68,LF68,LI68,LL68,LO68,LR68,LU68,LX68,MA68,MD68,MG68,MJ68,MM68,MP68,MS68,MV68,MY68)</f>
        <v>115944</v>
      </c>
      <c r="NF68" s="372">
        <f>SUM(D68,G68,J68,M68,P68,S68,V68,Y68,AB68,AE68,AH68,AK68,AN68,AQ68,AT68,AW68,AZ68,BC68,BF68,BI68,BL68,BO68,BR68,BU68,BX68,CA68,CD68,CG68,CJ68,CM68,CP68,CS68,CV68,CY68,DB68,DE68,DH68,DK68,DN68,DQ68,DT68,DW68,DZ68,EC68,EF68,EI68,EL68,EO68,ER68,EU68,EX68,FA68,FD68,FG68,FJ68,FM68,FP68,FS68,FV68,FY68,GB68,GE68,GH68,GK68,GN68,GQ68,GT68,GW68,GZ68,HC68,HF68,HI68,HL68,HO68,HR68,HU68,HX68,IA68,ID68,IG68,IJ68,IM68,IP68,IS68,IV68,IY68,JB68,JE68,JH68,JK68,JN68,JQ68,JT68,JW68,JZ68,KC68,KF68,KI68,KL68,KO68,KR68,KU68,KX68,LA68,LD68,LG68,LJ68,LM68,LP68,LS68,LV68,LY68,MB68,ME68,MH68,MK68,MN68,MQ68,MT68,MW68,MZ68)</f>
        <v>115656</v>
      </c>
      <c r="NG68" s="595">
        <f t="shared" si="480"/>
        <v>231600</v>
      </c>
      <c r="NH68" s="596">
        <f t="shared" si="481"/>
        <v>9078</v>
      </c>
      <c r="NI68" s="597">
        <f t="shared" si="481"/>
        <v>8482</v>
      </c>
      <c r="NJ68" s="595">
        <f t="shared" si="482"/>
        <v>17560</v>
      </c>
    </row>
    <row r="69" spans="1:374" x14ac:dyDescent="0.3">
      <c r="A69" s="541" t="s">
        <v>312</v>
      </c>
      <c r="B69" s="589" t="s">
        <v>134</v>
      </c>
      <c r="C69" s="544">
        <v>276</v>
      </c>
      <c r="D69" s="376">
        <v>247</v>
      </c>
      <c r="E69" s="376">
        <f t="shared" si="357"/>
        <v>523</v>
      </c>
      <c r="F69" s="376">
        <v>335</v>
      </c>
      <c r="G69" s="376">
        <v>314</v>
      </c>
      <c r="H69" s="376">
        <f t="shared" si="358"/>
        <v>649</v>
      </c>
      <c r="I69" s="376">
        <v>378</v>
      </c>
      <c r="J69" s="376">
        <v>351</v>
      </c>
      <c r="K69" s="376">
        <f t="shared" si="359"/>
        <v>729</v>
      </c>
      <c r="L69" s="376">
        <v>447</v>
      </c>
      <c r="M69" s="376">
        <v>481</v>
      </c>
      <c r="N69" s="376">
        <f t="shared" si="360"/>
        <v>928</v>
      </c>
      <c r="O69" s="376">
        <v>508</v>
      </c>
      <c r="P69" s="376">
        <v>446</v>
      </c>
      <c r="Q69" s="376">
        <f t="shared" si="361"/>
        <v>954</v>
      </c>
      <c r="R69" s="376">
        <v>553</v>
      </c>
      <c r="S69" s="376">
        <v>502</v>
      </c>
      <c r="T69" s="376">
        <f t="shared" si="362"/>
        <v>1055</v>
      </c>
      <c r="U69" s="376">
        <v>578</v>
      </c>
      <c r="V69" s="376">
        <v>542</v>
      </c>
      <c r="W69" s="376">
        <f t="shared" si="363"/>
        <v>1120</v>
      </c>
      <c r="X69" s="376">
        <v>598</v>
      </c>
      <c r="Y69" s="376">
        <v>580</v>
      </c>
      <c r="Z69" s="376">
        <f t="shared" si="364"/>
        <v>1178</v>
      </c>
      <c r="AA69" s="376">
        <v>600</v>
      </c>
      <c r="AB69" s="376">
        <v>525</v>
      </c>
      <c r="AC69" s="376">
        <f t="shared" si="365"/>
        <v>1125</v>
      </c>
      <c r="AD69" s="376">
        <v>547</v>
      </c>
      <c r="AE69" s="376">
        <v>501</v>
      </c>
      <c r="AF69" s="376">
        <f t="shared" si="366"/>
        <v>1048</v>
      </c>
      <c r="AG69" s="376">
        <v>610</v>
      </c>
      <c r="AH69" s="376">
        <v>521</v>
      </c>
      <c r="AI69" s="376">
        <f t="shared" si="367"/>
        <v>1131</v>
      </c>
      <c r="AJ69" s="376">
        <v>564</v>
      </c>
      <c r="AK69" s="376">
        <v>565</v>
      </c>
      <c r="AL69" s="376">
        <f t="shared" si="368"/>
        <v>1129</v>
      </c>
      <c r="AM69" s="376">
        <v>603</v>
      </c>
      <c r="AN69" s="376">
        <v>580</v>
      </c>
      <c r="AO69" s="376">
        <f t="shared" si="369"/>
        <v>1183</v>
      </c>
      <c r="AP69" s="376">
        <v>616</v>
      </c>
      <c r="AQ69" s="376">
        <v>548</v>
      </c>
      <c r="AR69" s="376">
        <f t="shared" si="370"/>
        <v>1164</v>
      </c>
      <c r="AS69" s="376">
        <v>624</v>
      </c>
      <c r="AT69" s="376">
        <v>605</v>
      </c>
      <c r="AU69" s="376">
        <f t="shared" si="371"/>
        <v>1229</v>
      </c>
      <c r="AV69" s="376">
        <v>558</v>
      </c>
      <c r="AW69" s="376">
        <v>525</v>
      </c>
      <c r="AX69" s="376">
        <f t="shared" si="372"/>
        <v>1083</v>
      </c>
      <c r="AY69" s="376">
        <v>576</v>
      </c>
      <c r="AZ69" s="376">
        <v>529</v>
      </c>
      <c r="BA69" s="376">
        <f t="shared" si="373"/>
        <v>1105</v>
      </c>
      <c r="BB69" s="376">
        <v>549</v>
      </c>
      <c r="BC69" s="376">
        <v>511</v>
      </c>
      <c r="BD69" s="376">
        <f t="shared" si="374"/>
        <v>1060</v>
      </c>
      <c r="BE69" s="376">
        <v>541</v>
      </c>
      <c r="BF69" s="376">
        <v>484</v>
      </c>
      <c r="BG69" s="376">
        <f t="shared" si="375"/>
        <v>1025</v>
      </c>
      <c r="BH69" s="376">
        <v>566</v>
      </c>
      <c r="BI69" s="376">
        <v>565</v>
      </c>
      <c r="BJ69" s="376">
        <f t="shared" si="376"/>
        <v>1131</v>
      </c>
      <c r="BK69" s="376">
        <v>543</v>
      </c>
      <c r="BL69" s="376">
        <v>470</v>
      </c>
      <c r="BM69" s="376">
        <f t="shared" si="377"/>
        <v>1013</v>
      </c>
      <c r="BN69" s="376">
        <v>483</v>
      </c>
      <c r="BO69" s="376">
        <v>444</v>
      </c>
      <c r="BP69" s="376">
        <f t="shared" si="378"/>
        <v>927</v>
      </c>
      <c r="BQ69" s="376">
        <v>566</v>
      </c>
      <c r="BR69" s="376">
        <v>461</v>
      </c>
      <c r="BS69" s="376">
        <f t="shared" si="379"/>
        <v>1027</v>
      </c>
      <c r="BT69" s="376">
        <v>528</v>
      </c>
      <c r="BU69" s="376">
        <v>517</v>
      </c>
      <c r="BV69" s="376">
        <f t="shared" si="380"/>
        <v>1045</v>
      </c>
      <c r="BW69" s="376">
        <v>444</v>
      </c>
      <c r="BX69" s="376">
        <v>440</v>
      </c>
      <c r="BY69" s="376">
        <f t="shared" si="381"/>
        <v>884</v>
      </c>
      <c r="BZ69" s="376">
        <v>524</v>
      </c>
      <c r="CA69" s="376">
        <v>466</v>
      </c>
      <c r="CB69" s="376">
        <f t="shared" si="382"/>
        <v>990</v>
      </c>
      <c r="CC69" s="376">
        <v>477</v>
      </c>
      <c r="CD69" s="376">
        <v>510</v>
      </c>
      <c r="CE69" s="376">
        <f t="shared" si="383"/>
        <v>987</v>
      </c>
      <c r="CF69" s="376">
        <v>410</v>
      </c>
      <c r="CG69" s="376">
        <v>395</v>
      </c>
      <c r="CH69" s="376">
        <f t="shared" si="384"/>
        <v>805</v>
      </c>
      <c r="CI69" s="376">
        <v>459</v>
      </c>
      <c r="CJ69" s="376">
        <v>437</v>
      </c>
      <c r="CK69" s="376">
        <f t="shared" si="385"/>
        <v>896</v>
      </c>
      <c r="CL69" s="376">
        <v>421</v>
      </c>
      <c r="CM69" s="376">
        <v>457</v>
      </c>
      <c r="CN69" s="376">
        <f t="shared" si="386"/>
        <v>878</v>
      </c>
      <c r="CO69" s="376">
        <v>438</v>
      </c>
      <c r="CP69" s="376">
        <v>528</v>
      </c>
      <c r="CQ69" s="376">
        <f t="shared" si="387"/>
        <v>966</v>
      </c>
      <c r="CR69" s="376">
        <v>438</v>
      </c>
      <c r="CS69" s="376">
        <v>466</v>
      </c>
      <c r="CT69" s="376">
        <f t="shared" si="388"/>
        <v>904</v>
      </c>
      <c r="CU69" s="376">
        <v>431</v>
      </c>
      <c r="CV69" s="376">
        <v>484</v>
      </c>
      <c r="CW69" s="376">
        <f t="shared" si="389"/>
        <v>915</v>
      </c>
      <c r="CX69" s="376">
        <v>476</v>
      </c>
      <c r="CY69" s="376">
        <v>479</v>
      </c>
      <c r="CZ69" s="376">
        <f t="shared" si="390"/>
        <v>955</v>
      </c>
      <c r="DA69" s="376">
        <v>497</v>
      </c>
      <c r="DB69" s="376">
        <v>481</v>
      </c>
      <c r="DC69" s="376">
        <f t="shared" si="391"/>
        <v>978</v>
      </c>
      <c r="DD69" s="376">
        <v>464</v>
      </c>
      <c r="DE69" s="376">
        <v>487</v>
      </c>
      <c r="DF69" s="376">
        <f t="shared" si="392"/>
        <v>951</v>
      </c>
      <c r="DG69" s="376">
        <v>464</v>
      </c>
      <c r="DH69" s="376">
        <v>444</v>
      </c>
      <c r="DI69" s="376">
        <f t="shared" si="393"/>
        <v>908</v>
      </c>
      <c r="DJ69" s="376">
        <v>424</v>
      </c>
      <c r="DK69" s="376">
        <v>432</v>
      </c>
      <c r="DL69" s="376">
        <f t="shared" si="394"/>
        <v>856</v>
      </c>
      <c r="DM69" s="376">
        <v>404</v>
      </c>
      <c r="DN69" s="376">
        <v>465</v>
      </c>
      <c r="DO69" s="376">
        <f t="shared" si="395"/>
        <v>869</v>
      </c>
      <c r="DP69" s="376">
        <v>430</v>
      </c>
      <c r="DQ69" s="376">
        <v>445</v>
      </c>
      <c r="DR69" s="376">
        <f t="shared" si="396"/>
        <v>875</v>
      </c>
      <c r="DS69" s="376">
        <v>470</v>
      </c>
      <c r="DT69" s="376">
        <v>472</v>
      </c>
      <c r="DU69" s="376">
        <f t="shared" si="397"/>
        <v>942</v>
      </c>
      <c r="DV69" s="376">
        <v>456</v>
      </c>
      <c r="DW69" s="376">
        <v>543</v>
      </c>
      <c r="DX69" s="376">
        <f t="shared" si="398"/>
        <v>999</v>
      </c>
      <c r="DY69" s="376">
        <v>472</v>
      </c>
      <c r="DZ69" s="376">
        <v>493</v>
      </c>
      <c r="EA69" s="376">
        <f t="shared" si="399"/>
        <v>965</v>
      </c>
      <c r="EB69" s="376">
        <v>535</v>
      </c>
      <c r="EC69" s="376">
        <v>601</v>
      </c>
      <c r="ED69" s="376">
        <f t="shared" si="400"/>
        <v>1136</v>
      </c>
      <c r="EE69" s="376">
        <v>519</v>
      </c>
      <c r="EF69" s="376">
        <v>551</v>
      </c>
      <c r="EG69" s="376">
        <f t="shared" si="401"/>
        <v>1070</v>
      </c>
      <c r="EH69" s="376">
        <v>496</v>
      </c>
      <c r="EI69" s="376">
        <v>536</v>
      </c>
      <c r="EJ69" s="376">
        <f t="shared" si="402"/>
        <v>1032</v>
      </c>
      <c r="EK69" s="376">
        <v>500</v>
      </c>
      <c r="EL69" s="376">
        <v>569</v>
      </c>
      <c r="EM69" s="376">
        <f t="shared" si="403"/>
        <v>1069</v>
      </c>
      <c r="EN69" s="376">
        <v>459</v>
      </c>
      <c r="EO69" s="376">
        <v>520</v>
      </c>
      <c r="EP69" s="376">
        <f t="shared" si="404"/>
        <v>979</v>
      </c>
      <c r="EQ69" s="376">
        <v>487</v>
      </c>
      <c r="ER69" s="376">
        <v>478</v>
      </c>
      <c r="ES69" s="376">
        <f t="shared" si="405"/>
        <v>965</v>
      </c>
      <c r="ET69" s="376">
        <v>476</v>
      </c>
      <c r="EU69" s="376">
        <v>499</v>
      </c>
      <c r="EV69" s="376">
        <f t="shared" si="406"/>
        <v>975</v>
      </c>
      <c r="EW69" s="376">
        <v>471</v>
      </c>
      <c r="EX69" s="376">
        <v>444</v>
      </c>
      <c r="EY69" s="376">
        <f t="shared" si="407"/>
        <v>915</v>
      </c>
      <c r="EZ69" s="376">
        <v>437</v>
      </c>
      <c r="FA69" s="376">
        <v>442</v>
      </c>
      <c r="FB69" s="376">
        <f t="shared" si="408"/>
        <v>879</v>
      </c>
      <c r="FC69" s="376">
        <v>429</v>
      </c>
      <c r="FD69" s="376">
        <v>391</v>
      </c>
      <c r="FE69" s="376">
        <f t="shared" si="409"/>
        <v>820</v>
      </c>
      <c r="FF69" s="376">
        <v>414</v>
      </c>
      <c r="FG69" s="376">
        <v>419</v>
      </c>
      <c r="FH69" s="376">
        <f t="shared" si="410"/>
        <v>833</v>
      </c>
      <c r="FI69" s="376">
        <v>345</v>
      </c>
      <c r="FJ69" s="376">
        <v>381</v>
      </c>
      <c r="FK69" s="376">
        <f t="shared" si="411"/>
        <v>726</v>
      </c>
      <c r="FL69" s="376">
        <v>397</v>
      </c>
      <c r="FM69" s="376">
        <v>358</v>
      </c>
      <c r="FN69" s="376">
        <f t="shared" si="412"/>
        <v>755</v>
      </c>
      <c r="FO69" s="376">
        <v>390</v>
      </c>
      <c r="FP69" s="376">
        <v>354</v>
      </c>
      <c r="FQ69" s="376">
        <f t="shared" si="413"/>
        <v>744</v>
      </c>
      <c r="FR69" s="376">
        <v>315</v>
      </c>
      <c r="FS69" s="376">
        <v>305</v>
      </c>
      <c r="FT69" s="376">
        <f t="shared" si="414"/>
        <v>620</v>
      </c>
      <c r="FU69" s="376">
        <v>299</v>
      </c>
      <c r="FV69" s="376">
        <v>247</v>
      </c>
      <c r="FW69" s="376">
        <f t="shared" si="415"/>
        <v>546</v>
      </c>
      <c r="FX69" s="376">
        <v>260</v>
      </c>
      <c r="FY69" s="376">
        <v>239</v>
      </c>
      <c r="FZ69" s="376">
        <f t="shared" si="416"/>
        <v>499</v>
      </c>
      <c r="GA69" s="376">
        <v>262</v>
      </c>
      <c r="GB69" s="376">
        <v>210</v>
      </c>
      <c r="GC69" s="376">
        <f t="shared" si="417"/>
        <v>472</v>
      </c>
      <c r="GD69" s="376">
        <v>216</v>
      </c>
      <c r="GE69" s="376">
        <v>200</v>
      </c>
      <c r="GF69" s="376">
        <f t="shared" si="418"/>
        <v>416</v>
      </c>
      <c r="GG69" s="376">
        <v>182</v>
      </c>
      <c r="GH69" s="376">
        <v>156</v>
      </c>
      <c r="GI69" s="376">
        <f t="shared" si="419"/>
        <v>338</v>
      </c>
      <c r="GJ69" s="376">
        <v>175</v>
      </c>
      <c r="GK69" s="376">
        <v>151</v>
      </c>
      <c r="GL69" s="376">
        <f t="shared" si="420"/>
        <v>326</v>
      </c>
      <c r="GM69" s="376">
        <v>125</v>
      </c>
      <c r="GN69" s="376">
        <v>130</v>
      </c>
      <c r="GO69" s="376">
        <f t="shared" si="421"/>
        <v>255</v>
      </c>
      <c r="GP69" s="376">
        <v>143</v>
      </c>
      <c r="GQ69" s="376">
        <v>143</v>
      </c>
      <c r="GR69" s="376">
        <f t="shared" si="422"/>
        <v>286</v>
      </c>
      <c r="GS69" s="376">
        <v>155</v>
      </c>
      <c r="GT69" s="376">
        <v>158</v>
      </c>
      <c r="GU69" s="376">
        <f t="shared" si="423"/>
        <v>313</v>
      </c>
      <c r="GV69" s="376">
        <v>84</v>
      </c>
      <c r="GW69" s="376">
        <v>116</v>
      </c>
      <c r="GX69" s="376">
        <f t="shared" si="424"/>
        <v>200</v>
      </c>
      <c r="GY69" s="376">
        <v>99</v>
      </c>
      <c r="GZ69" s="376">
        <v>112</v>
      </c>
      <c r="HA69" s="376">
        <f t="shared" si="425"/>
        <v>211</v>
      </c>
      <c r="HB69" s="376">
        <v>87</v>
      </c>
      <c r="HC69" s="376">
        <v>77</v>
      </c>
      <c r="HD69" s="376">
        <f t="shared" si="426"/>
        <v>164</v>
      </c>
      <c r="HE69" s="376">
        <v>77</v>
      </c>
      <c r="HF69" s="376">
        <v>102</v>
      </c>
      <c r="HG69" s="376">
        <f t="shared" si="427"/>
        <v>179</v>
      </c>
      <c r="HH69" s="376">
        <v>77</v>
      </c>
      <c r="HI69" s="376">
        <v>74</v>
      </c>
      <c r="HJ69" s="376">
        <f t="shared" si="428"/>
        <v>151</v>
      </c>
      <c r="HK69" s="376">
        <v>62</v>
      </c>
      <c r="HL69" s="376">
        <v>63</v>
      </c>
      <c r="HM69" s="376">
        <f t="shared" si="429"/>
        <v>125</v>
      </c>
      <c r="HN69" s="376">
        <v>66</v>
      </c>
      <c r="HO69" s="376">
        <v>50</v>
      </c>
      <c r="HP69" s="376">
        <f t="shared" si="430"/>
        <v>116</v>
      </c>
      <c r="HQ69" s="376">
        <v>51</v>
      </c>
      <c r="HR69" s="376">
        <v>50</v>
      </c>
      <c r="HS69" s="376">
        <f t="shared" si="431"/>
        <v>101</v>
      </c>
      <c r="HT69" s="376">
        <v>51</v>
      </c>
      <c r="HU69" s="376">
        <v>57</v>
      </c>
      <c r="HV69" s="376">
        <f t="shared" si="432"/>
        <v>108</v>
      </c>
      <c r="HW69" s="376">
        <v>45</v>
      </c>
      <c r="HX69" s="376">
        <v>58</v>
      </c>
      <c r="HY69" s="376">
        <f t="shared" si="433"/>
        <v>103</v>
      </c>
      <c r="HZ69" s="376">
        <v>18</v>
      </c>
      <c r="IA69" s="376">
        <v>24</v>
      </c>
      <c r="IB69" s="376">
        <f t="shared" si="434"/>
        <v>42</v>
      </c>
      <c r="IC69" s="376">
        <v>24</v>
      </c>
      <c r="ID69" s="376">
        <v>27</v>
      </c>
      <c r="IE69" s="376">
        <f t="shared" si="435"/>
        <v>51</v>
      </c>
      <c r="IF69" s="376">
        <v>16</v>
      </c>
      <c r="IG69" s="376">
        <v>23</v>
      </c>
      <c r="IH69" s="376">
        <f t="shared" si="436"/>
        <v>39</v>
      </c>
      <c r="II69" s="376">
        <v>13</v>
      </c>
      <c r="IJ69" s="376">
        <v>28</v>
      </c>
      <c r="IK69" s="376">
        <f t="shared" si="437"/>
        <v>41</v>
      </c>
      <c r="IL69" s="376">
        <v>13</v>
      </c>
      <c r="IM69" s="376">
        <v>32</v>
      </c>
      <c r="IN69" s="376">
        <f t="shared" si="438"/>
        <v>45</v>
      </c>
      <c r="IO69" s="376">
        <v>14</v>
      </c>
      <c r="IP69" s="376">
        <v>13</v>
      </c>
      <c r="IQ69" s="376">
        <f t="shared" si="439"/>
        <v>27</v>
      </c>
      <c r="IR69" s="376">
        <v>7</v>
      </c>
      <c r="IS69" s="376">
        <v>12</v>
      </c>
      <c r="IT69" s="376">
        <f t="shared" si="440"/>
        <v>19</v>
      </c>
      <c r="IU69" s="376">
        <v>10</v>
      </c>
      <c r="IV69" s="376">
        <v>12</v>
      </c>
      <c r="IW69" s="376">
        <f t="shared" si="441"/>
        <v>22</v>
      </c>
      <c r="IX69" s="376">
        <v>14</v>
      </c>
      <c r="IY69" s="376">
        <v>14</v>
      </c>
      <c r="IZ69" s="376">
        <f t="shared" si="442"/>
        <v>28</v>
      </c>
      <c r="JA69" s="376">
        <v>7</v>
      </c>
      <c r="JB69" s="376">
        <v>13</v>
      </c>
      <c r="JC69" s="376">
        <f t="shared" si="443"/>
        <v>20</v>
      </c>
      <c r="JD69" s="376">
        <v>3</v>
      </c>
      <c r="JE69" s="376">
        <v>9</v>
      </c>
      <c r="JF69" s="376">
        <f t="shared" si="444"/>
        <v>12</v>
      </c>
      <c r="JG69" s="376">
        <v>5</v>
      </c>
      <c r="JH69" s="376">
        <v>8</v>
      </c>
      <c r="JI69" s="376">
        <f t="shared" si="445"/>
        <v>13</v>
      </c>
      <c r="JJ69" s="376">
        <v>2</v>
      </c>
      <c r="JK69" s="376">
        <v>5</v>
      </c>
      <c r="JL69" s="376">
        <f t="shared" si="446"/>
        <v>7</v>
      </c>
      <c r="JM69" s="376">
        <v>6</v>
      </c>
      <c r="JN69" s="376">
        <v>5</v>
      </c>
      <c r="JO69" s="376">
        <f t="shared" si="447"/>
        <v>11</v>
      </c>
      <c r="JP69" s="376">
        <v>0</v>
      </c>
      <c r="JQ69" s="376">
        <v>6</v>
      </c>
      <c r="JR69" s="376">
        <f t="shared" si="448"/>
        <v>6</v>
      </c>
      <c r="JS69" s="376">
        <v>0</v>
      </c>
      <c r="JT69" s="376">
        <v>2</v>
      </c>
      <c r="JU69" s="376">
        <f t="shared" si="449"/>
        <v>2</v>
      </c>
      <c r="JV69" s="376">
        <v>2</v>
      </c>
      <c r="JW69" s="376">
        <v>3</v>
      </c>
      <c r="JX69" s="376">
        <f t="shared" si="450"/>
        <v>5</v>
      </c>
      <c r="JY69" s="376">
        <v>0</v>
      </c>
      <c r="JZ69" s="376">
        <v>0</v>
      </c>
      <c r="KA69" s="376">
        <f t="shared" si="451"/>
        <v>0</v>
      </c>
      <c r="KB69" s="376">
        <v>2</v>
      </c>
      <c r="KC69" s="376">
        <v>0</v>
      </c>
      <c r="KD69" s="376">
        <f t="shared" si="452"/>
        <v>2</v>
      </c>
      <c r="KE69" s="376">
        <v>1</v>
      </c>
      <c r="KF69" s="376">
        <v>1</v>
      </c>
      <c r="KG69" s="376">
        <f t="shared" si="453"/>
        <v>2</v>
      </c>
      <c r="KH69" s="376">
        <v>0</v>
      </c>
      <c r="KI69" s="376">
        <v>0</v>
      </c>
      <c r="KJ69" s="376">
        <f t="shared" si="454"/>
        <v>0</v>
      </c>
      <c r="KK69" s="376">
        <v>0</v>
      </c>
      <c r="KL69" s="376">
        <v>0</v>
      </c>
      <c r="KM69" s="376">
        <f t="shared" si="455"/>
        <v>0</v>
      </c>
      <c r="KN69" s="376">
        <v>0</v>
      </c>
      <c r="KO69" s="376">
        <v>0</v>
      </c>
      <c r="KP69" s="376">
        <f t="shared" si="456"/>
        <v>0</v>
      </c>
      <c r="KQ69" s="376">
        <v>1</v>
      </c>
      <c r="KR69" s="376">
        <v>0</v>
      </c>
      <c r="KS69" s="376">
        <f t="shared" si="457"/>
        <v>1</v>
      </c>
      <c r="KT69" s="376">
        <v>0</v>
      </c>
      <c r="KU69" s="376">
        <v>0</v>
      </c>
      <c r="KV69" s="376">
        <f t="shared" si="458"/>
        <v>0</v>
      </c>
      <c r="KW69" s="376">
        <v>0</v>
      </c>
      <c r="KX69" s="376">
        <v>0</v>
      </c>
      <c r="KY69" s="376">
        <f t="shared" si="459"/>
        <v>0</v>
      </c>
      <c r="KZ69" s="376">
        <v>0</v>
      </c>
      <c r="LA69" s="376">
        <v>0</v>
      </c>
      <c r="LB69" s="376">
        <f t="shared" si="460"/>
        <v>0</v>
      </c>
      <c r="LC69" s="376">
        <v>0</v>
      </c>
      <c r="LD69" s="376">
        <v>0</v>
      </c>
      <c r="LE69" s="376">
        <f t="shared" si="461"/>
        <v>0</v>
      </c>
      <c r="LF69" s="376">
        <v>0</v>
      </c>
      <c r="LG69" s="376">
        <v>0</v>
      </c>
      <c r="LH69" s="376">
        <f t="shared" si="462"/>
        <v>0</v>
      </c>
      <c r="LI69" s="376">
        <v>0</v>
      </c>
      <c r="LJ69" s="376">
        <v>0</v>
      </c>
      <c r="LK69" s="376">
        <f t="shared" si="463"/>
        <v>0</v>
      </c>
      <c r="LL69" s="376">
        <v>0</v>
      </c>
      <c r="LM69" s="376">
        <v>0</v>
      </c>
      <c r="LN69" s="376">
        <f t="shared" si="464"/>
        <v>0</v>
      </c>
      <c r="LO69" s="376">
        <v>0</v>
      </c>
      <c r="LP69" s="376">
        <v>0</v>
      </c>
      <c r="LQ69" s="376">
        <f t="shared" si="465"/>
        <v>0</v>
      </c>
      <c r="LR69" s="376">
        <v>0</v>
      </c>
      <c r="LS69" s="376">
        <v>0</v>
      </c>
      <c r="LT69" s="376">
        <f t="shared" si="466"/>
        <v>0</v>
      </c>
      <c r="LU69" s="376">
        <v>0</v>
      </c>
      <c r="LV69" s="376">
        <v>0</v>
      </c>
      <c r="LW69" s="376">
        <f t="shared" si="467"/>
        <v>0</v>
      </c>
      <c r="LX69" s="376">
        <v>0</v>
      </c>
      <c r="LY69" s="376">
        <v>0</v>
      </c>
      <c r="LZ69" s="376">
        <f t="shared" si="468"/>
        <v>0</v>
      </c>
      <c r="MA69" s="376">
        <v>0</v>
      </c>
      <c r="MB69" s="376">
        <v>0</v>
      </c>
      <c r="MC69" s="376">
        <f t="shared" si="469"/>
        <v>0</v>
      </c>
      <c r="MD69" s="376">
        <v>0</v>
      </c>
      <c r="ME69" s="376">
        <v>0</v>
      </c>
      <c r="MF69" s="376">
        <f t="shared" si="470"/>
        <v>0</v>
      </c>
      <c r="MG69" s="376">
        <v>0</v>
      </c>
      <c r="MH69" s="376">
        <v>0</v>
      </c>
      <c r="MI69" s="376">
        <f t="shared" si="471"/>
        <v>0</v>
      </c>
      <c r="MJ69" s="376">
        <v>0</v>
      </c>
      <c r="MK69" s="376">
        <v>0</v>
      </c>
      <c r="ML69" s="376">
        <f t="shared" si="472"/>
        <v>0</v>
      </c>
      <c r="MM69" s="376">
        <v>0</v>
      </c>
      <c r="MN69" s="376">
        <v>0</v>
      </c>
      <c r="MO69" s="376">
        <f t="shared" si="473"/>
        <v>0</v>
      </c>
      <c r="MP69" s="376">
        <v>0</v>
      </c>
      <c r="MQ69" s="376">
        <v>0</v>
      </c>
      <c r="MR69" s="376">
        <f t="shared" si="474"/>
        <v>0</v>
      </c>
      <c r="MS69" s="376">
        <v>0</v>
      </c>
      <c r="MT69" s="376">
        <v>0</v>
      </c>
      <c r="MU69" s="376">
        <f t="shared" si="475"/>
        <v>0</v>
      </c>
      <c r="MV69" s="376">
        <v>0</v>
      </c>
      <c r="MW69" s="376">
        <v>0</v>
      </c>
      <c r="MX69" s="376">
        <f t="shared" si="476"/>
        <v>0</v>
      </c>
      <c r="MY69" s="376">
        <v>0</v>
      </c>
      <c r="MZ69" s="376">
        <v>0</v>
      </c>
      <c r="NA69" s="545">
        <f t="shared" si="477"/>
        <v>0</v>
      </c>
      <c r="NB69" s="376">
        <v>0</v>
      </c>
      <c r="NC69" s="376">
        <v>0</v>
      </c>
      <c r="ND69" s="543">
        <f t="shared" si="478"/>
        <v>0</v>
      </c>
      <c r="NE69" s="542">
        <f>SUM(C69,F69,I69,L69,O69,R69,U69,X69,AA69,AD69,AG69,AJ69,AM69,AP69,AS69,AV69,AY69,BB69,BE69,BH69,BK69,BN69,BQ69,BT69,BW69,BZ69,CC69,CF69,CI69,CL69,CO69,CR69,CU69,CX69,DA69,DD69,DG69,DJ69,DM69,DP69,DS69,DV69,DY69,EB69,EE69,EH69,EK69,EN69,EQ69,ET69,EW69,EZ69,FC69,FF69,FI69,FL69,FO69,FR69,FU69,FX69,GA69,GD69,GG69,GJ69,GM69,GP69,GS69,GV69,GY69,HB69,HE69,HH69,HK69,HN69,HQ69,HT69,HW69,HZ69,IC69,IF69,II69,IL69,IO69,IR69,IU69,IX69,JA69,JD69,JG69,JJ69,JM69,JP69,JS69,JV69,JY69,KB69,KE69,KH69,KK69,KN69,KQ69,KT69,KW69,KZ69,LC69,LF69,LI69,LL69,LO69,LR69,LU69,LX69,MA69,MD69,MG69,MJ69,MM69,MP69,MS69,MV69,MY69)</f>
        <v>30690</v>
      </c>
      <c r="NF69" s="376">
        <f>SUM(D69,G69,J69,M69,P69,S69,V69,Y69,AB69,AE69,AH69,AK69,AN69,AQ69,AT69,AW69,AZ69,BC69,BF69,BI69,BL69,BO69,BR69,BU69,BX69,CA69,CD69,CG69,CJ69,CM69,CP69,CS69,CV69,CY69,DB69,DE69,DH69,DK69,DN69,DQ69,DT69,DW69,DZ69,EC69,EF69,EI69,EL69,EO69,ER69,EU69,EX69,FA69,FD69,FG69,FJ69,FM69,FP69,FS69,FV69,FY69,GB69,GE69,GH69,GK69,GN69,GQ69,GT69,GW69,GZ69,HC69,HF69,HI69,HL69,HO69,HR69,HU69,HX69,IA69,ID69,IG69,IJ69,IM69,IP69,IS69,IV69,IY69,JB69,JE69,JH69,JK69,JN69,JQ69,JT69,JW69,JZ69,KC69,KF69,KI69,KL69,KO69,KR69,KU69,KX69,LA69,LD69,LG69,LJ69,LM69,LP69,LS69,LV69,LY69,MB69,ME69,MH69,MK69,MN69,MQ69,MT69,MW69,MZ69)</f>
        <v>30216</v>
      </c>
      <c r="NG69" s="543">
        <f t="shared" si="480"/>
        <v>60906</v>
      </c>
      <c r="NH69" s="542">
        <f t="shared" si="481"/>
        <v>2497</v>
      </c>
      <c r="NI69" s="376">
        <f t="shared" si="481"/>
        <v>2341</v>
      </c>
      <c r="NJ69" s="543">
        <f t="shared" si="482"/>
        <v>4838</v>
      </c>
    </row>
    <row r="70" spans="1:374" x14ac:dyDescent="0.3">
      <c r="A70" s="541" t="s">
        <v>313</v>
      </c>
      <c r="B70" s="589" t="s">
        <v>136</v>
      </c>
      <c r="C70" s="544">
        <v>206</v>
      </c>
      <c r="D70" s="376">
        <v>191</v>
      </c>
      <c r="E70" s="376">
        <f t="shared" si="357"/>
        <v>397</v>
      </c>
      <c r="F70" s="376">
        <v>232</v>
      </c>
      <c r="G70" s="376">
        <v>231</v>
      </c>
      <c r="H70" s="376">
        <f t="shared" si="358"/>
        <v>463</v>
      </c>
      <c r="I70" s="376">
        <v>290</v>
      </c>
      <c r="J70" s="376">
        <v>279</v>
      </c>
      <c r="K70" s="376">
        <f t="shared" si="359"/>
        <v>569</v>
      </c>
      <c r="L70" s="376">
        <v>330</v>
      </c>
      <c r="M70" s="376">
        <v>329</v>
      </c>
      <c r="N70" s="376">
        <f t="shared" si="360"/>
        <v>659</v>
      </c>
      <c r="O70" s="376">
        <v>349</v>
      </c>
      <c r="P70" s="376">
        <v>342</v>
      </c>
      <c r="Q70" s="376">
        <f t="shared" si="361"/>
        <v>691</v>
      </c>
      <c r="R70" s="376">
        <v>406</v>
      </c>
      <c r="S70" s="376">
        <v>367</v>
      </c>
      <c r="T70" s="376">
        <f t="shared" si="362"/>
        <v>773</v>
      </c>
      <c r="U70" s="376">
        <v>425</v>
      </c>
      <c r="V70" s="376">
        <v>461</v>
      </c>
      <c r="W70" s="376">
        <f t="shared" si="363"/>
        <v>886</v>
      </c>
      <c r="X70" s="376">
        <v>453</v>
      </c>
      <c r="Y70" s="376">
        <v>443</v>
      </c>
      <c r="Z70" s="376">
        <f t="shared" si="364"/>
        <v>896</v>
      </c>
      <c r="AA70" s="376">
        <v>440</v>
      </c>
      <c r="AB70" s="376">
        <v>436</v>
      </c>
      <c r="AC70" s="376">
        <f t="shared" si="365"/>
        <v>876</v>
      </c>
      <c r="AD70" s="376">
        <v>410</v>
      </c>
      <c r="AE70" s="376">
        <v>440</v>
      </c>
      <c r="AF70" s="376">
        <f t="shared" si="366"/>
        <v>850</v>
      </c>
      <c r="AG70" s="376">
        <v>447</v>
      </c>
      <c r="AH70" s="376">
        <v>440</v>
      </c>
      <c r="AI70" s="376">
        <f t="shared" si="367"/>
        <v>887</v>
      </c>
      <c r="AJ70" s="376">
        <v>428</v>
      </c>
      <c r="AK70" s="376">
        <v>385</v>
      </c>
      <c r="AL70" s="376">
        <f t="shared" si="368"/>
        <v>813</v>
      </c>
      <c r="AM70" s="376">
        <v>485</v>
      </c>
      <c r="AN70" s="376">
        <v>435</v>
      </c>
      <c r="AO70" s="376">
        <f t="shared" si="369"/>
        <v>920</v>
      </c>
      <c r="AP70" s="376">
        <v>453</v>
      </c>
      <c r="AQ70" s="376">
        <v>441</v>
      </c>
      <c r="AR70" s="376">
        <f t="shared" si="370"/>
        <v>894</v>
      </c>
      <c r="AS70" s="376">
        <v>492</v>
      </c>
      <c r="AT70" s="376">
        <v>459</v>
      </c>
      <c r="AU70" s="376">
        <f t="shared" si="371"/>
        <v>951</v>
      </c>
      <c r="AV70" s="376">
        <v>447</v>
      </c>
      <c r="AW70" s="376">
        <v>439</v>
      </c>
      <c r="AX70" s="376">
        <f t="shared" si="372"/>
        <v>886</v>
      </c>
      <c r="AY70" s="376">
        <v>475</v>
      </c>
      <c r="AZ70" s="376">
        <v>466</v>
      </c>
      <c r="BA70" s="376">
        <f t="shared" si="373"/>
        <v>941</v>
      </c>
      <c r="BB70" s="376">
        <v>426</v>
      </c>
      <c r="BC70" s="376">
        <v>419</v>
      </c>
      <c r="BD70" s="376">
        <f t="shared" si="374"/>
        <v>845</v>
      </c>
      <c r="BE70" s="376">
        <v>455</v>
      </c>
      <c r="BF70" s="376">
        <v>408</v>
      </c>
      <c r="BG70" s="376">
        <f t="shared" si="375"/>
        <v>863</v>
      </c>
      <c r="BH70" s="376">
        <v>447</v>
      </c>
      <c r="BI70" s="376">
        <v>388</v>
      </c>
      <c r="BJ70" s="376">
        <f t="shared" si="376"/>
        <v>835</v>
      </c>
      <c r="BK70" s="376">
        <v>387</v>
      </c>
      <c r="BL70" s="376">
        <v>400</v>
      </c>
      <c r="BM70" s="376">
        <f t="shared" si="377"/>
        <v>787</v>
      </c>
      <c r="BN70" s="376">
        <v>398</v>
      </c>
      <c r="BO70" s="376">
        <v>356</v>
      </c>
      <c r="BP70" s="376">
        <f t="shared" si="378"/>
        <v>754</v>
      </c>
      <c r="BQ70" s="376">
        <v>399</v>
      </c>
      <c r="BR70" s="376">
        <v>382</v>
      </c>
      <c r="BS70" s="376">
        <f t="shared" si="379"/>
        <v>781</v>
      </c>
      <c r="BT70" s="376">
        <v>447</v>
      </c>
      <c r="BU70" s="376">
        <v>415</v>
      </c>
      <c r="BV70" s="376">
        <f t="shared" si="380"/>
        <v>862</v>
      </c>
      <c r="BW70" s="376">
        <v>410</v>
      </c>
      <c r="BX70" s="376">
        <v>414</v>
      </c>
      <c r="BY70" s="376">
        <f t="shared" si="381"/>
        <v>824</v>
      </c>
      <c r="BZ70" s="376">
        <v>378</v>
      </c>
      <c r="CA70" s="376">
        <v>379</v>
      </c>
      <c r="CB70" s="376">
        <f t="shared" si="382"/>
        <v>757</v>
      </c>
      <c r="CC70" s="376">
        <v>381</v>
      </c>
      <c r="CD70" s="376">
        <v>394</v>
      </c>
      <c r="CE70" s="376">
        <f t="shared" si="383"/>
        <v>775</v>
      </c>
      <c r="CF70" s="376">
        <v>320</v>
      </c>
      <c r="CG70" s="376">
        <v>354</v>
      </c>
      <c r="CH70" s="376">
        <f t="shared" si="384"/>
        <v>674</v>
      </c>
      <c r="CI70" s="376">
        <v>305</v>
      </c>
      <c r="CJ70" s="376">
        <v>354</v>
      </c>
      <c r="CK70" s="376">
        <f t="shared" si="385"/>
        <v>659</v>
      </c>
      <c r="CL70" s="376">
        <v>333</v>
      </c>
      <c r="CM70" s="376">
        <v>362</v>
      </c>
      <c r="CN70" s="376">
        <f t="shared" si="386"/>
        <v>695</v>
      </c>
      <c r="CO70" s="376">
        <v>356</v>
      </c>
      <c r="CP70" s="376">
        <v>359</v>
      </c>
      <c r="CQ70" s="376">
        <f t="shared" si="387"/>
        <v>715</v>
      </c>
      <c r="CR70" s="376">
        <v>335</v>
      </c>
      <c r="CS70" s="376">
        <v>392</v>
      </c>
      <c r="CT70" s="376">
        <f t="shared" si="388"/>
        <v>727</v>
      </c>
      <c r="CU70" s="376">
        <v>338</v>
      </c>
      <c r="CV70" s="376">
        <v>311</v>
      </c>
      <c r="CW70" s="376">
        <f t="shared" si="389"/>
        <v>649</v>
      </c>
      <c r="CX70" s="376">
        <v>359</v>
      </c>
      <c r="CY70" s="376">
        <v>361</v>
      </c>
      <c r="CZ70" s="376">
        <f t="shared" si="390"/>
        <v>720</v>
      </c>
      <c r="DA70" s="376">
        <v>310</v>
      </c>
      <c r="DB70" s="376">
        <v>341</v>
      </c>
      <c r="DC70" s="376">
        <f t="shared" si="391"/>
        <v>651</v>
      </c>
      <c r="DD70" s="376">
        <v>289</v>
      </c>
      <c r="DE70" s="376">
        <v>344</v>
      </c>
      <c r="DF70" s="376">
        <f t="shared" si="392"/>
        <v>633</v>
      </c>
      <c r="DG70" s="376">
        <v>298</v>
      </c>
      <c r="DH70" s="376">
        <v>410</v>
      </c>
      <c r="DI70" s="376">
        <f t="shared" si="393"/>
        <v>708</v>
      </c>
      <c r="DJ70" s="376">
        <v>334</v>
      </c>
      <c r="DK70" s="376">
        <v>344</v>
      </c>
      <c r="DL70" s="376">
        <f t="shared" si="394"/>
        <v>678</v>
      </c>
      <c r="DM70" s="376">
        <v>311</v>
      </c>
      <c r="DN70" s="376">
        <v>342</v>
      </c>
      <c r="DO70" s="376">
        <f t="shared" si="395"/>
        <v>653</v>
      </c>
      <c r="DP70" s="376">
        <v>311</v>
      </c>
      <c r="DQ70" s="376">
        <v>343</v>
      </c>
      <c r="DR70" s="376">
        <f t="shared" si="396"/>
        <v>654</v>
      </c>
      <c r="DS70" s="376">
        <v>354</v>
      </c>
      <c r="DT70" s="376">
        <v>379</v>
      </c>
      <c r="DU70" s="376">
        <f t="shared" si="397"/>
        <v>733</v>
      </c>
      <c r="DV70" s="376">
        <v>395</v>
      </c>
      <c r="DW70" s="376">
        <v>394</v>
      </c>
      <c r="DX70" s="376">
        <f t="shared" si="398"/>
        <v>789</v>
      </c>
      <c r="DY70" s="376">
        <v>377</v>
      </c>
      <c r="DZ70" s="376">
        <v>401</v>
      </c>
      <c r="EA70" s="376">
        <f t="shared" si="399"/>
        <v>778</v>
      </c>
      <c r="EB70" s="376">
        <v>398</v>
      </c>
      <c r="EC70" s="376">
        <v>436</v>
      </c>
      <c r="ED70" s="376">
        <f t="shared" si="400"/>
        <v>834</v>
      </c>
      <c r="EE70" s="376">
        <v>446</v>
      </c>
      <c r="EF70" s="376">
        <v>430</v>
      </c>
      <c r="EG70" s="376">
        <f t="shared" si="401"/>
        <v>876</v>
      </c>
      <c r="EH70" s="376">
        <v>356</v>
      </c>
      <c r="EI70" s="376">
        <v>435</v>
      </c>
      <c r="EJ70" s="376">
        <f t="shared" si="402"/>
        <v>791</v>
      </c>
      <c r="EK70" s="376">
        <v>395</v>
      </c>
      <c r="EL70" s="376">
        <v>445</v>
      </c>
      <c r="EM70" s="376">
        <f t="shared" si="403"/>
        <v>840</v>
      </c>
      <c r="EN70" s="376">
        <v>374</v>
      </c>
      <c r="EO70" s="376">
        <v>382</v>
      </c>
      <c r="EP70" s="376">
        <f t="shared" si="404"/>
        <v>756</v>
      </c>
      <c r="EQ70" s="376">
        <v>361</v>
      </c>
      <c r="ER70" s="376">
        <v>390</v>
      </c>
      <c r="ES70" s="376">
        <f t="shared" si="405"/>
        <v>751</v>
      </c>
      <c r="ET70" s="376">
        <v>352</v>
      </c>
      <c r="EU70" s="376">
        <v>418</v>
      </c>
      <c r="EV70" s="376">
        <f t="shared" si="406"/>
        <v>770</v>
      </c>
      <c r="EW70" s="376">
        <v>340</v>
      </c>
      <c r="EX70" s="376">
        <v>420</v>
      </c>
      <c r="EY70" s="376">
        <f t="shared" si="407"/>
        <v>760</v>
      </c>
      <c r="EZ70" s="376">
        <v>371</v>
      </c>
      <c r="FA70" s="376">
        <v>357</v>
      </c>
      <c r="FB70" s="376">
        <f t="shared" si="408"/>
        <v>728</v>
      </c>
      <c r="FC70" s="376">
        <v>330</v>
      </c>
      <c r="FD70" s="376">
        <v>319</v>
      </c>
      <c r="FE70" s="376">
        <f t="shared" si="409"/>
        <v>649</v>
      </c>
      <c r="FF70" s="376">
        <v>368</v>
      </c>
      <c r="FG70" s="376">
        <v>334</v>
      </c>
      <c r="FH70" s="376">
        <f t="shared" si="410"/>
        <v>702</v>
      </c>
      <c r="FI70" s="376">
        <v>343</v>
      </c>
      <c r="FJ70" s="376">
        <v>299</v>
      </c>
      <c r="FK70" s="376">
        <f t="shared" si="411"/>
        <v>642</v>
      </c>
      <c r="FL70" s="376">
        <v>312</v>
      </c>
      <c r="FM70" s="376">
        <v>267</v>
      </c>
      <c r="FN70" s="376">
        <f t="shared" si="412"/>
        <v>579</v>
      </c>
      <c r="FO70" s="376">
        <v>299</v>
      </c>
      <c r="FP70" s="376">
        <v>302</v>
      </c>
      <c r="FQ70" s="376">
        <f t="shared" si="413"/>
        <v>601</v>
      </c>
      <c r="FR70" s="376">
        <v>294</v>
      </c>
      <c r="FS70" s="376">
        <v>238</v>
      </c>
      <c r="FT70" s="376">
        <f t="shared" si="414"/>
        <v>532</v>
      </c>
      <c r="FU70" s="376">
        <v>257</v>
      </c>
      <c r="FV70" s="376">
        <v>216</v>
      </c>
      <c r="FW70" s="376">
        <f t="shared" si="415"/>
        <v>473</v>
      </c>
      <c r="FX70" s="376">
        <v>217</v>
      </c>
      <c r="FY70" s="376">
        <v>176</v>
      </c>
      <c r="FZ70" s="376">
        <f t="shared" si="416"/>
        <v>393</v>
      </c>
      <c r="GA70" s="376">
        <v>193</v>
      </c>
      <c r="GB70" s="376">
        <v>216</v>
      </c>
      <c r="GC70" s="376">
        <f t="shared" si="417"/>
        <v>409</v>
      </c>
      <c r="GD70" s="376">
        <v>193</v>
      </c>
      <c r="GE70" s="376">
        <v>164</v>
      </c>
      <c r="GF70" s="376">
        <f t="shared" si="418"/>
        <v>357</v>
      </c>
      <c r="GG70" s="376">
        <v>169</v>
      </c>
      <c r="GH70" s="376">
        <v>110</v>
      </c>
      <c r="GI70" s="376">
        <f t="shared" si="419"/>
        <v>279</v>
      </c>
      <c r="GJ70" s="376">
        <v>123</v>
      </c>
      <c r="GK70" s="376">
        <v>110</v>
      </c>
      <c r="GL70" s="376">
        <f t="shared" si="420"/>
        <v>233</v>
      </c>
      <c r="GM70" s="376">
        <v>96</v>
      </c>
      <c r="GN70" s="376">
        <v>83</v>
      </c>
      <c r="GO70" s="376">
        <f t="shared" si="421"/>
        <v>179</v>
      </c>
      <c r="GP70" s="376">
        <v>98</v>
      </c>
      <c r="GQ70" s="376">
        <v>98</v>
      </c>
      <c r="GR70" s="376">
        <f t="shared" si="422"/>
        <v>196</v>
      </c>
      <c r="GS70" s="376">
        <v>108</v>
      </c>
      <c r="GT70" s="376">
        <v>93</v>
      </c>
      <c r="GU70" s="376">
        <f t="shared" si="423"/>
        <v>201</v>
      </c>
      <c r="GV70" s="376">
        <v>76</v>
      </c>
      <c r="GW70" s="376">
        <v>77</v>
      </c>
      <c r="GX70" s="376">
        <f t="shared" si="424"/>
        <v>153</v>
      </c>
      <c r="GY70" s="376">
        <v>69</v>
      </c>
      <c r="GZ70" s="376">
        <v>72</v>
      </c>
      <c r="HA70" s="376">
        <f t="shared" si="425"/>
        <v>141</v>
      </c>
      <c r="HB70" s="376">
        <v>53</v>
      </c>
      <c r="HC70" s="376">
        <v>60</v>
      </c>
      <c r="HD70" s="376">
        <f t="shared" si="426"/>
        <v>113</v>
      </c>
      <c r="HE70" s="376">
        <v>48</v>
      </c>
      <c r="HF70" s="376">
        <v>77</v>
      </c>
      <c r="HG70" s="376">
        <f t="shared" si="427"/>
        <v>125</v>
      </c>
      <c r="HH70" s="376">
        <v>64</v>
      </c>
      <c r="HI70" s="376">
        <v>66</v>
      </c>
      <c r="HJ70" s="376">
        <f t="shared" si="428"/>
        <v>130</v>
      </c>
      <c r="HK70" s="376">
        <v>45</v>
      </c>
      <c r="HL70" s="376">
        <v>44</v>
      </c>
      <c r="HM70" s="376">
        <f t="shared" si="429"/>
        <v>89</v>
      </c>
      <c r="HN70" s="376">
        <v>31</v>
      </c>
      <c r="HO70" s="376">
        <v>51</v>
      </c>
      <c r="HP70" s="376">
        <f t="shared" si="430"/>
        <v>82</v>
      </c>
      <c r="HQ70" s="376">
        <v>28</v>
      </c>
      <c r="HR70" s="376">
        <v>40</v>
      </c>
      <c r="HS70" s="376">
        <f t="shared" si="431"/>
        <v>68</v>
      </c>
      <c r="HT70" s="376">
        <v>35</v>
      </c>
      <c r="HU70" s="376">
        <v>40</v>
      </c>
      <c r="HV70" s="376">
        <f t="shared" si="432"/>
        <v>75</v>
      </c>
      <c r="HW70" s="376">
        <v>31</v>
      </c>
      <c r="HX70" s="376">
        <v>40</v>
      </c>
      <c r="HY70" s="376">
        <f t="shared" si="433"/>
        <v>71</v>
      </c>
      <c r="HZ70" s="376">
        <v>19</v>
      </c>
      <c r="IA70" s="376">
        <v>27</v>
      </c>
      <c r="IB70" s="376">
        <f t="shared" si="434"/>
        <v>46</v>
      </c>
      <c r="IC70" s="376">
        <v>23</v>
      </c>
      <c r="ID70" s="376">
        <v>17</v>
      </c>
      <c r="IE70" s="376">
        <f t="shared" si="435"/>
        <v>40</v>
      </c>
      <c r="IF70" s="376">
        <v>18</v>
      </c>
      <c r="IG70" s="376">
        <v>24</v>
      </c>
      <c r="IH70" s="376">
        <f t="shared" si="436"/>
        <v>42</v>
      </c>
      <c r="II70" s="376">
        <v>10</v>
      </c>
      <c r="IJ70" s="376">
        <v>18</v>
      </c>
      <c r="IK70" s="376">
        <f t="shared" si="437"/>
        <v>28</v>
      </c>
      <c r="IL70" s="376">
        <v>15</v>
      </c>
      <c r="IM70" s="376">
        <v>19</v>
      </c>
      <c r="IN70" s="376">
        <f t="shared" si="438"/>
        <v>34</v>
      </c>
      <c r="IO70" s="376">
        <v>11</v>
      </c>
      <c r="IP70" s="376">
        <v>17</v>
      </c>
      <c r="IQ70" s="376">
        <f t="shared" si="439"/>
        <v>28</v>
      </c>
      <c r="IR70" s="376">
        <v>7</v>
      </c>
      <c r="IS70" s="376">
        <v>11</v>
      </c>
      <c r="IT70" s="376">
        <f t="shared" si="440"/>
        <v>18</v>
      </c>
      <c r="IU70" s="376">
        <v>7</v>
      </c>
      <c r="IV70" s="376">
        <v>17</v>
      </c>
      <c r="IW70" s="376">
        <f t="shared" si="441"/>
        <v>24</v>
      </c>
      <c r="IX70" s="376">
        <v>8</v>
      </c>
      <c r="IY70" s="376">
        <v>22</v>
      </c>
      <c r="IZ70" s="376">
        <f t="shared" si="442"/>
        <v>30</v>
      </c>
      <c r="JA70" s="376">
        <v>6</v>
      </c>
      <c r="JB70" s="376">
        <v>8</v>
      </c>
      <c r="JC70" s="376">
        <f t="shared" si="443"/>
        <v>14</v>
      </c>
      <c r="JD70" s="376">
        <v>3</v>
      </c>
      <c r="JE70" s="376">
        <v>11</v>
      </c>
      <c r="JF70" s="376">
        <f t="shared" si="444"/>
        <v>14</v>
      </c>
      <c r="JG70" s="376">
        <v>9</v>
      </c>
      <c r="JH70" s="376">
        <v>6</v>
      </c>
      <c r="JI70" s="376">
        <f t="shared" si="445"/>
        <v>15</v>
      </c>
      <c r="JJ70" s="376">
        <v>4</v>
      </c>
      <c r="JK70" s="376">
        <v>4</v>
      </c>
      <c r="JL70" s="376">
        <f t="shared" si="446"/>
        <v>8</v>
      </c>
      <c r="JM70" s="376">
        <v>2</v>
      </c>
      <c r="JN70" s="376">
        <v>6</v>
      </c>
      <c r="JO70" s="376">
        <f t="shared" si="447"/>
        <v>8</v>
      </c>
      <c r="JP70" s="376">
        <v>6</v>
      </c>
      <c r="JQ70" s="376">
        <v>9</v>
      </c>
      <c r="JR70" s="376">
        <f t="shared" si="448"/>
        <v>15</v>
      </c>
      <c r="JS70" s="376">
        <v>4</v>
      </c>
      <c r="JT70" s="376">
        <v>2</v>
      </c>
      <c r="JU70" s="376">
        <f t="shared" si="449"/>
        <v>6</v>
      </c>
      <c r="JV70" s="376">
        <v>2</v>
      </c>
      <c r="JW70" s="376">
        <v>4</v>
      </c>
      <c r="JX70" s="376">
        <f t="shared" si="450"/>
        <v>6</v>
      </c>
      <c r="JY70" s="376">
        <v>1</v>
      </c>
      <c r="JZ70" s="376">
        <v>1</v>
      </c>
      <c r="KA70" s="376">
        <f t="shared" si="451"/>
        <v>2</v>
      </c>
      <c r="KB70" s="376">
        <v>0</v>
      </c>
      <c r="KC70" s="376">
        <v>1</v>
      </c>
      <c r="KD70" s="376">
        <f t="shared" si="452"/>
        <v>1</v>
      </c>
      <c r="KE70" s="376">
        <v>0</v>
      </c>
      <c r="KF70" s="376">
        <v>4</v>
      </c>
      <c r="KG70" s="376">
        <f t="shared" si="453"/>
        <v>4</v>
      </c>
      <c r="KH70" s="376">
        <v>2</v>
      </c>
      <c r="KI70" s="376">
        <v>0</v>
      </c>
      <c r="KJ70" s="376">
        <f t="shared" si="454"/>
        <v>2</v>
      </c>
      <c r="KK70" s="376">
        <v>0</v>
      </c>
      <c r="KL70" s="376">
        <v>0</v>
      </c>
      <c r="KM70" s="376">
        <f t="shared" si="455"/>
        <v>0</v>
      </c>
      <c r="KN70" s="376">
        <v>1</v>
      </c>
      <c r="KO70" s="376">
        <v>0</v>
      </c>
      <c r="KP70" s="376">
        <f t="shared" si="456"/>
        <v>1</v>
      </c>
      <c r="KQ70" s="376">
        <v>0</v>
      </c>
      <c r="KR70" s="376">
        <v>0</v>
      </c>
      <c r="KS70" s="376">
        <f t="shared" si="457"/>
        <v>0</v>
      </c>
      <c r="KT70" s="376">
        <v>0</v>
      </c>
      <c r="KU70" s="376">
        <v>0</v>
      </c>
      <c r="KV70" s="376">
        <f t="shared" si="458"/>
        <v>0</v>
      </c>
      <c r="KW70" s="376">
        <v>0</v>
      </c>
      <c r="KX70" s="376">
        <v>0</v>
      </c>
      <c r="KY70" s="376">
        <f t="shared" si="459"/>
        <v>0</v>
      </c>
      <c r="KZ70" s="376">
        <v>0</v>
      </c>
      <c r="LA70" s="376">
        <v>0</v>
      </c>
      <c r="LB70" s="376">
        <f t="shared" si="460"/>
        <v>0</v>
      </c>
      <c r="LC70" s="376">
        <v>0</v>
      </c>
      <c r="LD70" s="376">
        <v>0</v>
      </c>
      <c r="LE70" s="376">
        <f t="shared" si="461"/>
        <v>0</v>
      </c>
      <c r="LF70" s="376">
        <v>0</v>
      </c>
      <c r="LG70" s="376">
        <v>0</v>
      </c>
      <c r="LH70" s="376">
        <f t="shared" si="462"/>
        <v>0</v>
      </c>
      <c r="LI70" s="376">
        <v>0</v>
      </c>
      <c r="LJ70" s="376">
        <v>0</v>
      </c>
      <c r="LK70" s="376">
        <f t="shared" si="463"/>
        <v>0</v>
      </c>
      <c r="LL70" s="376">
        <v>0</v>
      </c>
      <c r="LM70" s="376">
        <v>0</v>
      </c>
      <c r="LN70" s="376">
        <f t="shared" si="464"/>
        <v>0</v>
      </c>
      <c r="LO70" s="376">
        <v>0</v>
      </c>
      <c r="LP70" s="376">
        <v>0</v>
      </c>
      <c r="LQ70" s="376">
        <f t="shared" si="465"/>
        <v>0</v>
      </c>
      <c r="LR70" s="376">
        <v>0</v>
      </c>
      <c r="LS70" s="376">
        <v>0</v>
      </c>
      <c r="LT70" s="376">
        <f t="shared" si="466"/>
        <v>0</v>
      </c>
      <c r="LU70" s="376">
        <v>0</v>
      </c>
      <c r="LV70" s="376">
        <v>0</v>
      </c>
      <c r="LW70" s="376">
        <f t="shared" si="467"/>
        <v>0</v>
      </c>
      <c r="LX70" s="376">
        <v>0</v>
      </c>
      <c r="LY70" s="376">
        <v>0</v>
      </c>
      <c r="LZ70" s="376">
        <f t="shared" si="468"/>
        <v>0</v>
      </c>
      <c r="MA70" s="376">
        <v>0</v>
      </c>
      <c r="MB70" s="376">
        <v>0</v>
      </c>
      <c r="MC70" s="376">
        <f t="shared" si="469"/>
        <v>0</v>
      </c>
      <c r="MD70" s="376">
        <v>0</v>
      </c>
      <c r="ME70" s="376">
        <v>0</v>
      </c>
      <c r="MF70" s="376">
        <f t="shared" si="470"/>
        <v>0</v>
      </c>
      <c r="MG70" s="376">
        <v>0</v>
      </c>
      <c r="MH70" s="376">
        <v>0</v>
      </c>
      <c r="MI70" s="376">
        <f t="shared" si="471"/>
        <v>0</v>
      </c>
      <c r="MJ70" s="376">
        <v>0</v>
      </c>
      <c r="MK70" s="376">
        <v>0</v>
      </c>
      <c r="ML70" s="376">
        <f t="shared" si="472"/>
        <v>0</v>
      </c>
      <c r="MM70" s="376">
        <v>0</v>
      </c>
      <c r="MN70" s="376">
        <v>0</v>
      </c>
      <c r="MO70" s="376">
        <f t="shared" si="473"/>
        <v>0</v>
      </c>
      <c r="MP70" s="376">
        <v>0</v>
      </c>
      <c r="MQ70" s="376">
        <v>0</v>
      </c>
      <c r="MR70" s="376">
        <f t="shared" si="474"/>
        <v>0</v>
      </c>
      <c r="MS70" s="376">
        <v>0</v>
      </c>
      <c r="MT70" s="376">
        <v>0</v>
      </c>
      <c r="MU70" s="376">
        <f t="shared" si="475"/>
        <v>0</v>
      </c>
      <c r="MV70" s="376">
        <v>0</v>
      </c>
      <c r="MW70" s="376">
        <v>0</v>
      </c>
      <c r="MX70" s="376">
        <f t="shared" si="476"/>
        <v>0</v>
      </c>
      <c r="MY70" s="376">
        <v>0</v>
      </c>
      <c r="MZ70" s="376">
        <v>0</v>
      </c>
      <c r="NA70" s="545">
        <f t="shared" si="477"/>
        <v>0</v>
      </c>
      <c r="NB70" s="376">
        <v>0</v>
      </c>
      <c r="NC70" s="376">
        <v>0</v>
      </c>
      <c r="ND70" s="543">
        <f t="shared" si="478"/>
        <v>0</v>
      </c>
      <c r="NE70" s="542">
        <f t="shared" ref="NE70:NF72" si="491">SUM(C70,F70,I70,L70,O70,R70,U70,X70,AA70,AD70,AG70,AJ70,AM70,AP70,AS70,AV70,AY70,BB70,BE70,BH70,BK70,BN70,BQ70,BT70,BW70,BZ70,CC70,CF70,CI70,CL70,CO70,CR70,CU70,CX70,DA70,DD70,DG70,DJ70,DM70,DP70,DS70,DV70,DY70,EB70,EE70,EH70,EK70,EN70,EQ70,ET70,EW70,EZ70,FC70,FF70,FI70,FL70,FO70,FR70,FU70,FX70,GA70,GD70,GG70,GJ70,GM70,GP70,GS70,GV70,GY70,HB70,HE70,HH70,HK70,HN70,HQ70,HT70,HW70,HZ70,IC70,IF70,II70,IL70,IO70,IR70,IU70,IX70,JA70,JD70,JG70,JJ70,JM70,JP70,JS70,JV70,JY70,KB70,KE70,KH70,KK70,KN70,KQ70,KT70,KW70,KZ70,LC70,LF70,LI70,LL70,LO70,LR70,LU70,LX70,MA70,MD70,MG70,MJ70,MM70,MP70,MS70,MV70,MY70)</f>
        <v>23652</v>
      </c>
      <c r="NF70" s="376">
        <f t="shared" si="491"/>
        <v>23863</v>
      </c>
      <c r="NG70" s="543">
        <f t="shared" si="480"/>
        <v>47515</v>
      </c>
      <c r="NH70" s="542">
        <f t="shared" si="481"/>
        <v>1813</v>
      </c>
      <c r="NI70" s="376">
        <f t="shared" si="481"/>
        <v>1739</v>
      </c>
      <c r="NJ70" s="543">
        <f t="shared" si="482"/>
        <v>3552</v>
      </c>
    </row>
    <row r="71" spans="1:374" x14ac:dyDescent="0.3">
      <c r="A71" s="541" t="s">
        <v>314</v>
      </c>
      <c r="B71" s="589" t="s">
        <v>138</v>
      </c>
      <c r="C71" s="544">
        <v>318</v>
      </c>
      <c r="D71" s="376">
        <v>307</v>
      </c>
      <c r="E71" s="376">
        <f t="shared" si="357"/>
        <v>625</v>
      </c>
      <c r="F71" s="376">
        <v>441</v>
      </c>
      <c r="G71" s="376">
        <v>370</v>
      </c>
      <c r="H71" s="376">
        <f t="shared" si="358"/>
        <v>811</v>
      </c>
      <c r="I71" s="376">
        <v>516</v>
      </c>
      <c r="J71" s="376">
        <v>476</v>
      </c>
      <c r="K71" s="376">
        <f t="shared" si="359"/>
        <v>992</v>
      </c>
      <c r="L71" s="376">
        <v>553</v>
      </c>
      <c r="M71" s="376">
        <v>513</v>
      </c>
      <c r="N71" s="376">
        <f t="shared" si="360"/>
        <v>1066</v>
      </c>
      <c r="O71" s="376">
        <v>587</v>
      </c>
      <c r="P71" s="376">
        <v>564</v>
      </c>
      <c r="Q71" s="376">
        <f t="shared" si="361"/>
        <v>1151</v>
      </c>
      <c r="R71" s="376">
        <v>610</v>
      </c>
      <c r="S71" s="376">
        <v>581</v>
      </c>
      <c r="T71" s="376">
        <f t="shared" si="362"/>
        <v>1191</v>
      </c>
      <c r="U71" s="376">
        <v>703</v>
      </c>
      <c r="V71" s="376">
        <v>661</v>
      </c>
      <c r="W71" s="376">
        <f t="shared" si="363"/>
        <v>1364</v>
      </c>
      <c r="X71" s="376">
        <v>701</v>
      </c>
      <c r="Y71" s="376">
        <v>674</v>
      </c>
      <c r="Z71" s="376">
        <f t="shared" si="364"/>
        <v>1375</v>
      </c>
      <c r="AA71" s="376">
        <v>688</v>
      </c>
      <c r="AB71" s="376">
        <v>657</v>
      </c>
      <c r="AC71" s="376">
        <f t="shared" si="365"/>
        <v>1345</v>
      </c>
      <c r="AD71" s="376">
        <v>676</v>
      </c>
      <c r="AE71" s="376">
        <v>622</v>
      </c>
      <c r="AF71" s="376">
        <f t="shared" si="366"/>
        <v>1298</v>
      </c>
      <c r="AG71" s="376">
        <v>719</v>
      </c>
      <c r="AH71" s="376">
        <v>618</v>
      </c>
      <c r="AI71" s="376">
        <f t="shared" si="367"/>
        <v>1337</v>
      </c>
      <c r="AJ71" s="376">
        <v>698</v>
      </c>
      <c r="AK71" s="376">
        <v>676</v>
      </c>
      <c r="AL71" s="376">
        <f t="shared" si="368"/>
        <v>1374</v>
      </c>
      <c r="AM71" s="376">
        <v>735</v>
      </c>
      <c r="AN71" s="376">
        <v>679</v>
      </c>
      <c r="AO71" s="376">
        <f t="shared" si="369"/>
        <v>1414</v>
      </c>
      <c r="AP71" s="376">
        <v>748</v>
      </c>
      <c r="AQ71" s="376">
        <v>662</v>
      </c>
      <c r="AR71" s="376">
        <f t="shared" si="370"/>
        <v>1410</v>
      </c>
      <c r="AS71" s="376">
        <v>775</v>
      </c>
      <c r="AT71" s="376">
        <v>795</v>
      </c>
      <c r="AU71" s="376">
        <f t="shared" si="371"/>
        <v>1570</v>
      </c>
      <c r="AV71" s="376">
        <v>805</v>
      </c>
      <c r="AW71" s="376">
        <v>752</v>
      </c>
      <c r="AX71" s="376">
        <f t="shared" si="372"/>
        <v>1557</v>
      </c>
      <c r="AY71" s="376">
        <v>795</v>
      </c>
      <c r="AZ71" s="376">
        <v>722</v>
      </c>
      <c r="BA71" s="376">
        <f t="shared" si="373"/>
        <v>1517</v>
      </c>
      <c r="BB71" s="376">
        <v>661</v>
      </c>
      <c r="BC71" s="376">
        <v>686</v>
      </c>
      <c r="BD71" s="376">
        <f t="shared" si="374"/>
        <v>1347</v>
      </c>
      <c r="BE71" s="376">
        <v>738</v>
      </c>
      <c r="BF71" s="376">
        <v>724</v>
      </c>
      <c r="BG71" s="376">
        <f t="shared" si="375"/>
        <v>1462</v>
      </c>
      <c r="BH71" s="376">
        <v>798</v>
      </c>
      <c r="BI71" s="376">
        <v>780</v>
      </c>
      <c r="BJ71" s="376">
        <f t="shared" si="376"/>
        <v>1578</v>
      </c>
      <c r="BK71" s="376">
        <v>796</v>
      </c>
      <c r="BL71" s="376">
        <v>721</v>
      </c>
      <c r="BM71" s="376">
        <f t="shared" si="377"/>
        <v>1517</v>
      </c>
      <c r="BN71" s="376">
        <v>790</v>
      </c>
      <c r="BO71" s="376">
        <v>736</v>
      </c>
      <c r="BP71" s="376">
        <f t="shared" si="378"/>
        <v>1526</v>
      </c>
      <c r="BQ71" s="376">
        <v>756</v>
      </c>
      <c r="BR71" s="376">
        <v>720</v>
      </c>
      <c r="BS71" s="376">
        <f t="shared" si="379"/>
        <v>1476</v>
      </c>
      <c r="BT71" s="376">
        <v>774</v>
      </c>
      <c r="BU71" s="376">
        <v>730</v>
      </c>
      <c r="BV71" s="376">
        <f t="shared" si="380"/>
        <v>1504</v>
      </c>
      <c r="BW71" s="376">
        <v>749</v>
      </c>
      <c r="BX71" s="376">
        <v>720</v>
      </c>
      <c r="BY71" s="376">
        <f t="shared" si="381"/>
        <v>1469</v>
      </c>
      <c r="BZ71" s="376">
        <v>784</v>
      </c>
      <c r="CA71" s="376">
        <v>741</v>
      </c>
      <c r="CB71" s="376">
        <f t="shared" si="382"/>
        <v>1525</v>
      </c>
      <c r="CC71" s="376">
        <v>749</v>
      </c>
      <c r="CD71" s="376">
        <v>723</v>
      </c>
      <c r="CE71" s="376">
        <f t="shared" si="383"/>
        <v>1472</v>
      </c>
      <c r="CF71" s="376">
        <v>653</v>
      </c>
      <c r="CG71" s="376">
        <v>608</v>
      </c>
      <c r="CH71" s="376">
        <f t="shared" si="384"/>
        <v>1261</v>
      </c>
      <c r="CI71" s="376">
        <v>628</v>
      </c>
      <c r="CJ71" s="376">
        <v>678</v>
      </c>
      <c r="CK71" s="376">
        <f t="shared" si="385"/>
        <v>1306</v>
      </c>
      <c r="CL71" s="376">
        <v>629</v>
      </c>
      <c r="CM71" s="376">
        <v>590</v>
      </c>
      <c r="CN71" s="376">
        <f t="shared" si="386"/>
        <v>1219</v>
      </c>
      <c r="CO71" s="376">
        <v>626</v>
      </c>
      <c r="CP71" s="376">
        <v>696</v>
      </c>
      <c r="CQ71" s="376">
        <f t="shared" si="387"/>
        <v>1322</v>
      </c>
      <c r="CR71" s="376">
        <v>646</v>
      </c>
      <c r="CS71" s="376">
        <v>623</v>
      </c>
      <c r="CT71" s="376">
        <f t="shared" si="388"/>
        <v>1269</v>
      </c>
      <c r="CU71" s="376">
        <v>571</v>
      </c>
      <c r="CV71" s="376">
        <v>630</v>
      </c>
      <c r="CW71" s="376">
        <f t="shared" si="389"/>
        <v>1201</v>
      </c>
      <c r="CX71" s="376">
        <v>585</v>
      </c>
      <c r="CY71" s="376">
        <v>660</v>
      </c>
      <c r="CZ71" s="376">
        <f t="shared" si="390"/>
        <v>1245</v>
      </c>
      <c r="DA71" s="376">
        <v>563</v>
      </c>
      <c r="DB71" s="376">
        <v>573</v>
      </c>
      <c r="DC71" s="376">
        <f t="shared" si="391"/>
        <v>1136</v>
      </c>
      <c r="DD71" s="376">
        <v>526</v>
      </c>
      <c r="DE71" s="376">
        <v>556</v>
      </c>
      <c r="DF71" s="376">
        <f t="shared" si="392"/>
        <v>1082</v>
      </c>
      <c r="DG71" s="376">
        <v>605</v>
      </c>
      <c r="DH71" s="376">
        <v>629</v>
      </c>
      <c r="DI71" s="376">
        <f t="shared" si="393"/>
        <v>1234</v>
      </c>
      <c r="DJ71" s="376">
        <v>519</v>
      </c>
      <c r="DK71" s="376">
        <v>518</v>
      </c>
      <c r="DL71" s="376">
        <f t="shared" si="394"/>
        <v>1037</v>
      </c>
      <c r="DM71" s="376">
        <v>525</v>
      </c>
      <c r="DN71" s="376">
        <v>535</v>
      </c>
      <c r="DO71" s="376">
        <f t="shared" si="395"/>
        <v>1060</v>
      </c>
      <c r="DP71" s="376">
        <v>511</v>
      </c>
      <c r="DQ71" s="376">
        <v>540</v>
      </c>
      <c r="DR71" s="376">
        <f t="shared" si="396"/>
        <v>1051</v>
      </c>
      <c r="DS71" s="376">
        <v>512</v>
      </c>
      <c r="DT71" s="376">
        <v>548</v>
      </c>
      <c r="DU71" s="376">
        <f t="shared" si="397"/>
        <v>1060</v>
      </c>
      <c r="DV71" s="376">
        <v>533</v>
      </c>
      <c r="DW71" s="376">
        <v>614</v>
      </c>
      <c r="DX71" s="376">
        <f t="shared" si="398"/>
        <v>1147</v>
      </c>
      <c r="DY71" s="376">
        <v>539</v>
      </c>
      <c r="DZ71" s="376">
        <v>633</v>
      </c>
      <c r="EA71" s="376">
        <f t="shared" si="399"/>
        <v>1172</v>
      </c>
      <c r="EB71" s="376">
        <v>627</v>
      </c>
      <c r="EC71" s="376">
        <v>682</v>
      </c>
      <c r="ED71" s="376">
        <f t="shared" si="400"/>
        <v>1309</v>
      </c>
      <c r="EE71" s="376">
        <v>583</v>
      </c>
      <c r="EF71" s="376">
        <v>726</v>
      </c>
      <c r="EG71" s="376">
        <f t="shared" si="401"/>
        <v>1309</v>
      </c>
      <c r="EH71" s="376">
        <v>563</v>
      </c>
      <c r="EI71" s="376">
        <v>654</v>
      </c>
      <c r="EJ71" s="376">
        <f t="shared" si="402"/>
        <v>1217</v>
      </c>
      <c r="EK71" s="376">
        <v>644</v>
      </c>
      <c r="EL71" s="376">
        <v>727</v>
      </c>
      <c r="EM71" s="376">
        <f t="shared" si="403"/>
        <v>1371</v>
      </c>
      <c r="EN71" s="376">
        <v>581</v>
      </c>
      <c r="EO71" s="376">
        <v>743</v>
      </c>
      <c r="EP71" s="376">
        <f t="shared" si="404"/>
        <v>1324</v>
      </c>
      <c r="EQ71" s="376">
        <v>611</v>
      </c>
      <c r="ER71" s="376">
        <v>694</v>
      </c>
      <c r="ES71" s="376">
        <f t="shared" si="405"/>
        <v>1305</v>
      </c>
      <c r="ET71" s="376">
        <v>664</v>
      </c>
      <c r="EU71" s="376">
        <v>719</v>
      </c>
      <c r="EV71" s="376">
        <f t="shared" si="406"/>
        <v>1383</v>
      </c>
      <c r="EW71" s="376">
        <v>693</v>
      </c>
      <c r="EX71" s="376">
        <v>721</v>
      </c>
      <c r="EY71" s="376">
        <f t="shared" si="407"/>
        <v>1414</v>
      </c>
      <c r="EZ71" s="376">
        <v>632</v>
      </c>
      <c r="FA71" s="376">
        <v>721</v>
      </c>
      <c r="FB71" s="376">
        <f t="shared" si="408"/>
        <v>1353</v>
      </c>
      <c r="FC71" s="376">
        <v>553</v>
      </c>
      <c r="FD71" s="376">
        <v>628</v>
      </c>
      <c r="FE71" s="376">
        <f t="shared" si="409"/>
        <v>1181</v>
      </c>
      <c r="FF71" s="376">
        <v>601</v>
      </c>
      <c r="FG71" s="376">
        <v>671</v>
      </c>
      <c r="FH71" s="376">
        <f t="shared" si="410"/>
        <v>1272</v>
      </c>
      <c r="FI71" s="376">
        <v>611</v>
      </c>
      <c r="FJ71" s="376">
        <v>562</v>
      </c>
      <c r="FK71" s="376">
        <f t="shared" si="411"/>
        <v>1173</v>
      </c>
      <c r="FL71" s="376">
        <v>545</v>
      </c>
      <c r="FM71" s="376">
        <v>541</v>
      </c>
      <c r="FN71" s="376">
        <f t="shared" si="412"/>
        <v>1086</v>
      </c>
      <c r="FO71" s="376">
        <v>571</v>
      </c>
      <c r="FP71" s="376">
        <v>545</v>
      </c>
      <c r="FQ71" s="376">
        <f t="shared" si="413"/>
        <v>1116</v>
      </c>
      <c r="FR71" s="376">
        <v>496</v>
      </c>
      <c r="FS71" s="376">
        <v>493</v>
      </c>
      <c r="FT71" s="376">
        <f t="shared" si="414"/>
        <v>989</v>
      </c>
      <c r="FU71" s="376">
        <v>464</v>
      </c>
      <c r="FV71" s="376">
        <v>456</v>
      </c>
      <c r="FW71" s="376">
        <f t="shared" si="415"/>
        <v>920</v>
      </c>
      <c r="FX71" s="376">
        <v>371</v>
      </c>
      <c r="FY71" s="376">
        <v>365</v>
      </c>
      <c r="FZ71" s="376">
        <f t="shared" si="416"/>
        <v>736</v>
      </c>
      <c r="GA71" s="376">
        <v>383</v>
      </c>
      <c r="GB71" s="376">
        <v>328</v>
      </c>
      <c r="GC71" s="376">
        <f t="shared" si="417"/>
        <v>711</v>
      </c>
      <c r="GD71" s="376">
        <v>345</v>
      </c>
      <c r="GE71" s="376">
        <v>323</v>
      </c>
      <c r="GF71" s="376">
        <f t="shared" si="418"/>
        <v>668</v>
      </c>
      <c r="GG71" s="376">
        <v>296</v>
      </c>
      <c r="GH71" s="376">
        <v>305</v>
      </c>
      <c r="GI71" s="376">
        <f t="shared" si="419"/>
        <v>601</v>
      </c>
      <c r="GJ71" s="376">
        <v>256</v>
      </c>
      <c r="GK71" s="376">
        <v>253</v>
      </c>
      <c r="GL71" s="376">
        <f t="shared" si="420"/>
        <v>509</v>
      </c>
      <c r="GM71" s="376">
        <v>235</v>
      </c>
      <c r="GN71" s="376">
        <v>210</v>
      </c>
      <c r="GO71" s="376">
        <f t="shared" si="421"/>
        <v>445</v>
      </c>
      <c r="GP71" s="376">
        <v>246</v>
      </c>
      <c r="GQ71" s="376">
        <v>196</v>
      </c>
      <c r="GR71" s="376">
        <f t="shared" si="422"/>
        <v>442</v>
      </c>
      <c r="GS71" s="376">
        <v>197</v>
      </c>
      <c r="GT71" s="376">
        <v>189</v>
      </c>
      <c r="GU71" s="376">
        <f t="shared" si="423"/>
        <v>386</v>
      </c>
      <c r="GV71" s="376">
        <v>193</v>
      </c>
      <c r="GW71" s="376">
        <v>167</v>
      </c>
      <c r="GX71" s="376">
        <f t="shared" si="424"/>
        <v>360</v>
      </c>
      <c r="GY71" s="376">
        <v>159</v>
      </c>
      <c r="GZ71" s="376">
        <v>169</v>
      </c>
      <c r="HA71" s="376">
        <f t="shared" si="425"/>
        <v>328</v>
      </c>
      <c r="HB71" s="376">
        <v>129</v>
      </c>
      <c r="HC71" s="376">
        <v>106</v>
      </c>
      <c r="HD71" s="376">
        <f t="shared" si="426"/>
        <v>235</v>
      </c>
      <c r="HE71" s="376">
        <v>110</v>
      </c>
      <c r="HF71" s="376">
        <v>110</v>
      </c>
      <c r="HG71" s="376">
        <f t="shared" si="427"/>
        <v>220</v>
      </c>
      <c r="HH71" s="376">
        <v>99</v>
      </c>
      <c r="HI71" s="376">
        <v>105</v>
      </c>
      <c r="HJ71" s="376">
        <f t="shared" si="428"/>
        <v>204</v>
      </c>
      <c r="HK71" s="376">
        <v>89</v>
      </c>
      <c r="HL71" s="376">
        <v>112</v>
      </c>
      <c r="HM71" s="376">
        <f t="shared" si="429"/>
        <v>201</v>
      </c>
      <c r="HN71" s="376">
        <v>58</v>
      </c>
      <c r="HO71" s="376">
        <v>77</v>
      </c>
      <c r="HP71" s="376">
        <f t="shared" si="430"/>
        <v>135</v>
      </c>
      <c r="HQ71" s="376">
        <v>58</v>
      </c>
      <c r="HR71" s="376">
        <v>77</v>
      </c>
      <c r="HS71" s="376">
        <f t="shared" si="431"/>
        <v>135</v>
      </c>
      <c r="HT71" s="376">
        <v>59</v>
      </c>
      <c r="HU71" s="376">
        <v>70</v>
      </c>
      <c r="HV71" s="376">
        <f t="shared" si="432"/>
        <v>129</v>
      </c>
      <c r="HW71" s="376">
        <v>49</v>
      </c>
      <c r="HX71" s="376">
        <v>69</v>
      </c>
      <c r="HY71" s="376">
        <f t="shared" si="433"/>
        <v>118</v>
      </c>
      <c r="HZ71" s="376">
        <v>38</v>
      </c>
      <c r="IA71" s="376">
        <v>45</v>
      </c>
      <c r="IB71" s="376">
        <f t="shared" si="434"/>
        <v>83</v>
      </c>
      <c r="IC71" s="376">
        <v>30</v>
      </c>
      <c r="ID71" s="376">
        <v>47</v>
      </c>
      <c r="IE71" s="376">
        <f t="shared" si="435"/>
        <v>77</v>
      </c>
      <c r="IF71" s="376">
        <v>22</v>
      </c>
      <c r="IG71" s="376">
        <v>34</v>
      </c>
      <c r="IH71" s="376">
        <f t="shared" si="436"/>
        <v>56</v>
      </c>
      <c r="II71" s="376">
        <v>23</v>
      </c>
      <c r="IJ71" s="376">
        <v>48</v>
      </c>
      <c r="IK71" s="376">
        <f t="shared" si="437"/>
        <v>71</v>
      </c>
      <c r="IL71" s="376">
        <v>24</v>
      </c>
      <c r="IM71" s="376">
        <v>28</v>
      </c>
      <c r="IN71" s="376">
        <f t="shared" si="438"/>
        <v>52</v>
      </c>
      <c r="IO71" s="376">
        <v>19</v>
      </c>
      <c r="IP71" s="376">
        <v>29</v>
      </c>
      <c r="IQ71" s="376">
        <f t="shared" si="439"/>
        <v>48</v>
      </c>
      <c r="IR71" s="376">
        <v>22</v>
      </c>
      <c r="IS71" s="376">
        <v>29</v>
      </c>
      <c r="IT71" s="376">
        <f t="shared" si="440"/>
        <v>51</v>
      </c>
      <c r="IU71" s="376">
        <v>10</v>
      </c>
      <c r="IV71" s="376">
        <v>9</v>
      </c>
      <c r="IW71" s="376">
        <f t="shared" si="441"/>
        <v>19</v>
      </c>
      <c r="IX71" s="376">
        <v>12</v>
      </c>
      <c r="IY71" s="376">
        <v>15</v>
      </c>
      <c r="IZ71" s="376">
        <f t="shared" si="442"/>
        <v>27</v>
      </c>
      <c r="JA71" s="376">
        <v>9</v>
      </c>
      <c r="JB71" s="376">
        <v>23</v>
      </c>
      <c r="JC71" s="376">
        <f t="shared" si="443"/>
        <v>32</v>
      </c>
      <c r="JD71" s="376">
        <v>3</v>
      </c>
      <c r="JE71" s="376">
        <v>17</v>
      </c>
      <c r="JF71" s="376">
        <f t="shared" si="444"/>
        <v>20</v>
      </c>
      <c r="JG71" s="376">
        <v>5</v>
      </c>
      <c r="JH71" s="376">
        <v>6</v>
      </c>
      <c r="JI71" s="376">
        <f t="shared" si="445"/>
        <v>11</v>
      </c>
      <c r="JJ71" s="376">
        <v>1</v>
      </c>
      <c r="JK71" s="376">
        <v>8</v>
      </c>
      <c r="JL71" s="376">
        <f t="shared" si="446"/>
        <v>9</v>
      </c>
      <c r="JM71" s="376">
        <v>2</v>
      </c>
      <c r="JN71" s="376">
        <v>16</v>
      </c>
      <c r="JO71" s="376">
        <f t="shared" si="447"/>
        <v>18</v>
      </c>
      <c r="JP71" s="376">
        <v>7</v>
      </c>
      <c r="JQ71" s="376">
        <v>7</v>
      </c>
      <c r="JR71" s="376">
        <f t="shared" si="448"/>
        <v>14</v>
      </c>
      <c r="JS71" s="376">
        <v>3</v>
      </c>
      <c r="JT71" s="376">
        <v>5</v>
      </c>
      <c r="JU71" s="376">
        <f t="shared" si="449"/>
        <v>8</v>
      </c>
      <c r="JV71" s="376">
        <v>3</v>
      </c>
      <c r="JW71" s="376">
        <v>5</v>
      </c>
      <c r="JX71" s="376">
        <f t="shared" si="450"/>
        <v>8</v>
      </c>
      <c r="JY71" s="376">
        <v>1</v>
      </c>
      <c r="JZ71" s="376">
        <v>1</v>
      </c>
      <c r="KA71" s="376">
        <f t="shared" si="451"/>
        <v>2</v>
      </c>
      <c r="KB71" s="376">
        <v>2</v>
      </c>
      <c r="KC71" s="376">
        <v>1</v>
      </c>
      <c r="KD71" s="376">
        <f t="shared" si="452"/>
        <v>3</v>
      </c>
      <c r="KE71" s="376">
        <v>1</v>
      </c>
      <c r="KF71" s="376">
        <v>1</v>
      </c>
      <c r="KG71" s="376">
        <f t="shared" si="453"/>
        <v>2</v>
      </c>
      <c r="KH71" s="376">
        <v>1</v>
      </c>
      <c r="KI71" s="376">
        <v>1</v>
      </c>
      <c r="KJ71" s="376">
        <f t="shared" si="454"/>
        <v>2</v>
      </c>
      <c r="KK71" s="376">
        <v>0</v>
      </c>
      <c r="KL71" s="376">
        <v>1</v>
      </c>
      <c r="KM71" s="376">
        <f t="shared" si="455"/>
        <v>1</v>
      </c>
      <c r="KN71" s="376">
        <v>0</v>
      </c>
      <c r="KO71" s="376">
        <v>0</v>
      </c>
      <c r="KP71" s="376">
        <f t="shared" si="456"/>
        <v>0</v>
      </c>
      <c r="KQ71" s="376">
        <v>0</v>
      </c>
      <c r="KR71" s="376">
        <v>0</v>
      </c>
      <c r="KS71" s="376">
        <f t="shared" si="457"/>
        <v>0</v>
      </c>
      <c r="KT71" s="376">
        <v>0</v>
      </c>
      <c r="KU71" s="376">
        <v>0</v>
      </c>
      <c r="KV71" s="376">
        <f t="shared" si="458"/>
        <v>0</v>
      </c>
      <c r="KW71" s="376">
        <v>0</v>
      </c>
      <c r="KX71" s="376">
        <v>0</v>
      </c>
      <c r="KY71" s="376">
        <f t="shared" si="459"/>
        <v>0</v>
      </c>
      <c r="KZ71" s="376">
        <v>0</v>
      </c>
      <c r="LA71" s="376">
        <v>0</v>
      </c>
      <c r="LB71" s="376">
        <f t="shared" si="460"/>
        <v>0</v>
      </c>
      <c r="LC71" s="376">
        <v>0</v>
      </c>
      <c r="LD71" s="376">
        <v>0</v>
      </c>
      <c r="LE71" s="376">
        <f t="shared" si="461"/>
        <v>0</v>
      </c>
      <c r="LF71" s="376">
        <v>0</v>
      </c>
      <c r="LG71" s="376">
        <v>0</v>
      </c>
      <c r="LH71" s="376">
        <f t="shared" si="462"/>
        <v>0</v>
      </c>
      <c r="LI71" s="376">
        <v>0</v>
      </c>
      <c r="LJ71" s="376">
        <v>0</v>
      </c>
      <c r="LK71" s="376">
        <f t="shared" si="463"/>
        <v>0</v>
      </c>
      <c r="LL71" s="376">
        <v>0</v>
      </c>
      <c r="LM71" s="376">
        <v>0</v>
      </c>
      <c r="LN71" s="376">
        <f t="shared" si="464"/>
        <v>0</v>
      </c>
      <c r="LO71" s="376">
        <v>0</v>
      </c>
      <c r="LP71" s="376">
        <v>0</v>
      </c>
      <c r="LQ71" s="376">
        <f t="shared" si="465"/>
        <v>0</v>
      </c>
      <c r="LR71" s="376">
        <v>0</v>
      </c>
      <c r="LS71" s="376">
        <v>0</v>
      </c>
      <c r="LT71" s="376">
        <f t="shared" si="466"/>
        <v>0</v>
      </c>
      <c r="LU71" s="376">
        <v>0</v>
      </c>
      <c r="LV71" s="376">
        <v>0</v>
      </c>
      <c r="LW71" s="376">
        <f t="shared" si="467"/>
        <v>0</v>
      </c>
      <c r="LX71" s="376">
        <v>0</v>
      </c>
      <c r="LY71" s="376">
        <v>0</v>
      </c>
      <c r="LZ71" s="376">
        <f t="shared" si="468"/>
        <v>0</v>
      </c>
      <c r="MA71" s="376">
        <v>0</v>
      </c>
      <c r="MB71" s="376">
        <v>0</v>
      </c>
      <c r="MC71" s="376">
        <f t="shared" si="469"/>
        <v>0</v>
      </c>
      <c r="MD71" s="376">
        <v>0</v>
      </c>
      <c r="ME71" s="376">
        <v>0</v>
      </c>
      <c r="MF71" s="376">
        <f t="shared" si="470"/>
        <v>0</v>
      </c>
      <c r="MG71" s="376">
        <v>0</v>
      </c>
      <c r="MH71" s="376">
        <v>0</v>
      </c>
      <c r="MI71" s="376">
        <f t="shared" si="471"/>
        <v>0</v>
      </c>
      <c r="MJ71" s="376">
        <v>0</v>
      </c>
      <c r="MK71" s="376">
        <v>0</v>
      </c>
      <c r="ML71" s="376">
        <f t="shared" si="472"/>
        <v>0</v>
      </c>
      <c r="MM71" s="376">
        <v>0</v>
      </c>
      <c r="MN71" s="376">
        <v>0</v>
      </c>
      <c r="MO71" s="376">
        <f t="shared" si="473"/>
        <v>0</v>
      </c>
      <c r="MP71" s="376">
        <v>0</v>
      </c>
      <c r="MQ71" s="376">
        <v>0</v>
      </c>
      <c r="MR71" s="376">
        <f t="shared" si="474"/>
        <v>0</v>
      </c>
      <c r="MS71" s="376">
        <v>0</v>
      </c>
      <c r="MT71" s="376">
        <v>0</v>
      </c>
      <c r="MU71" s="376">
        <f t="shared" si="475"/>
        <v>0</v>
      </c>
      <c r="MV71" s="376">
        <v>0</v>
      </c>
      <c r="MW71" s="376">
        <v>0</v>
      </c>
      <c r="MX71" s="376">
        <f t="shared" si="476"/>
        <v>0</v>
      </c>
      <c r="MY71" s="376">
        <v>0</v>
      </c>
      <c r="MZ71" s="376">
        <v>0</v>
      </c>
      <c r="NA71" s="545">
        <f t="shared" si="477"/>
        <v>0</v>
      </c>
      <c r="NB71" s="376">
        <v>0</v>
      </c>
      <c r="NC71" s="376">
        <v>0</v>
      </c>
      <c r="ND71" s="543">
        <f t="shared" si="478"/>
        <v>0</v>
      </c>
      <c r="NE71" s="542">
        <f t="shared" si="491"/>
        <v>40843</v>
      </c>
      <c r="NF71" s="376">
        <f t="shared" si="491"/>
        <v>41131</v>
      </c>
      <c r="NG71" s="543">
        <f t="shared" si="480"/>
        <v>81974</v>
      </c>
      <c r="NH71" s="542">
        <f t="shared" si="481"/>
        <v>3025</v>
      </c>
      <c r="NI71" s="376">
        <f t="shared" si="481"/>
        <v>2811</v>
      </c>
      <c r="NJ71" s="543">
        <f t="shared" si="482"/>
        <v>5836</v>
      </c>
    </row>
    <row r="72" spans="1:374" ht="14.5" thickBot="1" x14ac:dyDescent="0.35">
      <c r="A72" s="568" t="s">
        <v>315</v>
      </c>
      <c r="B72" s="590" t="s">
        <v>140</v>
      </c>
      <c r="C72" s="550">
        <v>193</v>
      </c>
      <c r="D72" s="380">
        <v>171</v>
      </c>
      <c r="E72" s="380">
        <f t="shared" si="357"/>
        <v>364</v>
      </c>
      <c r="F72" s="380">
        <v>236</v>
      </c>
      <c r="G72" s="380">
        <v>223</v>
      </c>
      <c r="H72" s="380">
        <f t="shared" si="358"/>
        <v>459</v>
      </c>
      <c r="I72" s="380">
        <v>248</v>
      </c>
      <c r="J72" s="380">
        <v>281</v>
      </c>
      <c r="K72" s="380">
        <f t="shared" si="359"/>
        <v>529</v>
      </c>
      <c r="L72" s="380">
        <v>342</v>
      </c>
      <c r="M72" s="380">
        <v>298</v>
      </c>
      <c r="N72" s="380">
        <f t="shared" si="360"/>
        <v>640</v>
      </c>
      <c r="O72" s="380">
        <v>369</v>
      </c>
      <c r="P72" s="380">
        <v>291</v>
      </c>
      <c r="Q72" s="380">
        <f t="shared" si="361"/>
        <v>660</v>
      </c>
      <c r="R72" s="380">
        <v>355</v>
      </c>
      <c r="S72" s="380">
        <v>327</v>
      </c>
      <c r="T72" s="380">
        <f t="shared" si="362"/>
        <v>682</v>
      </c>
      <c r="U72" s="380">
        <v>400</v>
      </c>
      <c r="V72" s="380">
        <v>360</v>
      </c>
      <c r="W72" s="380">
        <f t="shared" si="363"/>
        <v>760</v>
      </c>
      <c r="X72" s="380">
        <v>381</v>
      </c>
      <c r="Y72" s="380">
        <v>314</v>
      </c>
      <c r="Z72" s="380">
        <f t="shared" si="364"/>
        <v>695</v>
      </c>
      <c r="AA72" s="380">
        <v>355</v>
      </c>
      <c r="AB72" s="380">
        <v>326</v>
      </c>
      <c r="AC72" s="380">
        <f t="shared" si="365"/>
        <v>681</v>
      </c>
      <c r="AD72" s="380">
        <v>355</v>
      </c>
      <c r="AE72" s="380">
        <v>312</v>
      </c>
      <c r="AF72" s="380">
        <f t="shared" si="366"/>
        <v>667</v>
      </c>
      <c r="AG72" s="380">
        <v>388</v>
      </c>
      <c r="AH72" s="380">
        <v>346</v>
      </c>
      <c r="AI72" s="380">
        <f t="shared" si="367"/>
        <v>734</v>
      </c>
      <c r="AJ72" s="380">
        <v>340</v>
      </c>
      <c r="AK72" s="380">
        <v>324</v>
      </c>
      <c r="AL72" s="380">
        <f t="shared" si="368"/>
        <v>664</v>
      </c>
      <c r="AM72" s="380">
        <v>348</v>
      </c>
      <c r="AN72" s="380">
        <v>340</v>
      </c>
      <c r="AO72" s="380">
        <f t="shared" si="369"/>
        <v>688</v>
      </c>
      <c r="AP72" s="380">
        <v>348</v>
      </c>
      <c r="AQ72" s="380">
        <v>340</v>
      </c>
      <c r="AR72" s="380">
        <f t="shared" si="370"/>
        <v>688</v>
      </c>
      <c r="AS72" s="380">
        <v>395</v>
      </c>
      <c r="AT72" s="380">
        <v>331</v>
      </c>
      <c r="AU72" s="380">
        <f t="shared" si="371"/>
        <v>726</v>
      </c>
      <c r="AV72" s="380">
        <v>341</v>
      </c>
      <c r="AW72" s="380">
        <v>322</v>
      </c>
      <c r="AX72" s="380">
        <f t="shared" si="372"/>
        <v>663</v>
      </c>
      <c r="AY72" s="380">
        <v>329</v>
      </c>
      <c r="AZ72" s="380">
        <v>334</v>
      </c>
      <c r="BA72" s="380">
        <f t="shared" si="373"/>
        <v>663</v>
      </c>
      <c r="BB72" s="380">
        <v>315</v>
      </c>
      <c r="BC72" s="380">
        <v>316</v>
      </c>
      <c r="BD72" s="380">
        <f t="shared" si="374"/>
        <v>631</v>
      </c>
      <c r="BE72" s="380">
        <v>350</v>
      </c>
      <c r="BF72" s="380">
        <v>339</v>
      </c>
      <c r="BG72" s="380">
        <f t="shared" si="375"/>
        <v>689</v>
      </c>
      <c r="BH72" s="380">
        <v>357</v>
      </c>
      <c r="BI72" s="380">
        <v>350</v>
      </c>
      <c r="BJ72" s="380">
        <f t="shared" si="376"/>
        <v>707</v>
      </c>
      <c r="BK72" s="380">
        <v>361</v>
      </c>
      <c r="BL72" s="380">
        <v>313</v>
      </c>
      <c r="BM72" s="380">
        <f t="shared" si="377"/>
        <v>674</v>
      </c>
      <c r="BN72" s="380">
        <v>325</v>
      </c>
      <c r="BO72" s="380">
        <v>342</v>
      </c>
      <c r="BP72" s="380">
        <f t="shared" si="378"/>
        <v>667</v>
      </c>
      <c r="BQ72" s="380">
        <v>338</v>
      </c>
      <c r="BR72" s="380">
        <v>323</v>
      </c>
      <c r="BS72" s="380">
        <f t="shared" si="379"/>
        <v>661</v>
      </c>
      <c r="BT72" s="380">
        <v>425</v>
      </c>
      <c r="BU72" s="380">
        <v>326</v>
      </c>
      <c r="BV72" s="380">
        <f t="shared" si="380"/>
        <v>751</v>
      </c>
      <c r="BW72" s="380">
        <v>321</v>
      </c>
      <c r="BX72" s="380">
        <v>349</v>
      </c>
      <c r="BY72" s="380">
        <f t="shared" si="381"/>
        <v>670</v>
      </c>
      <c r="BZ72" s="380">
        <v>328</v>
      </c>
      <c r="CA72" s="380">
        <v>341</v>
      </c>
      <c r="CB72" s="380">
        <f t="shared" si="382"/>
        <v>669</v>
      </c>
      <c r="CC72" s="380">
        <v>388</v>
      </c>
      <c r="CD72" s="380">
        <v>361</v>
      </c>
      <c r="CE72" s="380">
        <f t="shared" si="383"/>
        <v>749</v>
      </c>
      <c r="CF72" s="380">
        <v>284</v>
      </c>
      <c r="CG72" s="380">
        <v>290</v>
      </c>
      <c r="CH72" s="380">
        <f t="shared" si="384"/>
        <v>574</v>
      </c>
      <c r="CI72" s="380">
        <v>353</v>
      </c>
      <c r="CJ72" s="380">
        <v>328</v>
      </c>
      <c r="CK72" s="380">
        <f t="shared" si="385"/>
        <v>681</v>
      </c>
      <c r="CL72" s="380">
        <v>320</v>
      </c>
      <c r="CM72" s="380">
        <v>342</v>
      </c>
      <c r="CN72" s="380">
        <f t="shared" si="386"/>
        <v>662</v>
      </c>
      <c r="CO72" s="380">
        <v>351</v>
      </c>
      <c r="CP72" s="380">
        <v>372</v>
      </c>
      <c r="CQ72" s="380">
        <f t="shared" si="387"/>
        <v>723</v>
      </c>
      <c r="CR72" s="380">
        <v>361</v>
      </c>
      <c r="CS72" s="380">
        <v>386</v>
      </c>
      <c r="CT72" s="380">
        <f t="shared" si="388"/>
        <v>747</v>
      </c>
      <c r="CU72" s="380">
        <v>332</v>
      </c>
      <c r="CV72" s="380">
        <v>364</v>
      </c>
      <c r="CW72" s="380">
        <f t="shared" si="389"/>
        <v>696</v>
      </c>
      <c r="CX72" s="380">
        <v>346</v>
      </c>
      <c r="CY72" s="380">
        <v>369</v>
      </c>
      <c r="CZ72" s="380">
        <f t="shared" si="390"/>
        <v>715</v>
      </c>
      <c r="DA72" s="380">
        <v>348</v>
      </c>
      <c r="DB72" s="380">
        <v>355</v>
      </c>
      <c r="DC72" s="380">
        <f t="shared" si="391"/>
        <v>703</v>
      </c>
      <c r="DD72" s="380">
        <v>359</v>
      </c>
      <c r="DE72" s="380">
        <v>293</v>
      </c>
      <c r="DF72" s="380">
        <f t="shared" si="392"/>
        <v>652</v>
      </c>
      <c r="DG72" s="380">
        <v>325</v>
      </c>
      <c r="DH72" s="380">
        <v>364</v>
      </c>
      <c r="DI72" s="380">
        <f t="shared" si="393"/>
        <v>689</v>
      </c>
      <c r="DJ72" s="380">
        <v>294</v>
      </c>
      <c r="DK72" s="380">
        <v>335</v>
      </c>
      <c r="DL72" s="380">
        <f t="shared" si="394"/>
        <v>629</v>
      </c>
      <c r="DM72" s="380">
        <v>277</v>
      </c>
      <c r="DN72" s="380">
        <v>297</v>
      </c>
      <c r="DO72" s="380">
        <f t="shared" si="395"/>
        <v>574</v>
      </c>
      <c r="DP72" s="380">
        <v>279</v>
      </c>
      <c r="DQ72" s="380">
        <v>256</v>
      </c>
      <c r="DR72" s="380">
        <f t="shared" si="396"/>
        <v>535</v>
      </c>
      <c r="DS72" s="380">
        <v>292</v>
      </c>
      <c r="DT72" s="380">
        <v>323</v>
      </c>
      <c r="DU72" s="380">
        <f t="shared" si="397"/>
        <v>615</v>
      </c>
      <c r="DV72" s="380">
        <v>294</v>
      </c>
      <c r="DW72" s="380">
        <v>328</v>
      </c>
      <c r="DX72" s="380">
        <f t="shared" si="398"/>
        <v>622</v>
      </c>
      <c r="DY72" s="380">
        <v>303</v>
      </c>
      <c r="DZ72" s="380">
        <v>331</v>
      </c>
      <c r="EA72" s="380">
        <f t="shared" si="399"/>
        <v>634</v>
      </c>
      <c r="EB72" s="380">
        <v>347</v>
      </c>
      <c r="EC72" s="380">
        <v>326</v>
      </c>
      <c r="ED72" s="380">
        <f t="shared" si="400"/>
        <v>673</v>
      </c>
      <c r="EE72" s="380">
        <v>332</v>
      </c>
      <c r="EF72" s="380">
        <v>331</v>
      </c>
      <c r="EG72" s="380">
        <f t="shared" si="401"/>
        <v>663</v>
      </c>
      <c r="EH72" s="380">
        <v>312</v>
      </c>
      <c r="EI72" s="380">
        <v>323</v>
      </c>
      <c r="EJ72" s="380">
        <f t="shared" si="402"/>
        <v>635</v>
      </c>
      <c r="EK72" s="380">
        <v>337</v>
      </c>
      <c r="EL72" s="380">
        <v>331</v>
      </c>
      <c r="EM72" s="380">
        <f t="shared" si="403"/>
        <v>668</v>
      </c>
      <c r="EN72" s="380">
        <v>284</v>
      </c>
      <c r="EO72" s="380">
        <v>315</v>
      </c>
      <c r="EP72" s="380">
        <f t="shared" si="404"/>
        <v>599</v>
      </c>
      <c r="EQ72" s="380">
        <v>299</v>
      </c>
      <c r="ER72" s="380">
        <v>276</v>
      </c>
      <c r="ES72" s="380">
        <f t="shared" si="405"/>
        <v>575</v>
      </c>
      <c r="ET72" s="380">
        <v>287</v>
      </c>
      <c r="EU72" s="380">
        <v>317</v>
      </c>
      <c r="EV72" s="380">
        <f t="shared" si="406"/>
        <v>604</v>
      </c>
      <c r="EW72" s="380">
        <v>243</v>
      </c>
      <c r="EX72" s="380">
        <v>327</v>
      </c>
      <c r="EY72" s="380">
        <f t="shared" si="407"/>
        <v>570</v>
      </c>
      <c r="EZ72" s="380">
        <v>278</v>
      </c>
      <c r="FA72" s="380">
        <v>319</v>
      </c>
      <c r="FB72" s="380">
        <f t="shared" si="408"/>
        <v>597</v>
      </c>
      <c r="FC72" s="380">
        <v>262</v>
      </c>
      <c r="FD72" s="380">
        <v>284</v>
      </c>
      <c r="FE72" s="380">
        <f t="shared" si="409"/>
        <v>546</v>
      </c>
      <c r="FF72" s="380">
        <v>249</v>
      </c>
      <c r="FG72" s="380">
        <v>284</v>
      </c>
      <c r="FH72" s="380">
        <f t="shared" si="410"/>
        <v>533</v>
      </c>
      <c r="FI72" s="380">
        <v>289</v>
      </c>
      <c r="FJ72" s="380">
        <v>288</v>
      </c>
      <c r="FK72" s="380">
        <f t="shared" si="411"/>
        <v>577</v>
      </c>
      <c r="FL72" s="380">
        <v>253</v>
      </c>
      <c r="FM72" s="380">
        <v>247</v>
      </c>
      <c r="FN72" s="380">
        <f t="shared" si="412"/>
        <v>500</v>
      </c>
      <c r="FO72" s="380">
        <v>277</v>
      </c>
      <c r="FP72" s="380">
        <v>266</v>
      </c>
      <c r="FQ72" s="380">
        <f t="shared" si="413"/>
        <v>543</v>
      </c>
      <c r="FR72" s="380">
        <v>233</v>
      </c>
      <c r="FS72" s="380">
        <v>204</v>
      </c>
      <c r="FT72" s="380">
        <f t="shared" si="414"/>
        <v>437</v>
      </c>
      <c r="FU72" s="380">
        <v>240</v>
      </c>
      <c r="FV72" s="380">
        <v>234</v>
      </c>
      <c r="FW72" s="380">
        <f t="shared" si="415"/>
        <v>474</v>
      </c>
      <c r="FX72" s="380">
        <v>182</v>
      </c>
      <c r="FY72" s="380">
        <v>188</v>
      </c>
      <c r="FZ72" s="380">
        <f t="shared" si="416"/>
        <v>370</v>
      </c>
      <c r="GA72" s="380">
        <v>192</v>
      </c>
      <c r="GB72" s="380">
        <v>158</v>
      </c>
      <c r="GC72" s="380">
        <f t="shared" si="417"/>
        <v>350</v>
      </c>
      <c r="GD72" s="380">
        <v>161</v>
      </c>
      <c r="GE72" s="380">
        <v>159</v>
      </c>
      <c r="GF72" s="380">
        <f t="shared" si="418"/>
        <v>320</v>
      </c>
      <c r="GG72" s="380">
        <v>160</v>
      </c>
      <c r="GH72" s="380">
        <v>129</v>
      </c>
      <c r="GI72" s="380">
        <f t="shared" si="419"/>
        <v>289</v>
      </c>
      <c r="GJ72" s="380">
        <v>153</v>
      </c>
      <c r="GK72" s="380">
        <v>159</v>
      </c>
      <c r="GL72" s="380">
        <f t="shared" si="420"/>
        <v>312</v>
      </c>
      <c r="GM72" s="380">
        <v>126</v>
      </c>
      <c r="GN72" s="380">
        <v>126</v>
      </c>
      <c r="GO72" s="380">
        <f t="shared" si="421"/>
        <v>252</v>
      </c>
      <c r="GP72" s="380">
        <v>132</v>
      </c>
      <c r="GQ72" s="380">
        <v>105</v>
      </c>
      <c r="GR72" s="380">
        <f t="shared" si="422"/>
        <v>237</v>
      </c>
      <c r="GS72" s="380">
        <v>99</v>
      </c>
      <c r="GT72" s="380">
        <v>91</v>
      </c>
      <c r="GU72" s="380">
        <f t="shared" si="423"/>
        <v>190</v>
      </c>
      <c r="GV72" s="380">
        <v>79</v>
      </c>
      <c r="GW72" s="380">
        <v>85</v>
      </c>
      <c r="GX72" s="380">
        <f t="shared" si="424"/>
        <v>164</v>
      </c>
      <c r="GY72" s="380">
        <v>90</v>
      </c>
      <c r="GZ72" s="380">
        <v>100</v>
      </c>
      <c r="HA72" s="380">
        <f t="shared" si="425"/>
        <v>190</v>
      </c>
      <c r="HB72" s="380">
        <v>53</v>
      </c>
      <c r="HC72" s="380">
        <v>56</v>
      </c>
      <c r="HD72" s="380">
        <f t="shared" si="426"/>
        <v>109</v>
      </c>
      <c r="HE72" s="380">
        <v>65</v>
      </c>
      <c r="HF72" s="380">
        <v>52</v>
      </c>
      <c r="HG72" s="380">
        <f t="shared" si="427"/>
        <v>117</v>
      </c>
      <c r="HH72" s="380">
        <v>65</v>
      </c>
      <c r="HI72" s="380">
        <v>63</v>
      </c>
      <c r="HJ72" s="380">
        <f t="shared" si="428"/>
        <v>128</v>
      </c>
      <c r="HK72" s="380">
        <v>47</v>
      </c>
      <c r="HL72" s="380">
        <v>48</v>
      </c>
      <c r="HM72" s="380">
        <f t="shared" si="429"/>
        <v>95</v>
      </c>
      <c r="HN72" s="380">
        <v>36</v>
      </c>
      <c r="HO72" s="380">
        <v>39</v>
      </c>
      <c r="HP72" s="380">
        <f t="shared" si="430"/>
        <v>75</v>
      </c>
      <c r="HQ72" s="380">
        <v>40</v>
      </c>
      <c r="HR72" s="380">
        <v>36</v>
      </c>
      <c r="HS72" s="380">
        <f t="shared" si="431"/>
        <v>76</v>
      </c>
      <c r="HT72" s="380">
        <v>30</v>
      </c>
      <c r="HU72" s="380">
        <v>29</v>
      </c>
      <c r="HV72" s="380">
        <f t="shared" si="432"/>
        <v>59</v>
      </c>
      <c r="HW72" s="380">
        <v>38</v>
      </c>
      <c r="HX72" s="380">
        <v>34</v>
      </c>
      <c r="HY72" s="380">
        <f t="shared" si="433"/>
        <v>72</v>
      </c>
      <c r="HZ72" s="380">
        <v>22</v>
      </c>
      <c r="IA72" s="380">
        <v>17</v>
      </c>
      <c r="IB72" s="380">
        <f t="shared" si="434"/>
        <v>39</v>
      </c>
      <c r="IC72" s="380">
        <v>11</v>
      </c>
      <c r="ID72" s="380">
        <v>25</v>
      </c>
      <c r="IE72" s="380">
        <f t="shared" si="435"/>
        <v>36</v>
      </c>
      <c r="IF72" s="380">
        <v>10</v>
      </c>
      <c r="IG72" s="380">
        <v>21</v>
      </c>
      <c r="IH72" s="380">
        <f t="shared" si="436"/>
        <v>31</v>
      </c>
      <c r="II72" s="380">
        <v>16</v>
      </c>
      <c r="IJ72" s="380">
        <v>16</v>
      </c>
      <c r="IK72" s="380">
        <f t="shared" si="437"/>
        <v>32</v>
      </c>
      <c r="IL72" s="380">
        <v>19</v>
      </c>
      <c r="IM72" s="380">
        <v>17</v>
      </c>
      <c r="IN72" s="380">
        <f t="shared" si="438"/>
        <v>36</v>
      </c>
      <c r="IO72" s="380">
        <v>8</v>
      </c>
      <c r="IP72" s="380">
        <v>10</v>
      </c>
      <c r="IQ72" s="380">
        <f t="shared" si="439"/>
        <v>18</v>
      </c>
      <c r="IR72" s="380">
        <v>14</v>
      </c>
      <c r="IS72" s="380">
        <v>11</v>
      </c>
      <c r="IT72" s="380">
        <f t="shared" si="440"/>
        <v>25</v>
      </c>
      <c r="IU72" s="380">
        <v>7</v>
      </c>
      <c r="IV72" s="380">
        <v>10</v>
      </c>
      <c r="IW72" s="380">
        <f t="shared" si="441"/>
        <v>17</v>
      </c>
      <c r="IX72" s="380">
        <v>2</v>
      </c>
      <c r="IY72" s="380">
        <v>9</v>
      </c>
      <c r="IZ72" s="380">
        <f t="shared" si="442"/>
        <v>11</v>
      </c>
      <c r="JA72" s="380">
        <v>5</v>
      </c>
      <c r="JB72" s="380">
        <v>13</v>
      </c>
      <c r="JC72" s="380">
        <f t="shared" si="443"/>
        <v>18</v>
      </c>
      <c r="JD72" s="380">
        <v>3</v>
      </c>
      <c r="JE72" s="380">
        <v>9</v>
      </c>
      <c r="JF72" s="380">
        <f t="shared" si="444"/>
        <v>12</v>
      </c>
      <c r="JG72" s="380">
        <v>4</v>
      </c>
      <c r="JH72" s="380">
        <v>5</v>
      </c>
      <c r="JI72" s="380">
        <f t="shared" si="445"/>
        <v>9</v>
      </c>
      <c r="JJ72" s="380">
        <v>4</v>
      </c>
      <c r="JK72" s="380">
        <v>4</v>
      </c>
      <c r="JL72" s="380">
        <f t="shared" si="446"/>
        <v>8</v>
      </c>
      <c r="JM72" s="380">
        <v>2</v>
      </c>
      <c r="JN72" s="380">
        <v>5</v>
      </c>
      <c r="JO72" s="380">
        <f t="shared" si="447"/>
        <v>7</v>
      </c>
      <c r="JP72" s="380">
        <v>4</v>
      </c>
      <c r="JQ72" s="380">
        <v>3</v>
      </c>
      <c r="JR72" s="380">
        <f t="shared" si="448"/>
        <v>7</v>
      </c>
      <c r="JS72" s="380">
        <v>2</v>
      </c>
      <c r="JT72" s="380">
        <v>3</v>
      </c>
      <c r="JU72" s="380">
        <f t="shared" si="449"/>
        <v>5</v>
      </c>
      <c r="JV72" s="380">
        <v>3</v>
      </c>
      <c r="JW72" s="380">
        <v>0</v>
      </c>
      <c r="JX72" s="380">
        <f t="shared" si="450"/>
        <v>3</v>
      </c>
      <c r="JY72" s="380">
        <v>3</v>
      </c>
      <c r="JZ72" s="380">
        <v>2</v>
      </c>
      <c r="KA72" s="380">
        <f t="shared" si="451"/>
        <v>5</v>
      </c>
      <c r="KB72" s="380">
        <v>0</v>
      </c>
      <c r="KC72" s="380">
        <v>0</v>
      </c>
      <c r="KD72" s="380">
        <f t="shared" si="452"/>
        <v>0</v>
      </c>
      <c r="KE72" s="380">
        <v>0</v>
      </c>
      <c r="KF72" s="380">
        <v>4</v>
      </c>
      <c r="KG72" s="380">
        <f t="shared" si="453"/>
        <v>4</v>
      </c>
      <c r="KH72" s="380">
        <v>0</v>
      </c>
      <c r="KI72" s="380">
        <v>0</v>
      </c>
      <c r="KJ72" s="380">
        <f t="shared" si="454"/>
        <v>0</v>
      </c>
      <c r="KK72" s="380">
        <v>1</v>
      </c>
      <c r="KL72" s="380">
        <v>0</v>
      </c>
      <c r="KM72" s="380">
        <f t="shared" si="455"/>
        <v>1</v>
      </c>
      <c r="KN72" s="380">
        <v>0</v>
      </c>
      <c r="KO72" s="380">
        <v>0</v>
      </c>
      <c r="KP72" s="380">
        <f t="shared" si="456"/>
        <v>0</v>
      </c>
      <c r="KQ72" s="380">
        <v>0</v>
      </c>
      <c r="KR72" s="380">
        <v>0</v>
      </c>
      <c r="KS72" s="380">
        <f t="shared" si="457"/>
        <v>0</v>
      </c>
      <c r="KT72" s="380">
        <v>0</v>
      </c>
      <c r="KU72" s="380">
        <v>0</v>
      </c>
      <c r="KV72" s="380">
        <f t="shared" si="458"/>
        <v>0</v>
      </c>
      <c r="KW72" s="380">
        <v>0</v>
      </c>
      <c r="KX72" s="380">
        <v>0</v>
      </c>
      <c r="KY72" s="380">
        <f t="shared" si="459"/>
        <v>0</v>
      </c>
      <c r="KZ72" s="380">
        <v>0</v>
      </c>
      <c r="LA72" s="380">
        <v>0</v>
      </c>
      <c r="LB72" s="380">
        <f t="shared" si="460"/>
        <v>0</v>
      </c>
      <c r="LC72" s="380">
        <v>0</v>
      </c>
      <c r="LD72" s="380">
        <v>0</v>
      </c>
      <c r="LE72" s="380">
        <f t="shared" si="461"/>
        <v>0</v>
      </c>
      <c r="LF72" s="380">
        <v>0</v>
      </c>
      <c r="LG72" s="380">
        <v>0</v>
      </c>
      <c r="LH72" s="380">
        <f t="shared" si="462"/>
        <v>0</v>
      </c>
      <c r="LI72" s="380">
        <v>0</v>
      </c>
      <c r="LJ72" s="380">
        <v>0</v>
      </c>
      <c r="LK72" s="380">
        <f t="shared" si="463"/>
        <v>0</v>
      </c>
      <c r="LL72" s="380">
        <v>0</v>
      </c>
      <c r="LM72" s="380">
        <v>0</v>
      </c>
      <c r="LN72" s="380">
        <f t="shared" si="464"/>
        <v>0</v>
      </c>
      <c r="LO72" s="380">
        <v>0</v>
      </c>
      <c r="LP72" s="380">
        <v>0</v>
      </c>
      <c r="LQ72" s="380">
        <f t="shared" si="465"/>
        <v>0</v>
      </c>
      <c r="LR72" s="380">
        <v>0</v>
      </c>
      <c r="LS72" s="380">
        <v>0</v>
      </c>
      <c r="LT72" s="380">
        <f t="shared" si="466"/>
        <v>0</v>
      </c>
      <c r="LU72" s="380">
        <v>0</v>
      </c>
      <c r="LV72" s="380">
        <v>0</v>
      </c>
      <c r="LW72" s="380">
        <f t="shared" si="467"/>
        <v>0</v>
      </c>
      <c r="LX72" s="380">
        <v>0</v>
      </c>
      <c r="LY72" s="380">
        <v>0</v>
      </c>
      <c r="LZ72" s="380">
        <f t="shared" si="468"/>
        <v>0</v>
      </c>
      <c r="MA72" s="380">
        <v>0</v>
      </c>
      <c r="MB72" s="380">
        <v>0</v>
      </c>
      <c r="MC72" s="380">
        <f t="shared" si="469"/>
        <v>0</v>
      </c>
      <c r="MD72" s="380">
        <v>0</v>
      </c>
      <c r="ME72" s="380">
        <v>0</v>
      </c>
      <c r="MF72" s="380">
        <f t="shared" si="470"/>
        <v>0</v>
      </c>
      <c r="MG72" s="380">
        <v>0</v>
      </c>
      <c r="MH72" s="380">
        <v>0</v>
      </c>
      <c r="MI72" s="380">
        <f t="shared" si="471"/>
        <v>0</v>
      </c>
      <c r="MJ72" s="380">
        <v>0</v>
      </c>
      <c r="MK72" s="380">
        <v>0</v>
      </c>
      <c r="ML72" s="380">
        <f t="shared" si="472"/>
        <v>0</v>
      </c>
      <c r="MM72" s="380">
        <v>0</v>
      </c>
      <c r="MN72" s="380">
        <v>0</v>
      </c>
      <c r="MO72" s="380">
        <f t="shared" si="473"/>
        <v>0</v>
      </c>
      <c r="MP72" s="380">
        <v>0</v>
      </c>
      <c r="MQ72" s="380">
        <v>0</v>
      </c>
      <c r="MR72" s="380">
        <f t="shared" si="474"/>
        <v>0</v>
      </c>
      <c r="MS72" s="380">
        <v>0</v>
      </c>
      <c r="MT72" s="380">
        <v>0</v>
      </c>
      <c r="MU72" s="380">
        <f t="shared" si="475"/>
        <v>0</v>
      </c>
      <c r="MV72" s="380">
        <v>0</v>
      </c>
      <c r="MW72" s="380">
        <v>0</v>
      </c>
      <c r="MX72" s="380">
        <f t="shared" si="476"/>
        <v>0</v>
      </c>
      <c r="MY72" s="380">
        <v>0</v>
      </c>
      <c r="MZ72" s="380">
        <v>0</v>
      </c>
      <c r="NA72" s="551">
        <f t="shared" si="477"/>
        <v>0</v>
      </c>
      <c r="NB72" s="600">
        <v>0</v>
      </c>
      <c r="NC72" s="600">
        <v>0</v>
      </c>
      <c r="ND72" s="598">
        <f t="shared" si="478"/>
        <v>0</v>
      </c>
      <c r="NE72" s="542">
        <f t="shared" si="491"/>
        <v>20759</v>
      </c>
      <c r="NF72" s="376">
        <f t="shared" si="491"/>
        <v>20446</v>
      </c>
      <c r="NG72" s="598">
        <f t="shared" si="480"/>
        <v>41205</v>
      </c>
      <c r="NH72" s="599">
        <f t="shared" si="481"/>
        <v>1743</v>
      </c>
      <c r="NI72" s="600">
        <f t="shared" si="481"/>
        <v>1591</v>
      </c>
      <c r="NJ72" s="598">
        <f t="shared" si="482"/>
        <v>3334</v>
      </c>
    </row>
    <row r="73" spans="1:374" x14ac:dyDescent="0.3">
      <c r="A73" s="552" t="s">
        <v>316</v>
      </c>
      <c r="B73" s="601" t="s">
        <v>148</v>
      </c>
      <c r="C73" s="573">
        <v>498</v>
      </c>
      <c r="D73" s="571">
        <v>480</v>
      </c>
      <c r="E73" s="571">
        <f t="shared" si="357"/>
        <v>978</v>
      </c>
      <c r="F73" s="571">
        <v>625</v>
      </c>
      <c r="G73" s="571">
        <v>614</v>
      </c>
      <c r="H73" s="571">
        <f t="shared" si="358"/>
        <v>1239</v>
      </c>
      <c r="I73" s="571">
        <v>775</v>
      </c>
      <c r="J73" s="571">
        <v>682</v>
      </c>
      <c r="K73" s="571">
        <f t="shared" si="359"/>
        <v>1457</v>
      </c>
      <c r="L73" s="571">
        <v>888</v>
      </c>
      <c r="M73" s="571">
        <v>776</v>
      </c>
      <c r="N73" s="571">
        <f t="shared" si="360"/>
        <v>1664</v>
      </c>
      <c r="O73" s="571">
        <v>923</v>
      </c>
      <c r="P73" s="571">
        <v>905</v>
      </c>
      <c r="Q73" s="571">
        <f t="shared" si="361"/>
        <v>1828</v>
      </c>
      <c r="R73" s="571">
        <v>1069</v>
      </c>
      <c r="S73" s="571">
        <v>937</v>
      </c>
      <c r="T73" s="571">
        <f t="shared" si="362"/>
        <v>2006</v>
      </c>
      <c r="U73" s="571">
        <v>1012</v>
      </c>
      <c r="V73" s="571">
        <v>1072</v>
      </c>
      <c r="W73" s="571">
        <f t="shared" si="363"/>
        <v>2084</v>
      </c>
      <c r="X73" s="571">
        <v>1083</v>
      </c>
      <c r="Y73" s="571">
        <v>1064</v>
      </c>
      <c r="Z73" s="571">
        <f t="shared" si="364"/>
        <v>2147</v>
      </c>
      <c r="AA73" s="571">
        <v>1080</v>
      </c>
      <c r="AB73" s="571">
        <v>1031</v>
      </c>
      <c r="AC73" s="571">
        <f t="shared" si="365"/>
        <v>2111</v>
      </c>
      <c r="AD73" s="571">
        <v>1062</v>
      </c>
      <c r="AE73" s="571">
        <v>961</v>
      </c>
      <c r="AF73" s="571">
        <f t="shared" si="366"/>
        <v>2023</v>
      </c>
      <c r="AG73" s="571">
        <v>1126</v>
      </c>
      <c r="AH73" s="571">
        <v>1046</v>
      </c>
      <c r="AI73" s="571">
        <f t="shared" si="367"/>
        <v>2172</v>
      </c>
      <c r="AJ73" s="571">
        <v>1112</v>
      </c>
      <c r="AK73" s="571">
        <v>959</v>
      </c>
      <c r="AL73" s="571">
        <f t="shared" si="368"/>
        <v>2071</v>
      </c>
      <c r="AM73" s="571">
        <v>1033</v>
      </c>
      <c r="AN73" s="571">
        <v>1019</v>
      </c>
      <c r="AO73" s="571">
        <f t="shared" si="369"/>
        <v>2052</v>
      </c>
      <c r="AP73" s="571">
        <v>1086</v>
      </c>
      <c r="AQ73" s="571">
        <v>1025</v>
      </c>
      <c r="AR73" s="571">
        <f t="shared" si="370"/>
        <v>2111</v>
      </c>
      <c r="AS73" s="571">
        <v>1161</v>
      </c>
      <c r="AT73" s="571">
        <v>1083</v>
      </c>
      <c r="AU73" s="571">
        <f t="shared" si="371"/>
        <v>2244</v>
      </c>
      <c r="AV73" s="571">
        <v>1167</v>
      </c>
      <c r="AW73" s="571">
        <v>1040</v>
      </c>
      <c r="AX73" s="571">
        <f t="shared" si="372"/>
        <v>2207</v>
      </c>
      <c r="AY73" s="571">
        <v>1075</v>
      </c>
      <c r="AZ73" s="571">
        <v>1031</v>
      </c>
      <c r="BA73" s="571">
        <f t="shared" si="373"/>
        <v>2106</v>
      </c>
      <c r="BB73" s="571">
        <v>1052</v>
      </c>
      <c r="BC73" s="571">
        <v>939</v>
      </c>
      <c r="BD73" s="571">
        <f t="shared" si="374"/>
        <v>1991</v>
      </c>
      <c r="BE73" s="571">
        <v>1045</v>
      </c>
      <c r="BF73" s="571">
        <v>1013</v>
      </c>
      <c r="BG73" s="571">
        <f t="shared" si="375"/>
        <v>2058</v>
      </c>
      <c r="BH73" s="571">
        <v>1234</v>
      </c>
      <c r="BI73" s="571">
        <v>1036</v>
      </c>
      <c r="BJ73" s="571">
        <f t="shared" si="376"/>
        <v>2270</v>
      </c>
      <c r="BK73" s="571">
        <v>1085</v>
      </c>
      <c r="BL73" s="571">
        <v>1009</v>
      </c>
      <c r="BM73" s="571">
        <f t="shared" si="377"/>
        <v>2094</v>
      </c>
      <c r="BN73" s="571">
        <v>1040</v>
      </c>
      <c r="BO73" s="571">
        <v>1008</v>
      </c>
      <c r="BP73" s="571">
        <f t="shared" si="378"/>
        <v>2048</v>
      </c>
      <c r="BQ73" s="571">
        <v>1088</v>
      </c>
      <c r="BR73" s="571">
        <v>1020</v>
      </c>
      <c r="BS73" s="571">
        <f t="shared" si="379"/>
        <v>2108</v>
      </c>
      <c r="BT73" s="571">
        <v>1126</v>
      </c>
      <c r="BU73" s="571">
        <v>1072</v>
      </c>
      <c r="BV73" s="571">
        <f t="shared" si="380"/>
        <v>2198</v>
      </c>
      <c r="BW73" s="571">
        <v>1094</v>
      </c>
      <c r="BX73" s="571">
        <v>1014</v>
      </c>
      <c r="BY73" s="571">
        <f t="shared" si="381"/>
        <v>2108</v>
      </c>
      <c r="BZ73" s="571">
        <v>1145</v>
      </c>
      <c r="CA73" s="571">
        <v>1122</v>
      </c>
      <c r="CB73" s="571">
        <f t="shared" si="382"/>
        <v>2267</v>
      </c>
      <c r="CC73" s="571">
        <v>1115</v>
      </c>
      <c r="CD73" s="571">
        <v>1075</v>
      </c>
      <c r="CE73" s="571">
        <f t="shared" si="383"/>
        <v>2190</v>
      </c>
      <c r="CF73" s="571">
        <v>978</v>
      </c>
      <c r="CG73" s="571">
        <v>902</v>
      </c>
      <c r="CH73" s="571">
        <f t="shared" si="384"/>
        <v>1880</v>
      </c>
      <c r="CI73" s="571">
        <v>1057</v>
      </c>
      <c r="CJ73" s="571">
        <v>1035</v>
      </c>
      <c r="CK73" s="571">
        <f t="shared" si="385"/>
        <v>2092</v>
      </c>
      <c r="CL73" s="571">
        <v>1005</v>
      </c>
      <c r="CM73" s="571">
        <v>1061</v>
      </c>
      <c r="CN73" s="571">
        <f t="shared" si="386"/>
        <v>2066</v>
      </c>
      <c r="CO73" s="571">
        <v>1040</v>
      </c>
      <c r="CP73" s="571">
        <v>1030</v>
      </c>
      <c r="CQ73" s="571">
        <f t="shared" si="387"/>
        <v>2070</v>
      </c>
      <c r="CR73" s="571">
        <v>1018</v>
      </c>
      <c r="CS73" s="571">
        <v>1041</v>
      </c>
      <c r="CT73" s="571">
        <f t="shared" si="388"/>
        <v>2059</v>
      </c>
      <c r="CU73" s="571">
        <v>1003</v>
      </c>
      <c r="CV73" s="571">
        <v>985</v>
      </c>
      <c r="CW73" s="571">
        <f t="shared" si="389"/>
        <v>1988</v>
      </c>
      <c r="CX73" s="571">
        <v>982</v>
      </c>
      <c r="CY73" s="571">
        <v>996</v>
      </c>
      <c r="CZ73" s="571">
        <f t="shared" si="390"/>
        <v>1978</v>
      </c>
      <c r="DA73" s="571">
        <v>1008</v>
      </c>
      <c r="DB73" s="571">
        <v>1033</v>
      </c>
      <c r="DC73" s="571">
        <f t="shared" si="391"/>
        <v>2041</v>
      </c>
      <c r="DD73" s="571">
        <v>988</v>
      </c>
      <c r="DE73" s="571">
        <v>965</v>
      </c>
      <c r="DF73" s="571">
        <f t="shared" si="392"/>
        <v>1953</v>
      </c>
      <c r="DG73" s="571">
        <v>945</v>
      </c>
      <c r="DH73" s="571">
        <v>1034</v>
      </c>
      <c r="DI73" s="571">
        <f t="shared" si="393"/>
        <v>1979</v>
      </c>
      <c r="DJ73" s="571">
        <v>887</v>
      </c>
      <c r="DK73" s="571">
        <v>970</v>
      </c>
      <c r="DL73" s="571">
        <f t="shared" si="394"/>
        <v>1857</v>
      </c>
      <c r="DM73" s="571">
        <v>867</v>
      </c>
      <c r="DN73" s="571">
        <v>953</v>
      </c>
      <c r="DO73" s="571">
        <f t="shared" si="395"/>
        <v>1820</v>
      </c>
      <c r="DP73" s="571">
        <v>965</v>
      </c>
      <c r="DQ73" s="571">
        <v>973</v>
      </c>
      <c r="DR73" s="571">
        <f t="shared" si="396"/>
        <v>1938</v>
      </c>
      <c r="DS73" s="571">
        <v>971</v>
      </c>
      <c r="DT73" s="571">
        <v>1011</v>
      </c>
      <c r="DU73" s="571">
        <f t="shared" si="397"/>
        <v>1982</v>
      </c>
      <c r="DV73" s="571">
        <v>1068</v>
      </c>
      <c r="DW73" s="571">
        <v>1014</v>
      </c>
      <c r="DX73" s="571">
        <f t="shared" si="398"/>
        <v>2082</v>
      </c>
      <c r="DY73" s="571">
        <v>1050</v>
      </c>
      <c r="DZ73" s="571">
        <v>1046</v>
      </c>
      <c r="EA73" s="571">
        <f t="shared" si="399"/>
        <v>2096</v>
      </c>
      <c r="EB73" s="571">
        <v>1123</v>
      </c>
      <c r="EC73" s="571">
        <v>1175</v>
      </c>
      <c r="ED73" s="571">
        <f t="shared" si="400"/>
        <v>2298</v>
      </c>
      <c r="EE73" s="571">
        <v>1028</v>
      </c>
      <c r="EF73" s="571">
        <v>1122</v>
      </c>
      <c r="EG73" s="571">
        <f t="shared" si="401"/>
        <v>2150</v>
      </c>
      <c r="EH73" s="571">
        <v>1072</v>
      </c>
      <c r="EI73" s="571">
        <v>1125</v>
      </c>
      <c r="EJ73" s="571">
        <f t="shared" si="402"/>
        <v>2197</v>
      </c>
      <c r="EK73" s="571">
        <v>955</v>
      </c>
      <c r="EL73" s="571">
        <v>1067</v>
      </c>
      <c r="EM73" s="571">
        <f t="shared" si="403"/>
        <v>2022</v>
      </c>
      <c r="EN73" s="571">
        <v>1022</v>
      </c>
      <c r="EO73" s="571">
        <v>1087</v>
      </c>
      <c r="EP73" s="571">
        <f t="shared" si="404"/>
        <v>2109</v>
      </c>
      <c r="EQ73" s="571">
        <v>976</v>
      </c>
      <c r="ER73" s="571">
        <v>984</v>
      </c>
      <c r="ES73" s="571">
        <f t="shared" si="405"/>
        <v>1960</v>
      </c>
      <c r="ET73" s="571">
        <v>948</v>
      </c>
      <c r="EU73" s="571">
        <v>979</v>
      </c>
      <c r="EV73" s="571">
        <f t="shared" si="406"/>
        <v>1927</v>
      </c>
      <c r="EW73" s="571">
        <v>948</v>
      </c>
      <c r="EX73" s="571">
        <v>1034</v>
      </c>
      <c r="EY73" s="571">
        <f t="shared" si="407"/>
        <v>1982</v>
      </c>
      <c r="EZ73" s="571">
        <v>914</v>
      </c>
      <c r="FA73" s="571">
        <v>992</v>
      </c>
      <c r="FB73" s="571">
        <f t="shared" si="408"/>
        <v>1906</v>
      </c>
      <c r="FC73" s="571">
        <v>872</v>
      </c>
      <c r="FD73" s="571">
        <v>922</v>
      </c>
      <c r="FE73" s="571">
        <f t="shared" si="409"/>
        <v>1794</v>
      </c>
      <c r="FF73" s="571">
        <v>896</v>
      </c>
      <c r="FG73" s="571">
        <v>928</v>
      </c>
      <c r="FH73" s="571">
        <f t="shared" si="410"/>
        <v>1824</v>
      </c>
      <c r="FI73" s="571">
        <v>897</v>
      </c>
      <c r="FJ73" s="571">
        <v>937</v>
      </c>
      <c r="FK73" s="571">
        <f t="shared" si="411"/>
        <v>1834</v>
      </c>
      <c r="FL73" s="571">
        <v>843</v>
      </c>
      <c r="FM73" s="571">
        <v>876</v>
      </c>
      <c r="FN73" s="571">
        <f t="shared" si="412"/>
        <v>1719</v>
      </c>
      <c r="FO73" s="571">
        <v>933</v>
      </c>
      <c r="FP73" s="571">
        <v>837</v>
      </c>
      <c r="FQ73" s="571">
        <f t="shared" si="413"/>
        <v>1770</v>
      </c>
      <c r="FR73" s="571">
        <v>755</v>
      </c>
      <c r="FS73" s="571">
        <v>775</v>
      </c>
      <c r="FT73" s="571">
        <f t="shared" si="414"/>
        <v>1530</v>
      </c>
      <c r="FU73" s="571">
        <v>687</v>
      </c>
      <c r="FV73" s="571">
        <v>727</v>
      </c>
      <c r="FW73" s="571">
        <f t="shared" si="415"/>
        <v>1414</v>
      </c>
      <c r="FX73" s="571">
        <v>599</v>
      </c>
      <c r="FY73" s="571">
        <v>659</v>
      </c>
      <c r="FZ73" s="571">
        <f t="shared" si="416"/>
        <v>1258</v>
      </c>
      <c r="GA73" s="571">
        <v>683</v>
      </c>
      <c r="GB73" s="571">
        <v>775</v>
      </c>
      <c r="GC73" s="571">
        <f t="shared" si="417"/>
        <v>1458</v>
      </c>
      <c r="GD73" s="571">
        <v>578</v>
      </c>
      <c r="GE73" s="571">
        <v>666</v>
      </c>
      <c r="GF73" s="571">
        <f t="shared" si="418"/>
        <v>1244</v>
      </c>
      <c r="GG73" s="571">
        <v>541</v>
      </c>
      <c r="GH73" s="571">
        <v>613</v>
      </c>
      <c r="GI73" s="571">
        <f t="shared" si="419"/>
        <v>1154</v>
      </c>
      <c r="GJ73" s="571">
        <v>567</v>
      </c>
      <c r="GK73" s="571">
        <v>604</v>
      </c>
      <c r="GL73" s="571">
        <f t="shared" si="420"/>
        <v>1171</v>
      </c>
      <c r="GM73" s="571">
        <v>475</v>
      </c>
      <c r="GN73" s="571">
        <v>561</v>
      </c>
      <c r="GO73" s="571">
        <f t="shared" si="421"/>
        <v>1036</v>
      </c>
      <c r="GP73" s="571">
        <v>434</v>
      </c>
      <c r="GQ73" s="571">
        <v>576</v>
      </c>
      <c r="GR73" s="571">
        <f t="shared" si="422"/>
        <v>1010</v>
      </c>
      <c r="GS73" s="571">
        <v>456</v>
      </c>
      <c r="GT73" s="571">
        <v>550</v>
      </c>
      <c r="GU73" s="571">
        <f t="shared" si="423"/>
        <v>1006</v>
      </c>
      <c r="GV73" s="571">
        <v>428</v>
      </c>
      <c r="GW73" s="571">
        <v>496</v>
      </c>
      <c r="GX73" s="571">
        <f t="shared" si="424"/>
        <v>924</v>
      </c>
      <c r="GY73" s="571">
        <v>375</v>
      </c>
      <c r="GZ73" s="571">
        <v>459</v>
      </c>
      <c r="HA73" s="571">
        <f t="shared" si="425"/>
        <v>834</v>
      </c>
      <c r="HB73" s="571">
        <v>373</v>
      </c>
      <c r="HC73" s="571">
        <v>406</v>
      </c>
      <c r="HD73" s="571">
        <f t="shared" si="426"/>
        <v>779</v>
      </c>
      <c r="HE73" s="571">
        <v>344</v>
      </c>
      <c r="HF73" s="571">
        <v>392</v>
      </c>
      <c r="HG73" s="571">
        <f t="shared" si="427"/>
        <v>736</v>
      </c>
      <c r="HH73" s="571">
        <v>332</v>
      </c>
      <c r="HI73" s="571">
        <v>382</v>
      </c>
      <c r="HJ73" s="571">
        <f t="shared" si="428"/>
        <v>714</v>
      </c>
      <c r="HK73" s="571">
        <v>327</v>
      </c>
      <c r="HL73" s="571">
        <v>351</v>
      </c>
      <c r="HM73" s="571">
        <f t="shared" si="429"/>
        <v>678</v>
      </c>
      <c r="HN73" s="571">
        <v>289</v>
      </c>
      <c r="HO73" s="571">
        <v>287</v>
      </c>
      <c r="HP73" s="571">
        <f t="shared" si="430"/>
        <v>576</v>
      </c>
      <c r="HQ73" s="571">
        <v>235</v>
      </c>
      <c r="HR73" s="571">
        <v>249</v>
      </c>
      <c r="HS73" s="571">
        <f t="shared" si="431"/>
        <v>484</v>
      </c>
      <c r="HT73" s="571">
        <v>197</v>
      </c>
      <c r="HU73" s="571">
        <v>228</v>
      </c>
      <c r="HV73" s="571">
        <f t="shared" si="432"/>
        <v>425</v>
      </c>
      <c r="HW73" s="571">
        <v>175</v>
      </c>
      <c r="HX73" s="571">
        <v>204</v>
      </c>
      <c r="HY73" s="571">
        <f t="shared" si="433"/>
        <v>379</v>
      </c>
      <c r="HZ73" s="571">
        <v>137</v>
      </c>
      <c r="IA73" s="571">
        <v>163</v>
      </c>
      <c r="IB73" s="571">
        <f t="shared" si="434"/>
        <v>300</v>
      </c>
      <c r="IC73" s="571">
        <v>103</v>
      </c>
      <c r="ID73" s="571">
        <v>135</v>
      </c>
      <c r="IE73" s="571">
        <f t="shared" si="435"/>
        <v>238</v>
      </c>
      <c r="IF73" s="571">
        <v>89</v>
      </c>
      <c r="IG73" s="571">
        <v>134</v>
      </c>
      <c r="IH73" s="571">
        <f t="shared" si="436"/>
        <v>223</v>
      </c>
      <c r="II73" s="571">
        <v>81</v>
      </c>
      <c r="IJ73" s="571">
        <v>121</v>
      </c>
      <c r="IK73" s="571">
        <f t="shared" si="437"/>
        <v>202</v>
      </c>
      <c r="IL73" s="571">
        <v>81</v>
      </c>
      <c r="IM73" s="571">
        <v>91</v>
      </c>
      <c r="IN73" s="571">
        <f t="shared" si="438"/>
        <v>172</v>
      </c>
      <c r="IO73" s="571">
        <v>62</v>
      </c>
      <c r="IP73" s="571">
        <v>72</v>
      </c>
      <c r="IQ73" s="571">
        <f t="shared" si="439"/>
        <v>134</v>
      </c>
      <c r="IR73" s="571">
        <v>73</v>
      </c>
      <c r="IS73" s="571">
        <v>79</v>
      </c>
      <c r="IT73" s="571">
        <f t="shared" si="440"/>
        <v>152</v>
      </c>
      <c r="IU73" s="571">
        <v>56</v>
      </c>
      <c r="IV73" s="571">
        <v>50</v>
      </c>
      <c r="IW73" s="571">
        <f t="shared" si="441"/>
        <v>106</v>
      </c>
      <c r="IX73" s="571">
        <v>28</v>
      </c>
      <c r="IY73" s="571">
        <v>57</v>
      </c>
      <c r="IZ73" s="571">
        <f t="shared" si="442"/>
        <v>85</v>
      </c>
      <c r="JA73" s="571">
        <v>43</v>
      </c>
      <c r="JB73" s="571">
        <v>42</v>
      </c>
      <c r="JC73" s="571">
        <f t="shared" si="443"/>
        <v>85</v>
      </c>
      <c r="JD73" s="571">
        <v>17</v>
      </c>
      <c r="JE73" s="571">
        <v>30</v>
      </c>
      <c r="JF73" s="571">
        <f t="shared" si="444"/>
        <v>47</v>
      </c>
      <c r="JG73" s="571">
        <v>19</v>
      </c>
      <c r="JH73" s="571">
        <v>30</v>
      </c>
      <c r="JI73" s="571">
        <f t="shared" si="445"/>
        <v>49</v>
      </c>
      <c r="JJ73" s="571">
        <v>11</v>
      </c>
      <c r="JK73" s="571">
        <v>27</v>
      </c>
      <c r="JL73" s="571">
        <f t="shared" si="446"/>
        <v>38</v>
      </c>
      <c r="JM73" s="571">
        <v>10</v>
      </c>
      <c r="JN73" s="571">
        <v>17</v>
      </c>
      <c r="JO73" s="571">
        <f t="shared" si="447"/>
        <v>27</v>
      </c>
      <c r="JP73" s="571">
        <v>14</v>
      </c>
      <c r="JQ73" s="571">
        <v>12</v>
      </c>
      <c r="JR73" s="571">
        <f t="shared" si="448"/>
        <v>26</v>
      </c>
      <c r="JS73" s="571">
        <v>6</v>
      </c>
      <c r="JT73" s="571">
        <v>12</v>
      </c>
      <c r="JU73" s="571">
        <f t="shared" si="449"/>
        <v>18</v>
      </c>
      <c r="JV73" s="571">
        <v>13</v>
      </c>
      <c r="JW73" s="571">
        <v>5</v>
      </c>
      <c r="JX73" s="571">
        <f t="shared" si="450"/>
        <v>18</v>
      </c>
      <c r="JY73" s="571">
        <v>4</v>
      </c>
      <c r="JZ73" s="571">
        <v>7</v>
      </c>
      <c r="KA73" s="571">
        <f t="shared" si="451"/>
        <v>11</v>
      </c>
      <c r="KB73" s="571">
        <v>2</v>
      </c>
      <c r="KC73" s="571">
        <v>3</v>
      </c>
      <c r="KD73" s="571">
        <f t="shared" si="452"/>
        <v>5</v>
      </c>
      <c r="KE73" s="571">
        <v>2</v>
      </c>
      <c r="KF73" s="571">
        <v>4</v>
      </c>
      <c r="KG73" s="571">
        <f t="shared" si="453"/>
        <v>6</v>
      </c>
      <c r="KH73" s="571">
        <v>0</v>
      </c>
      <c r="KI73" s="571">
        <v>3</v>
      </c>
      <c r="KJ73" s="571">
        <f t="shared" si="454"/>
        <v>3</v>
      </c>
      <c r="KK73" s="571">
        <v>0</v>
      </c>
      <c r="KL73" s="571">
        <v>1</v>
      </c>
      <c r="KM73" s="571">
        <f t="shared" si="455"/>
        <v>1</v>
      </c>
      <c r="KN73" s="571">
        <v>0</v>
      </c>
      <c r="KO73" s="571">
        <v>0</v>
      </c>
      <c r="KP73" s="571">
        <f t="shared" si="456"/>
        <v>0</v>
      </c>
      <c r="KQ73" s="571">
        <v>0</v>
      </c>
      <c r="KR73" s="571">
        <v>2</v>
      </c>
      <c r="KS73" s="571">
        <f t="shared" si="457"/>
        <v>2</v>
      </c>
      <c r="KT73" s="571">
        <v>0</v>
      </c>
      <c r="KU73" s="571">
        <v>1</v>
      </c>
      <c r="KV73" s="571">
        <f t="shared" si="458"/>
        <v>1</v>
      </c>
      <c r="KW73" s="571">
        <v>0</v>
      </c>
      <c r="KX73" s="571">
        <v>0</v>
      </c>
      <c r="KY73" s="571">
        <f t="shared" si="459"/>
        <v>0</v>
      </c>
      <c r="KZ73" s="571">
        <v>0</v>
      </c>
      <c r="LA73" s="571">
        <v>0</v>
      </c>
      <c r="LB73" s="571">
        <f t="shared" si="460"/>
        <v>0</v>
      </c>
      <c r="LC73" s="571">
        <v>0</v>
      </c>
      <c r="LD73" s="571">
        <v>0</v>
      </c>
      <c r="LE73" s="571">
        <f t="shared" si="461"/>
        <v>0</v>
      </c>
      <c r="LF73" s="571">
        <v>0</v>
      </c>
      <c r="LG73" s="571">
        <v>0</v>
      </c>
      <c r="LH73" s="571">
        <f t="shared" si="462"/>
        <v>0</v>
      </c>
      <c r="LI73" s="571">
        <v>0</v>
      </c>
      <c r="LJ73" s="571">
        <v>0</v>
      </c>
      <c r="LK73" s="571">
        <f t="shared" si="463"/>
        <v>0</v>
      </c>
      <c r="LL73" s="571">
        <v>0</v>
      </c>
      <c r="LM73" s="571">
        <v>0</v>
      </c>
      <c r="LN73" s="571">
        <f t="shared" si="464"/>
        <v>0</v>
      </c>
      <c r="LO73" s="571">
        <v>0</v>
      </c>
      <c r="LP73" s="571">
        <v>0</v>
      </c>
      <c r="LQ73" s="571">
        <f t="shared" si="465"/>
        <v>0</v>
      </c>
      <c r="LR73" s="571">
        <v>0</v>
      </c>
      <c r="LS73" s="571">
        <v>0</v>
      </c>
      <c r="LT73" s="571">
        <f t="shared" si="466"/>
        <v>0</v>
      </c>
      <c r="LU73" s="571">
        <v>0</v>
      </c>
      <c r="LV73" s="571">
        <v>0</v>
      </c>
      <c r="LW73" s="571">
        <f t="shared" si="467"/>
        <v>0</v>
      </c>
      <c r="LX73" s="571">
        <v>0</v>
      </c>
      <c r="LY73" s="571">
        <v>0</v>
      </c>
      <c r="LZ73" s="571">
        <f t="shared" si="468"/>
        <v>0</v>
      </c>
      <c r="MA73" s="571">
        <v>0</v>
      </c>
      <c r="MB73" s="571">
        <v>0</v>
      </c>
      <c r="MC73" s="571">
        <f t="shared" si="469"/>
        <v>0</v>
      </c>
      <c r="MD73" s="571">
        <v>0</v>
      </c>
      <c r="ME73" s="571">
        <v>0</v>
      </c>
      <c r="MF73" s="571">
        <f t="shared" si="470"/>
        <v>0</v>
      </c>
      <c r="MG73" s="571">
        <v>0</v>
      </c>
      <c r="MH73" s="571">
        <v>0</v>
      </c>
      <c r="MI73" s="571">
        <f t="shared" si="471"/>
        <v>0</v>
      </c>
      <c r="MJ73" s="571">
        <v>0</v>
      </c>
      <c r="MK73" s="571">
        <v>0</v>
      </c>
      <c r="ML73" s="571">
        <f t="shared" si="472"/>
        <v>0</v>
      </c>
      <c r="MM73" s="571">
        <v>0</v>
      </c>
      <c r="MN73" s="571">
        <v>0</v>
      </c>
      <c r="MO73" s="571">
        <f t="shared" si="473"/>
        <v>0</v>
      </c>
      <c r="MP73" s="571">
        <v>0</v>
      </c>
      <c r="MQ73" s="571">
        <v>0</v>
      </c>
      <c r="MR73" s="571">
        <f t="shared" si="474"/>
        <v>0</v>
      </c>
      <c r="MS73" s="571">
        <v>0</v>
      </c>
      <c r="MT73" s="571">
        <v>0</v>
      </c>
      <c r="MU73" s="571">
        <f t="shared" si="475"/>
        <v>0</v>
      </c>
      <c r="MV73" s="571">
        <v>0</v>
      </c>
      <c r="MW73" s="571">
        <v>0</v>
      </c>
      <c r="MX73" s="571">
        <f t="shared" si="476"/>
        <v>0</v>
      </c>
      <c r="MY73" s="571">
        <v>0</v>
      </c>
      <c r="MZ73" s="571">
        <v>0</v>
      </c>
      <c r="NA73" s="574">
        <f t="shared" si="477"/>
        <v>0</v>
      </c>
      <c r="NB73" s="571">
        <v>0</v>
      </c>
      <c r="NC73" s="571">
        <v>0</v>
      </c>
      <c r="ND73" s="572">
        <f t="shared" si="478"/>
        <v>0</v>
      </c>
      <c r="NE73" s="570">
        <f>SUM(C73,F73,I73,L73,O73,R73,U73,X73,AA73,AD73,AG73,AJ73,AM73,AP73,AS73,AV73,AY73,BB73,BE73,BH73,BK73,BN73,BQ73,BT73,BW73,BZ73,CC73,CF73,CI73,CL73,CO73,CR73,CU73,CX73,DA73,DD73,DG73,DJ73,DM73,DP73,DS73,DV73,DY73,EB73,EE73,EH73,EK73,EN73,EQ73,ET73,EW73,EZ73,FC73,FF73,FI73,FL73,FO73,FR73,FU73,FX73,GA73,GD73,GG73,GJ73,GM73,GP73,GS73,GV73,GY73,HB73,HE73,HH73,HK73,HN73,HQ73,HT73,HW73,HZ73,IC73,IF73,II73,IL73,IO73,IR73,IU73,IX73,JA73,JD73,JG73,JJ73,JM73,JP73,JS73,JV73,JY73,KB73,KE73,KH73,KK73,KN73,KQ73,KT73,KW73,KZ73,LC73,LF73,LI73,LL73,LO73,LR73,LU73,LX73,MA73,MD73,MG73,MJ73,MM73,MP73,MS73,MV73,MY73)</f>
        <v>66759</v>
      </c>
      <c r="NF73" s="571">
        <f>SUM(D73,G73,J73,M73,P73,S73,V73,Y73,AB73,AE73,AH73,AK73,AN73,AQ73,AT73,AW73,AZ73,BC73,BF73,BI73,BL73,BO73,BR73,BU73,BX73,CA73,CD73,CG73,CJ73,CM73,CP73,CS73,CV73,CY73,DB73,DE73,DH73,DK73,DN73,DQ73,DT73,DW73,DZ73,EC73,EF73,EI73,EL73,EO73,ER73,EU73,EX73,FA73,FD73,FG73,FJ73,FM73,FP73,FS73,FV73,FY73,GB73,GE73,GH73,GK73,GN73,GQ73,GT73,GW73,GZ73,HC73,HF73,HI73,HL73,HO73,HR73,HU73,HX73,IA73,ID73,IG73,IJ73,IM73,IP73,IS73,IV73,IY73,JB73,JE73,JH73,JK73,JN73,JQ73,JT73,JW73,JZ73,KC73,KF73,KI73,KL73,KO73,KR73,KU73,KX73,LA73,LD73,LG73,LJ73,LM73,LP73,LS73,LV73,LY73,MB73,ME73,MH73,MK73,MN73,MQ73,MT73,MW73,MZ73)</f>
        <v>67205</v>
      </c>
      <c r="NG73" s="572">
        <f t="shared" si="480"/>
        <v>133964</v>
      </c>
      <c r="NH73" s="570">
        <f t="shared" si="481"/>
        <v>4778</v>
      </c>
      <c r="NI73" s="571">
        <f t="shared" si="481"/>
        <v>4394</v>
      </c>
      <c r="NJ73" s="572">
        <f t="shared" si="482"/>
        <v>9172</v>
      </c>
    </row>
    <row r="74" spans="1:374" x14ac:dyDescent="0.3">
      <c r="A74" s="558" t="s">
        <v>317</v>
      </c>
      <c r="B74" s="592" t="s">
        <v>144</v>
      </c>
      <c r="C74" s="561">
        <v>217</v>
      </c>
      <c r="D74" s="388">
        <v>191</v>
      </c>
      <c r="E74" s="388">
        <f t="shared" ref="E74:E77" si="492">C74+D74</f>
        <v>408</v>
      </c>
      <c r="F74" s="388">
        <v>278</v>
      </c>
      <c r="G74" s="388">
        <v>257</v>
      </c>
      <c r="H74" s="388">
        <f t="shared" ref="H74:H77" si="493">F74+G74</f>
        <v>535</v>
      </c>
      <c r="I74" s="388">
        <v>308</v>
      </c>
      <c r="J74" s="388">
        <v>278</v>
      </c>
      <c r="K74" s="388">
        <f t="shared" ref="K74:K77" si="494">I74+J74</f>
        <v>586</v>
      </c>
      <c r="L74" s="388">
        <v>395</v>
      </c>
      <c r="M74" s="388">
        <v>331</v>
      </c>
      <c r="N74" s="388">
        <f t="shared" ref="N74:N77" si="495">L74+M74</f>
        <v>726</v>
      </c>
      <c r="O74" s="388">
        <v>407</v>
      </c>
      <c r="P74" s="388">
        <v>409</v>
      </c>
      <c r="Q74" s="388">
        <f t="shared" ref="Q74:Q77" si="496">O74+P74</f>
        <v>816</v>
      </c>
      <c r="R74" s="388">
        <v>475</v>
      </c>
      <c r="S74" s="388">
        <v>389</v>
      </c>
      <c r="T74" s="388">
        <f t="shared" ref="T74:T77" si="497">R74+S74</f>
        <v>864</v>
      </c>
      <c r="U74" s="388">
        <v>452</v>
      </c>
      <c r="V74" s="388">
        <v>477</v>
      </c>
      <c r="W74" s="388">
        <f t="shared" ref="W74:W77" si="498">U74+V74</f>
        <v>929</v>
      </c>
      <c r="X74" s="388">
        <v>482</v>
      </c>
      <c r="Y74" s="388">
        <v>466</v>
      </c>
      <c r="Z74" s="388">
        <f t="shared" ref="Z74:Z77" si="499">X74+Y74</f>
        <v>948</v>
      </c>
      <c r="AA74" s="388">
        <v>492</v>
      </c>
      <c r="AB74" s="388">
        <v>447</v>
      </c>
      <c r="AC74" s="388">
        <f t="shared" ref="AC74:AC77" si="500">AA74+AB74</f>
        <v>939</v>
      </c>
      <c r="AD74" s="388">
        <v>443</v>
      </c>
      <c r="AE74" s="388">
        <v>417</v>
      </c>
      <c r="AF74" s="388">
        <f t="shared" ref="AF74:AF77" si="501">AD74+AE74</f>
        <v>860</v>
      </c>
      <c r="AG74" s="388">
        <v>507</v>
      </c>
      <c r="AH74" s="388">
        <v>466</v>
      </c>
      <c r="AI74" s="388">
        <f t="shared" ref="AI74:AI77" si="502">AG74+AH74</f>
        <v>973</v>
      </c>
      <c r="AJ74" s="388">
        <v>503</v>
      </c>
      <c r="AK74" s="388">
        <v>451</v>
      </c>
      <c r="AL74" s="388">
        <f t="shared" ref="AL74:AL77" si="503">AJ74+AK74</f>
        <v>954</v>
      </c>
      <c r="AM74" s="388">
        <v>463</v>
      </c>
      <c r="AN74" s="388">
        <v>454</v>
      </c>
      <c r="AO74" s="388">
        <f t="shared" ref="AO74:AO77" si="504">AM74+AN74</f>
        <v>917</v>
      </c>
      <c r="AP74" s="388">
        <v>485</v>
      </c>
      <c r="AQ74" s="388">
        <v>455</v>
      </c>
      <c r="AR74" s="388">
        <f t="shared" ref="AR74:AR77" si="505">AP74+AQ74</f>
        <v>940</v>
      </c>
      <c r="AS74" s="388">
        <v>507</v>
      </c>
      <c r="AT74" s="388">
        <v>454</v>
      </c>
      <c r="AU74" s="388">
        <f t="shared" ref="AU74:AU77" si="506">AS74+AT74</f>
        <v>961</v>
      </c>
      <c r="AV74" s="388">
        <v>528</v>
      </c>
      <c r="AW74" s="388">
        <v>450</v>
      </c>
      <c r="AX74" s="388">
        <f t="shared" ref="AX74:AX77" si="507">AV74+AW74</f>
        <v>978</v>
      </c>
      <c r="AY74" s="388">
        <v>459</v>
      </c>
      <c r="AZ74" s="388">
        <v>428</v>
      </c>
      <c r="BA74" s="388">
        <f t="shared" ref="BA74:BA77" si="508">AY74+AZ74</f>
        <v>887</v>
      </c>
      <c r="BB74" s="388">
        <v>418</v>
      </c>
      <c r="BC74" s="388">
        <v>391</v>
      </c>
      <c r="BD74" s="388">
        <f t="shared" ref="BD74:BD77" si="509">BB74+BC74</f>
        <v>809</v>
      </c>
      <c r="BE74" s="388">
        <v>401</v>
      </c>
      <c r="BF74" s="388">
        <v>431</v>
      </c>
      <c r="BG74" s="388">
        <f t="shared" ref="BG74:BG77" si="510">BE74+BF74</f>
        <v>832</v>
      </c>
      <c r="BH74" s="388">
        <v>534</v>
      </c>
      <c r="BI74" s="388">
        <v>414</v>
      </c>
      <c r="BJ74" s="388">
        <f t="shared" ref="BJ74:BJ77" si="511">BH74+BI74</f>
        <v>948</v>
      </c>
      <c r="BK74" s="388">
        <v>455</v>
      </c>
      <c r="BL74" s="388">
        <v>426</v>
      </c>
      <c r="BM74" s="388">
        <f t="shared" ref="BM74:BM77" si="512">BK74+BL74</f>
        <v>881</v>
      </c>
      <c r="BN74" s="388">
        <v>429</v>
      </c>
      <c r="BO74" s="388">
        <v>400</v>
      </c>
      <c r="BP74" s="388">
        <f t="shared" ref="BP74:BP77" si="513">BN74+BO74</f>
        <v>829</v>
      </c>
      <c r="BQ74" s="388">
        <v>426</v>
      </c>
      <c r="BR74" s="388">
        <v>416</v>
      </c>
      <c r="BS74" s="388">
        <f t="shared" ref="BS74:BS77" si="514">BQ74+BR74</f>
        <v>842</v>
      </c>
      <c r="BT74" s="388">
        <v>476</v>
      </c>
      <c r="BU74" s="388">
        <v>437</v>
      </c>
      <c r="BV74" s="388">
        <f t="shared" ref="BV74:BV77" si="515">BT74+BU74</f>
        <v>913</v>
      </c>
      <c r="BW74" s="388">
        <v>450</v>
      </c>
      <c r="BX74" s="388">
        <v>432</v>
      </c>
      <c r="BY74" s="388">
        <f t="shared" ref="BY74:BY77" si="516">BW74+BX74</f>
        <v>882</v>
      </c>
      <c r="BZ74" s="388">
        <v>481</v>
      </c>
      <c r="CA74" s="388">
        <v>443</v>
      </c>
      <c r="CB74" s="388">
        <f t="shared" ref="CB74:CB77" si="517">BZ74+CA74</f>
        <v>924</v>
      </c>
      <c r="CC74" s="388">
        <v>476</v>
      </c>
      <c r="CD74" s="388">
        <v>435</v>
      </c>
      <c r="CE74" s="388">
        <f t="shared" ref="CE74:CE77" si="518">CC74+CD74</f>
        <v>911</v>
      </c>
      <c r="CF74" s="388">
        <v>412</v>
      </c>
      <c r="CG74" s="388">
        <v>365</v>
      </c>
      <c r="CH74" s="388">
        <f t="shared" ref="CH74:CH77" si="519">CF74+CG74</f>
        <v>777</v>
      </c>
      <c r="CI74" s="388">
        <v>440</v>
      </c>
      <c r="CJ74" s="388">
        <v>446</v>
      </c>
      <c r="CK74" s="388">
        <f t="shared" ref="CK74:CK77" si="520">CI74+CJ74</f>
        <v>886</v>
      </c>
      <c r="CL74" s="388">
        <v>449</v>
      </c>
      <c r="CM74" s="388">
        <v>457</v>
      </c>
      <c r="CN74" s="388">
        <f t="shared" ref="CN74:CN77" si="521">CL74+CM74</f>
        <v>906</v>
      </c>
      <c r="CO74" s="388">
        <v>422</v>
      </c>
      <c r="CP74" s="388">
        <v>440</v>
      </c>
      <c r="CQ74" s="388">
        <f t="shared" ref="CQ74:CQ77" si="522">CO74+CP74</f>
        <v>862</v>
      </c>
      <c r="CR74" s="388">
        <v>445</v>
      </c>
      <c r="CS74" s="388">
        <v>449</v>
      </c>
      <c r="CT74" s="388">
        <f t="shared" ref="CT74:CT77" si="523">CR74+CS74</f>
        <v>894</v>
      </c>
      <c r="CU74" s="388">
        <v>404</v>
      </c>
      <c r="CV74" s="388">
        <v>414</v>
      </c>
      <c r="CW74" s="388">
        <f t="shared" ref="CW74:CW77" si="524">CU74+CV74</f>
        <v>818</v>
      </c>
      <c r="CX74" s="388">
        <v>419</v>
      </c>
      <c r="CY74" s="388">
        <v>431</v>
      </c>
      <c r="CZ74" s="388">
        <f t="shared" ref="CZ74:CZ77" si="525">CX74+CY74</f>
        <v>850</v>
      </c>
      <c r="DA74" s="388">
        <v>433</v>
      </c>
      <c r="DB74" s="388">
        <v>479</v>
      </c>
      <c r="DC74" s="388">
        <f t="shared" ref="DC74:DC77" si="526">DA74+DB74</f>
        <v>912</v>
      </c>
      <c r="DD74" s="388">
        <v>444</v>
      </c>
      <c r="DE74" s="388">
        <v>419</v>
      </c>
      <c r="DF74" s="388">
        <f t="shared" ref="DF74:DF77" si="527">DD74+DE74</f>
        <v>863</v>
      </c>
      <c r="DG74" s="388">
        <v>425</v>
      </c>
      <c r="DH74" s="388">
        <v>446</v>
      </c>
      <c r="DI74" s="388">
        <f t="shared" ref="DI74:DI77" si="528">DG74+DH74</f>
        <v>871</v>
      </c>
      <c r="DJ74" s="388">
        <v>427</v>
      </c>
      <c r="DK74" s="388">
        <v>465</v>
      </c>
      <c r="DL74" s="388">
        <f t="shared" ref="DL74:DL77" si="529">DJ74+DK74</f>
        <v>892</v>
      </c>
      <c r="DM74" s="388">
        <v>400</v>
      </c>
      <c r="DN74" s="388">
        <v>442</v>
      </c>
      <c r="DO74" s="388">
        <f t="shared" ref="DO74:DO77" si="530">DM74+DN74</f>
        <v>842</v>
      </c>
      <c r="DP74" s="388">
        <v>470</v>
      </c>
      <c r="DQ74" s="388">
        <v>449</v>
      </c>
      <c r="DR74" s="388">
        <f t="shared" ref="DR74:DR77" si="531">DP74+DQ74</f>
        <v>919</v>
      </c>
      <c r="DS74" s="388">
        <v>478</v>
      </c>
      <c r="DT74" s="388">
        <v>446</v>
      </c>
      <c r="DU74" s="388">
        <f t="shared" ref="DU74:DU77" si="532">DS74+DT74</f>
        <v>924</v>
      </c>
      <c r="DV74" s="388">
        <v>507</v>
      </c>
      <c r="DW74" s="388">
        <v>476</v>
      </c>
      <c r="DX74" s="388">
        <f t="shared" ref="DX74:DX77" si="533">DV74+DW74</f>
        <v>983</v>
      </c>
      <c r="DY74" s="388">
        <v>476</v>
      </c>
      <c r="DZ74" s="388">
        <v>498</v>
      </c>
      <c r="EA74" s="388">
        <f t="shared" ref="EA74:EA77" si="534">DY74+DZ74</f>
        <v>974</v>
      </c>
      <c r="EB74" s="388">
        <v>515</v>
      </c>
      <c r="EC74" s="388">
        <v>558</v>
      </c>
      <c r="ED74" s="388">
        <f t="shared" ref="ED74:ED77" si="535">EB74+EC74</f>
        <v>1073</v>
      </c>
      <c r="EE74" s="388">
        <v>471</v>
      </c>
      <c r="EF74" s="388">
        <v>518</v>
      </c>
      <c r="EG74" s="388">
        <f t="shared" ref="EG74:EG77" si="536">EE74+EF74</f>
        <v>989</v>
      </c>
      <c r="EH74" s="388">
        <v>492</v>
      </c>
      <c r="EI74" s="388">
        <v>488</v>
      </c>
      <c r="EJ74" s="388">
        <f t="shared" ref="EJ74:EJ77" si="537">EH74+EI74</f>
        <v>980</v>
      </c>
      <c r="EK74" s="388">
        <v>441</v>
      </c>
      <c r="EL74" s="388">
        <v>484</v>
      </c>
      <c r="EM74" s="388">
        <f t="shared" ref="EM74:EM77" si="538">EK74+EL74</f>
        <v>925</v>
      </c>
      <c r="EN74" s="388">
        <v>456</v>
      </c>
      <c r="EO74" s="388">
        <v>491</v>
      </c>
      <c r="EP74" s="388">
        <f t="shared" ref="EP74:EP77" si="539">EN74+EO74</f>
        <v>947</v>
      </c>
      <c r="EQ74" s="388">
        <v>420</v>
      </c>
      <c r="ER74" s="388">
        <v>412</v>
      </c>
      <c r="ES74" s="388">
        <f t="shared" ref="ES74:ES77" si="540">EQ74+ER74</f>
        <v>832</v>
      </c>
      <c r="ET74" s="388">
        <v>419</v>
      </c>
      <c r="EU74" s="388">
        <v>391</v>
      </c>
      <c r="EV74" s="388">
        <f t="shared" ref="EV74:EV77" si="541">ET74+EU74</f>
        <v>810</v>
      </c>
      <c r="EW74" s="388">
        <v>400</v>
      </c>
      <c r="EX74" s="388">
        <v>436</v>
      </c>
      <c r="EY74" s="388">
        <f t="shared" ref="EY74:EY77" si="542">EW74+EX74</f>
        <v>836</v>
      </c>
      <c r="EZ74" s="388">
        <v>420</v>
      </c>
      <c r="FA74" s="388">
        <v>411</v>
      </c>
      <c r="FB74" s="388">
        <f t="shared" ref="FB74:FB77" si="543">EZ74+FA74</f>
        <v>831</v>
      </c>
      <c r="FC74" s="388">
        <v>357</v>
      </c>
      <c r="FD74" s="388">
        <v>393</v>
      </c>
      <c r="FE74" s="388">
        <f t="shared" ref="FE74:FE77" si="544">FC74+FD74</f>
        <v>750</v>
      </c>
      <c r="FF74" s="388">
        <v>384</v>
      </c>
      <c r="FG74" s="388">
        <v>376</v>
      </c>
      <c r="FH74" s="388">
        <f t="shared" ref="FH74:FH77" si="545">FF74+FG74</f>
        <v>760</v>
      </c>
      <c r="FI74" s="388">
        <v>328</v>
      </c>
      <c r="FJ74" s="388">
        <v>379</v>
      </c>
      <c r="FK74" s="388">
        <f t="shared" ref="FK74:FK77" si="546">FI74+FJ74</f>
        <v>707</v>
      </c>
      <c r="FL74" s="388">
        <v>341</v>
      </c>
      <c r="FM74" s="388">
        <v>364</v>
      </c>
      <c r="FN74" s="388">
        <f t="shared" ref="FN74:FN77" si="547">FL74+FM74</f>
        <v>705</v>
      </c>
      <c r="FO74" s="388">
        <v>373</v>
      </c>
      <c r="FP74" s="388">
        <v>334</v>
      </c>
      <c r="FQ74" s="388">
        <f t="shared" ref="FQ74:FQ77" si="548">FO74+FP74</f>
        <v>707</v>
      </c>
      <c r="FR74" s="388">
        <v>319</v>
      </c>
      <c r="FS74" s="388">
        <v>329</v>
      </c>
      <c r="FT74" s="388">
        <f t="shared" ref="FT74:FT77" si="549">FR74+FS74</f>
        <v>648</v>
      </c>
      <c r="FU74" s="388">
        <v>264</v>
      </c>
      <c r="FV74" s="388">
        <v>323</v>
      </c>
      <c r="FW74" s="388">
        <f t="shared" ref="FW74:FW77" si="550">FU74+FV74</f>
        <v>587</v>
      </c>
      <c r="FX74" s="388">
        <v>236</v>
      </c>
      <c r="FY74" s="388">
        <v>286</v>
      </c>
      <c r="FZ74" s="388">
        <f t="shared" ref="FZ74:FZ77" si="551">FX74+FY74</f>
        <v>522</v>
      </c>
      <c r="GA74" s="388">
        <v>282</v>
      </c>
      <c r="GB74" s="388">
        <v>330</v>
      </c>
      <c r="GC74" s="388">
        <f t="shared" ref="GC74:GC77" si="552">GA74+GB74</f>
        <v>612</v>
      </c>
      <c r="GD74" s="388">
        <v>236</v>
      </c>
      <c r="GE74" s="388">
        <v>294</v>
      </c>
      <c r="GF74" s="388">
        <f t="shared" ref="GF74:GF77" si="553">GD74+GE74</f>
        <v>530</v>
      </c>
      <c r="GG74" s="388">
        <v>217</v>
      </c>
      <c r="GH74" s="388">
        <v>295</v>
      </c>
      <c r="GI74" s="388">
        <f t="shared" ref="GI74:GI77" si="554">GG74+GH74</f>
        <v>512</v>
      </c>
      <c r="GJ74" s="388">
        <v>244</v>
      </c>
      <c r="GK74" s="388">
        <v>274</v>
      </c>
      <c r="GL74" s="388">
        <f t="shared" ref="GL74:GL77" si="555">GJ74+GK74</f>
        <v>518</v>
      </c>
      <c r="GM74" s="388">
        <v>210</v>
      </c>
      <c r="GN74" s="388">
        <v>277</v>
      </c>
      <c r="GO74" s="388">
        <f t="shared" ref="GO74:GO77" si="556">GM74+GN74</f>
        <v>487</v>
      </c>
      <c r="GP74" s="388">
        <v>186</v>
      </c>
      <c r="GQ74" s="388">
        <v>308</v>
      </c>
      <c r="GR74" s="388">
        <f t="shared" ref="GR74:GR77" si="557">GP74+GQ74</f>
        <v>494</v>
      </c>
      <c r="GS74" s="388">
        <v>214</v>
      </c>
      <c r="GT74" s="388">
        <v>263</v>
      </c>
      <c r="GU74" s="388">
        <f t="shared" ref="GU74:GU77" si="558">GS74+GT74</f>
        <v>477</v>
      </c>
      <c r="GV74" s="388">
        <v>188</v>
      </c>
      <c r="GW74" s="388">
        <v>272</v>
      </c>
      <c r="GX74" s="388">
        <f t="shared" ref="GX74:GX77" si="559">GV74+GW74</f>
        <v>460</v>
      </c>
      <c r="GY74" s="388">
        <v>185</v>
      </c>
      <c r="GZ74" s="388">
        <v>240</v>
      </c>
      <c r="HA74" s="388">
        <f t="shared" ref="HA74:HA77" si="560">GY74+GZ74</f>
        <v>425</v>
      </c>
      <c r="HB74" s="388">
        <v>191</v>
      </c>
      <c r="HC74" s="388">
        <v>220</v>
      </c>
      <c r="HD74" s="388">
        <f t="shared" ref="HD74:HD77" si="561">HB74+HC74</f>
        <v>411</v>
      </c>
      <c r="HE74" s="388">
        <v>182</v>
      </c>
      <c r="HF74" s="388">
        <v>220</v>
      </c>
      <c r="HG74" s="388">
        <f t="shared" ref="HG74:HG77" si="562">HE74+HF74</f>
        <v>402</v>
      </c>
      <c r="HH74" s="388">
        <v>200</v>
      </c>
      <c r="HI74" s="388">
        <v>212</v>
      </c>
      <c r="HJ74" s="388">
        <f t="shared" ref="HJ74:HJ77" si="563">HH74+HI74</f>
        <v>412</v>
      </c>
      <c r="HK74" s="388">
        <v>159</v>
      </c>
      <c r="HL74" s="388">
        <v>205</v>
      </c>
      <c r="HM74" s="388">
        <f t="shared" ref="HM74:HM77" si="564">HK74+HL74</f>
        <v>364</v>
      </c>
      <c r="HN74" s="388">
        <v>171</v>
      </c>
      <c r="HO74" s="388">
        <v>162</v>
      </c>
      <c r="HP74" s="388">
        <f t="shared" ref="HP74:HP77" si="565">HN74+HO74</f>
        <v>333</v>
      </c>
      <c r="HQ74" s="388">
        <v>131</v>
      </c>
      <c r="HR74" s="388">
        <v>125</v>
      </c>
      <c r="HS74" s="388">
        <f t="shared" ref="HS74:HS77" si="566">HQ74+HR74</f>
        <v>256</v>
      </c>
      <c r="HT74" s="388">
        <v>109</v>
      </c>
      <c r="HU74" s="388">
        <v>125</v>
      </c>
      <c r="HV74" s="388">
        <f t="shared" ref="HV74:HV77" si="567">HT74+HU74</f>
        <v>234</v>
      </c>
      <c r="HW74" s="388">
        <v>86</v>
      </c>
      <c r="HX74" s="388">
        <v>96</v>
      </c>
      <c r="HY74" s="388">
        <f t="shared" ref="HY74:HY77" si="568">HW74+HX74</f>
        <v>182</v>
      </c>
      <c r="HZ74" s="388">
        <v>65</v>
      </c>
      <c r="IA74" s="388">
        <v>98</v>
      </c>
      <c r="IB74" s="388">
        <f t="shared" ref="IB74:IB77" si="569">HZ74+IA74</f>
        <v>163</v>
      </c>
      <c r="IC74" s="388">
        <v>55</v>
      </c>
      <c r="ID74" s="388">
        <v>71</v>
      </c>
      <c r="IE74" s="388">
        <f t="shared" ref="IE74:IE77" si="570">IC74+ID74</f>
        <v>126</v>
      </c>
      <c r="IF74" s="388">
        <v>53</v>
      </c>
      <c r="IG74" s="388">
        <v>64</v>
      </c>
      <c r="IH74" s="388">
        <f t="shared" ref="IH74:IH77" si="571">IF74+IG74</f>
        <v>117</v>
      </c>
      <c r="II74" s="388">
        <v>33</v>
      </c>
      <c r="IJ74" s="388">
        <v>66</v>
      </c>
      <c r="IK74" s="388">
        <f t="shared" ref="IK74:IK77" si="572">II74+IJ74</f>
        <v>99</v>
      </c>
      <c r="IL74" s="388">
        <v>51</v>
      </c>
      <c r="IM74" s="388">
        <v>49</v>
      </c>
      <c r="IN74" s="388">
        <f t="shared" ref="IN74:IN77" si="573">IL74+IM74</f>
        <v>100</v>
      </c>
      <c r="IO74" s="388">
        <v>33</v>
      </c>
      <c r="IP74" s="388">
        <v>33</v>
      </c>
      <c r="IQ74" s="388">
        <f t="shared" ref="IQ74:IQ77" si="574">IO74+IP74</f>
        <v>66</v>
      </c>
      <c r="IR74" s="388">
        <v>44</v>
      </c>
      <c r="IS74" s="388">
        <v>36</v>
      </c>
      <c r="IT74" s="388">
        <f t="shared" ref="IT74:IT77" si="575">IR74+IS74</f>
        <v>80</v>
      </c>
      <c r="IU74" s="388">
        <v>33</v>
      </c>
      <c r="IV74" s="388">
        <v>31</v>
      </c>
      <c r="IW74" s="388">
        <f t="shared" ref="IW74:IW77" si="576">IU74+IV74</f>
        <v>64</v>
      </c>
      <c r="IX74" s="388">
        <v>13</v>
      </c>
      <c r="IY74" s="388">
        <v>24</v>
      </c>
      <c r="IZ74" s="388">
        <f t="shared" ref="IZ74:IZ77" si="577">IX74+IY74</f>
        <v>37</v>
      </c>
      <c r="JA74" s="388">
        <v>22</v>
      </c>
      <c r="JB74" s="388">
        <v>20</v>
      </c>
      <c r="JC74" s="388">
        <f t="shared" ref="JC74:JC77" si="578">JA74+JB74</f>
        <v>42</v>
      </c>
      <c r="JD74" s="388">
        <v>11</v>
      </c>
      <c r="JE74" s="388">
        <v>12</v>
      </c>
      <c r="JF74" s="388">
        <f t="shared" ref="JF74:JF77" si="579">JD74+JE74</f>
        <v>23</v>
      </c>
      <c r="JG74" s="388">
        <v>10</v>
      </c>
      <c r="JH74" s="388">
        <v>16</v>
      </c>
      <c r="JI74" s="388">
        <f t="shared" ref="JI74:JI77" si="580">JG74+JH74</f>
        <v>26</v>
      </c>
      <c r="JJ74" s="388">
        <v>4</v>
      </c>
      <c r="JK74" s="388">
        <v>10</v>
      </c>
      <c r="JL74" s="388">
        <f t="shared" ref="JL74:JL77" si="581">JJ74+JK74</f>
        <v>14</v>
      </c>
      <c r="JM74" s="388">
        <v>7</v>
      </c>
      <c r="JN74" s="388">
        <v>7</v>
      </c>
      <c r="JO74" s="388">
        <f t="shared" ref="JO74:JO77" si="582">JM74+JN74</f>
        <v>14</v>
      </c>
      <c r="JP74" s="388">
        <v>6</v>
      </c>
      <c r="JQ74" s="388">
        <v>6</v>
      </c>
      <c r="JR74" s="388">
        <f t="shared" ref="JR74:JR77" si="583">JP74+JQ74</f>
        <v>12</v>
      </c>
      <c r="JS74" s="388">
        <v>3</v>
      </c>
      <c r="JT74" s="388">
        <v>8</v>
      </c>
      <c r="JU74" s="388">
        <f t="shared" ref="JU74:JU77" si="584">JS74+JT74</f>
        <v>11</v>
      </c>
      <c r="JV74" s="388">
        <v>7</v>
      </c>
      <c r="JW74" s="388">
        <v>1</v>
      </c>
      <c r="JX74" s="388">
        <f t="shared" ref="JX74:JX77" si="585">JV74+JW74</f>
        <v>8</v>
      </c>
      <c r="JY74" s="388">
        <v>3</v>
      </c>
      <c r="JZ74" s="388">
        <v>3</v>
      </c>
      <c r="KA74" s="388">
        <f t="shared" ref="KA74:KA77" si="586">JY74+JZ74</f>
        <v>6</v>
      </c>
      <c r="KB74" s="388">
        <v>1</v>
      </c>
      <c r="KC74" s="388">
        <v>1</v>
      </c>
      <c r="KD74" s="388">
        <f t="shared" ref="KD74:KD77" si="587">KB74+KC74</f>
        <v>2</v>
      </c>
      <c r="KE74" s="388">
        <v>0</v>
      </c>
      <c r="KF74" s="388">
        <v>2</v>
      </c>
      <c r="KG74" s="388">
        <f t="shared" ref="KG74:KG77" si="588">KE74+KF74</f>
        <v>2</v>
      </c>
      <c r="KH74" s="388">
        <v>0</v>
      </c>
      <c r="KI74" s="388">
        <v>2</v>
      </c>
      <c r="KJ74" s="388">
        <f t="shared" ref="KJ74:KJ77" si="589">KH74+KI74</f>
        <v>2</v>
      </c>
      <c r="KK74" s="388">
        <v>0</v>
      </c>
      <c r="KL74" s="388">
        <v>0</v>
      </c>
      <c r="KM74" s="388">
        <f t="shared" ref="KM74:KM77" si="590">KK74+KL74</f>
        <v>0</v>
      </c>
      <c r="KN74" s="388">
        <v>0</v>
      </c>
      <c r="KO74" s="388">
        <v>0</v>
      </c>
      <c r="KP74" s="388">
        <f t="shared" ref="KP74:KP77" si="591">KN74+KO74</f>
        <v>0</v>
      </c>
      <c r="KQ74" s="388">
        <v>0</v>
      </c>
      <c r="KR74" s="388">
        <v>2</v>
      </c>
      <c r="KS74" s="388">
        <f t="shared" ref="KS74:KS77" si="592">KQ74+KR74</f>
        <v>2</v>
      </c>
      <c r="KT74" s="388">
        <v>0</v>
      </c>
      <c r="KU74" s="388">
        <v>0</v>
      </c>
      <c r="KV74" s="388">
        <f t="shared" ref="KV74:KV77" si="593">KT74+KU74</f>
        <v>0</v>
      </c>
      <c r="KW74" s="388">
        <v>0</v>
      </c>
      <c r="KX74" s="388">
        <v>0</v>
      </c>
      <c r="KY74" s="388">
        <f t="shared" ref="KY74:KY77" si="594">KW74+KX74</f>
        <v>0</v>
      </c>
      <c r="KZ74" s="388">
        <v>0</v>
      </c>
      <c r="LA74" s="388">
        <v>0</v>
      </c>
      <c r="LB74" s="388">
        <f t="shared" ref="LB74:LB77" si="595">KZ74+LA74</f>
        <v>0</v>
      </c>
      <c r="LC74" s="388">
        <v>0</v>
      </c>
      <c r="LD74" s="388">
        <v>0</v>
      </c>
      <c r="LE74" s="388">
        <f t="shared" ref="LE74:LE77" si="596">LC74+LD74</f>
        <v>0</v>
      </c>
      <c r="LF74" s="388">
        <v>0</v>
      </c>
      <c r="LG74" s="388">
        <v>0</v>
      </c>
      <c r="LH74" s="388">
        <f t="shared" ref="LH74:LH77" si="597">LF74+LG74</f>
        <v>0</v>
      </c>
      <c r="LI74" s="388">
        <v>0</v>
      </c>
      <c r="LJ74" s="388">
        <v>0</v>
      </c>
      <c r="LK74" s="388">
        <f t="shared" ref="LK74:LK77" si="598">LI74+LJ74</f>
        <v>0</v>
      </c>
      <c r="LL74" s="388">
        <v>0</v>
      </c>
      <c r="LM74" s="388">
        <v>0</v>
      </c>
      <c r="LN74" s="388">
        <f t="shared" ref="LN74:LN77" si="599">LL74+LM74</f>
        <v>0</v>
      </c>
      <c r="LO74" s="388">
        <v>0</v>
      </c>
      <c r="LP74" s="388">
        <v>0</v>
      </c>
      <c r="LQ74" s="388">
        <f t="shared" ref="LQ74:LQ77" si="600">LO74+LP74</f>
        <v>0</v>
      </c>
      <c r="LR74" s="388">
        <v>0</v>
      </c>
      <c r="LS74" s="388">
        <v>0</v>
      </c>
      <c r="LT74" s="388">
        <f t="shared" ref="LT74:LT77" si="601">LR74+LS74</f>
        <v>0</v>
      </c>
      <c r="LU74" s="388">
        <v>0</v>
      </c>
      <c r="LV74" s="388">
        <v>0</v>
      </c>
      <c r="LW74" s="388">
        <f t="shared" ref="LW74:LW77" si="602">LU74+LV74</f>
        <v>0</v>
      </c>
      <c r="LX74" s="388">
        <v>0</v>
      </c>
      <c r="LY74" s="388">
        <v>0</v>
      </c>
      <c r="LZ74" s="388">
        <f t="shared" ref="LZ74:LZ77" si="603">LX74+LY74</f>
        <v>0</v>
      </c>
      <c r="MA74" s="388">
        <v>0</v>
      </c>
      <c r="MB74" s="388">
        <v>0</v>
      </c>
      <c r="MC74" s="388">
        <f t="shared" ref="MC74:MC77" si="604">MA74+MB74</f>
        <v>0</v>
      </c>
      <c r="MD74" s="388">
        <v>0</v>
      </c>
      <c r="ME74" s="388">
        <v>0</v>
      </c>
      <c r="MF74" s="388">
        <f t="shared" ref="MF74:MF77" si="605">MD74+ME74</f>
        <v>0</v>
      </c>
      <c r="MG74" s="388">
        <v>0</v>
      </c>
      <c r="MH74" s="388">
        <v>0</v>
      </c>
      <c r="MI74" s="388">
        <f t="shared" ref="MI74:MI77" si="606">MG74+MH74</f>
        <v>0</v>
      </c>
      <c r="MJ74" s="388">
        <v>0</v>
      </c>
      <c r="MK74" s="388">
        <v>0</v>
      </c>
      <c r="ML74" s="388">
        <f t="shared" ref="ML74:ML77" si="607">MJ74+MK74</f>
        <v>0</v>
      </c>
      <c r="MM74" s="388">
        <v>0</v>
      </c>
      <c r="MN74" s="388">
        <v>0</v>
      </c>
      <c r="MO74" s="388">
        <f t="shared" ref="MO74:MO77" si="608">MM74+MN74</f>
        <v>0</v>
      </c>
      <c r="MP74" s="388">
        <v>0</v>
      </c>
      <c r="MQ74" s="388">
        <v>0</v>
      </c>
      <c r="MR74" s="388">
        <f t="shared" ref="MR74:MR77" si="609">MP74+MQ74</f>
        <v>0</v>
      </c>
      <c r="MS74" s="388">
        <v>0</v>
      </c>
      <c r="MT74" s="388">
        <v>0</v>
      </c>
      <c r="MU74" s="388">
        <f t="shared" ref="MU74:MU77" si="610">MS74+MT74</f>
        <v>0</v>
      </c>
      <c r="MV74" s="388">
        <v>0</v>
      </c>
      <c r="MW74" s="388">
        <v>0</v>
      </c>
      <c r="MX74" s="388">
        <f t="shared" ref="MX74:MX77" si="611">MV74+MW74</f>
        <v>0</v>
      </c>
      <c r="MY74" s="388">
        <v>0</v>
      </c>
      <c r="MZ74" s="388">
        <v>0</v>
      </c>
      <c r="NA74" s="562">
        <f t="shared" ref="NA74:NA77" si="612">MY74+MZ74</f>
        <v>0</v>
      </c>
      <c r="NB74" s="388">
        <v>0</v>
      </c>
      <c r="NC74" s="388">
        <v>0</v>
      </c>
      <c r="ND74" s="560">
        <f t="shared" ref="ND74:ND77" si="613">NB74+NC74</f>
        <v>0</v>
      </c>
      <c r="NE74" s="559">
        <f>SUM(C74,F74,I74,L74,O74,R74,U74,X74,AA74,AD74,AG74,AJ74,AM74,AP74,AS74,AV74,AY74,BB74,BE74,BH74,BK74,BN74,BQ74,BT74,BW74,BZ74,CC74,CF74,CI74,CL74,CO74,CR74,CU74,CX74,DA74,DD74,DG74,DJ74,DM74,DP74,DS74,DV74,DY74,EB74,EE74,EH74,EK74,EN74,EQ74,ET74,EW74,EZ74,FC74,FF74,FI74,FL74,FO74,FR74,FU74,FX74,GA74,GD74,GG74,GJ74,GM74,GP74,GS74,GV74,GY74,HB74,HE74,HH74,HK74,HN74,HQ74,HT74,HW74,HZ74,IC74,IF74,II74,IL74,IO74,IR74,IU74,IX74,JA74,JD74,JG74,JJ74,JM74,JP74,JS74,JV74,JY74,KB74,KE74,KH74,KK74,KN74,KQ74,KT74,KW74,KZ74,LC74,LF74,LI74,LL74,LO74,LR74,LU74,LX74,MA74,MD74,MG74,MJ74,MM74,MP74,MS74,MV74,MY74)</f>
        <v>29279</v>
      </c>
      <c r="NF74" s="388">
        <f>SUM(D74,G74,J74,M74,P74,S74,V74,Y74,AB74,AE74,AH74,AK74,AN74,AQ74,AT74,AW74,AZ74,BC74,BF74,BI74,BL74,BO74,BR74,BU74,BX74,CA74,CD74,CG74,CJ74,CM74,CP74,CS74,CV74,CY74,DB74,DE74,DH74,DK74,DN74,DQ74,DT74,DW74,DZ74,EC74,EF74,EI74,EL74,EO74,ER74,EU74,EX74,FA74,FD74,FG74,FJ74,FM74,FP74,FS74,FV74,FY74,GB74,GE74,GH74,GK74,GN74,GQ74,GT74,GW74,GZ74,HC74,HF74,HI74,HL74,HO74,HR74,HU74,HX74,IA74,ID74,IG74,IJ74,IM74,IP74,IS74,IV74,IY74,JB74,JE74,JH74,JK74,JN74,JQ74,JT74,JW74,JZ74,KC74,KF74,KI74,KL74,KO74,KR74,KU74,KX74,LA74,LD74,LG74,LJ74,LM74,LP74,LS74,LV74,LY74,MB74,ME74,MH74,MK74,MN74,MQ74,MT74,MW74,MZ74)</f>
        <v>29620</v>
      </c>
      <c r="NG74" s="560">
        <f t="shared" ref="NG74:NG77" si="614">SUM(NE74:NF74)</f>
        <v>58899</v>
      </c>
      <c r="NH74" s="559">
        <f t="shared" ref="NH74:NH77" si="615">SUM(C74+F74+I74+L74+O74+R74)</f>
        <v>2080</v>
      </c>
      <c r="NI74" s="388">
        <f t="shared" ref="NI74:NI77" si="616">SUM(D74+G74+J74+M74+P74+S74)</f>
        <v>1855</v>
      </c>
      <c r="NJ74" s="560">
        <f t="shared" ref="NJ74:NJ77" si="617">SUM(NH74:NI74)</f>
        <v>3935</v>
      </c>
    </row>
    <row r="75" spans="1:374" x14ac:dyDescent="0.3">
      <c r="A75" s="558" t="s">
        <v>318</v>
      </c>
      <c r="B75" s="592" t="s">
        <v>146</v>
      </c>
      <c r="C75" s="561">
        <v>84</v>
      </c>
      <c r="D75" s="388">
        <v>86</v>
      </c>
      <c r="E75" s="388">
        <f t="shared" si="492"/>
        <v>170</v>
      </c>
      <c r="F75" s="388">
        <v>123</v>
      </c>
      <c r="G75" s="388">
        <v>122</v>
      </c>
      <c r="H75" s="388">
        <f t="shared" si="493"/>
        <v>245</v>
      </c>
      <c r="I75" s="388">
        <v>152</v>
      </c>
      <c r="J75" s="388">
        <v>116</v>
      </c>
      <c r="K75" s="388">
        <f t="shared" si="494"/>
        <v>268</v>
      </c>
      <c r="L75" s="388">
        <v>139</v>
      </c>
      <c r="M75" s="388">
        <v>125</v>
      </c>
      <c r="N75" s="388">
        <f t="shared" si="495"/>
        <v>264</v>
      </c>
      <c r="O75" s="388">
        <v>153</v>
      </c>
      <c r="P75" s="388">
        <v>168</v>
      </c>
      <c r="Q75" s="388">
        <f t="shared" si="496"/>
        <v>321</v>
      </c>
      <c r="R75" s="388">
        <v>200</v>
      </c>
      <c r="S75" s="388">
        <v>164</v>
      </c>
      <c r="T75" s="388">
        <f t="shared" si="497"/>
        <v>364</v>
      </c>
      <c r="U75" s="388">
        <v>187</v>
      </c>
      <c r="V75" s="388">
        <v>201</v>
      </c>
      <c r="W75" s="388">
        <f t="shared" si="498"/>
        <v>388</v>
      </c>
      <c r="X75" s="388">
        <v>179</v>
      </c>
      <c r="Y75" s="388">
        <v>180</v>
      </c>
      <c r="Z75" s="388">
        <f t="shared" si="499"/>
        <v>359</v>
      </c>
      <c r="AA75" s="388">
        <v>186</v>
      </c>
      <c r="AB75" s="388">
        <v>196</v>
      </c>
      <c r="AC75" s="388">
        <f t="shared" si="500"/>
        <v>382</v>
      </c>
      <c r="AD75" s="388">
        <v>181</v>
      </c>
      <c r="AE75" s="388">
        <v>165</v>
      </c>
      <c r="AF75" s="388">
        <f t="shared" si="501"/>
        <v>346</v>
      </c>
      <c r="AG75" s="388">
        <v>189</v>
      </c>
      <c r="AH75" s="388">
        <v>188</v>
      </c>
      <c r="AI75" s="388">
        <f t="shared" si="502"/>
        <v>377</v>
      </c>
      <c r="AJ75" s="388">
        <v>184</v>
      </c>
      <c r="AK75" s="388">
        <v>152</v>
      </c>
      <c r="AL75" s="388">
        <f t="shared" si="503"/>
        <v>336</v>
      </c>
      <c r="AM75" s="388">
        <v>188</v>
      </c>
      <c r="AN75" s="388">
        <v>179</v>
      </c>
      <c r="AO75" s="388">
        <f t="shared" si="504"/>
        <v>367</v>
      </c>
      <c r="AP75" s="388">
        <v>188</v>
      </c>
      <c r="AQ75" s="388">
        <v>201</v>
      </c>
      <c r="AR75" s="388">
        <f t="shared" si="505"/>
        <v>389</v>
      </c>
      <c r="AS75" s="388">
        <v>197</v>
      </c>
      <c r="AT75" s="388">
        <v>205</v>
      </c>
      <c r="AU75" s="388">
        <f t="shared" si="506"/>
        <v>402</v>
      </c>
      <c r="AV75" s="388">
        <v>201</v>
      </c>
      <c r="AW75" s="388">
        <v>202</v>
      </c>
      <c r="AX75" s="388">
        <f t="shared" si="507"/>
        <v>403</v>
      </c>
      <c r="AY75" s="388">
        <v>194</v>
      </c>
      <c r="AZ75" s="388">
        <v>182</v>
      </c>
      <c r="BA75" s="388">
        <f t="shared" si="508"/>
        <v>376</v>
      </c>
      <c r="BB75" s="388">
        <v>206</v>
      </c>
      <c r="BC75" s="388">
        <v>150</v>
      </c>
      <c r="BD75" s="388">
        <f t="shared" si="509"/>
        <v>356</v>
      </c>
      <c r="BE75" s="388">
        <v>209</v>
      </c>
      <c r="BF75" s="388">
        <v>184</v>
      </c>
      <c r="BG75" s="388">
        <f t="shared" si="510"/>
        <v>393</v>
      </c>
      <c r="BH75" s="388">
        <v>200</v>
      </c>
      <c r="BI75" s="388">
        <v>177</v>
      </c>
      <c r="BJ75" s="388">
        <f t="shared" si="511"/>
        <v>377</v>
      </c>
      <c r="BK75" s="388">
        <v>164</v>
      </c>
      <c r="BL75" s="388">
        <v>180</v>
      </c>
      <c r="BM75" s="388">
        <f t="shared" si="512"/>
        <v>344</v>
      </c>
      <c r="BN75" s="388">
        <v>182</v>
      </c>
      <c r="BO75" s="388">
        <v>184</v>
      </c>
      <c r="BP75" s="388">
        <f t="shared" si="513"/>
        <v>366</v>
      </c>
      <c r="BQ75" s="388">
        <v>203</v>
      </c>
      <c r="BR75" s="388">
        <v>197</v>
      </c>
      <c r="BS75" s="388">
        <f t="shared" si="514"/>
        <v>400</v>
      </c>
      <c r="BT75" s="388">
        <v>189</v>
      </c>
      <c r="BU75" s="388">
        <v>213</v>
      </c>
      <c r="BV75" s="388">
        <f t="shared" si="515"/>
        <v>402</v>
      </c>
      <c r="BW75" s="388">
        <v>223</v>
      </c>
      <c r="BX75" s="388">
        <v>167</v>
      </c>
      <c r="BY75" s="388">
        <f t="shared" si="516"/>
        <v>390</v>
      </c>
      <c r="BZ75" s="388">
        <v>209</v>
      </c>
      <c r="CA75" s="388">
        <v>200</v>
      </c>
      <c r="CB75" s="388">
        <f t="shared" si="517"/>
        <v>409</v>
      </c>
      <c r="CC75" s="388">
        <v>188</v>
      </c>
      <c r="CD75" s="388">
        <v>204</v>
      </c>
      <c r="CE75" s="388">
        <f t="shared" si="518"/>
        <v>392</v>
      </c>
      <c r="CF75" s="388">
        <v>194</v>
      </c>
      <c r="CG75" s="388">
        <v>168</v>
      </c>
      <c r="CH75" s="388">
        <f t="shared" si="519"/>
        <v>362</v>
      </c>
      <c r="CI75" s="388">
        <v>192</v>
      </c>
      <c r="CJ75" s="388">
        <v>171</v>
      </c>
      <c r="CK75" s="388">
        <f t="shared" si="520"/>
        <v>363</v>
      </c>
      <c r="CL75" s="388">
        <v>181</v>
      </c>
      <c r="CM75" s="388">
        <v>195</v>
      </c>
      <c r="CN75" s="388">
        <f t="shared" si="521"/>
        <v>376</v>
      </c>
      <c r="CO75" s="388">
        <v>194</v>
      </c>
      <c r="CP75" s="388">
        <v>160</v>
      </c>
      <c r="CQ75" s="388">
        <f t="shared" si="522"/>
        <v>354</v>
      </c>
      <c r="CR75" s="388">
        <v>181</v>
      </c>
      <c r="CS75" s="388">
        <v>184</v>
      </c>
      <c r="CT75" s="388">
        <f t="shared" si="523"/>
        <v>365</v>
      </c>
      <c r="CU75" s="388">
        <v>189</v>
      </c>
      <c r="CV75" s="388">
        <v>187</v>
      </c>
      <c r="CW75" s="388">
        <f t="shared" si="524"/>
        <v>376</v>
      </c>
      <c r="CX75" s="388">
        <v>186</v>
      </c>
      <c r="CY75" s="388">
        <v>168</v>
      </c>
      <c r="CZ75" s="388">
        <f t="shared" si="525"/>
        <v>354</v>
      </c>
      <c r="DA75" s="388">
        <v>161</v>
      </c>
      <c r="DB75" s="388">
        <v>191</v>
      </c>
      <c r="DC75" s="388">
        <f t="shared" si="526"/>
        <v>352</v>
      </c>
      <c r="DD75" s="388">
        <v>181</v>
      </c>
      <c r="DE75" s="388">
        <v>190</v>
      </c>
      <c r="DF75" s="388">
        <f t="shared" si="527"/>
        <v>371</v>
      </c>
      <c r="DG75" s="388">
        <v>166</v>
      </c>
      <c r="DH75" s="388">
        <v>176</v>
      </c>
      <c r="DI75" s="388">
        <f t="shared" si="528"/>
        <v>342</v>
      </c>
      <c r="DJ75" s="388">
        <v>166</v>
      </c>
      <c r="DK75" s="388">
        <v>162</v>
      </c>
      <c r="DL75" s="388">
        <f t="shared" si="529"/>
        <v>328</v>
      </c>
      <c r="DM75" s="388">
        <v>150</v>
      </c>
      <c r="DN75" s="388">
        <v>178</v>
      </c>
      <c r="DO75" s="388">
        <f t="shared" si="530"/>
        <v>328</v>
      </c>
      <c r="DP75" s="388">
        <v>159</v>
      </c>
      <c r="DQ75" s="388">
        <v>164</v>
      </c>
      <c r="DR75" s="388">
        <f t="shared" si="531"/>
        <v>323</v>
      </c>
      <c r="DS75" s="388">
        <v>152</v>
      </c>
      <c r="DT75" s="388">
        <v>200</v>
      </c>
      <c r="DU75" s="388">
        <f t="shared" si="532"/>
        <v>352</v>
      </c>
      <c r="DV75" s="388">
        <v>209</v>
      </c>
      <c r="DW75" s="388">
        <v>166</v>
      </c>
      <c r="DX75" s="388">
        <f t="shared" si="533"/>
        <v>375</v>
      </c>
      <c r="DY75" s="388">
        <v>199</v>
      </c>
      <c r="DZ75" s="388">
        <v>182</v>
      </c>
      <c r="EA75" s="388">
        <f t="shared" si="534"/>
        <v>381</v>
      </c>
      <c r="EB75" s="388">
        <v>187</v>
      </c>
      <c r="EC75" s="388">
        <v>191</v>
      </c>
      <c r="ED75" s="388">
        <f t="shared" si="535"/>
        <v>378</v>
      </c>
      <c r="EE75" s="388">
        <v>177</v>
      </c>
      <c r="EF75" s="388">
        <v>183</v>
      </c>
      <c r="EG75" s="388">
        <f t="shared" si="536"/>
        <v>360</v>
      </c>
      <c r="EH75" s="388">
        <v>204</v>
      </c>
      <c r="EI75" s="388">
        <v>219</v>
      </c>
      <c r="EJ75" s="388">
        <f t="shared" si="537"/>
        <v>423</v>
      </c>
      <c r="EK75" s="388">
        <v>172</v>
      </c>
      <c r="EL75" s="388">
        <v>177</v>
      </c>
      <c r="EM75" s="388">
        <f t="shared" si="538"/>
        <v>349</v>
      </c>
      <c r="EN75" s="388">
        <v>148</v>
      </c>
      <c r="EO75" s="388">
        <v>203</v>
      </c>
      <c r="EP75" s="388">
        <f t="shared" si="539"/>
        <v>351</v>
      </c>
      <c r="EQ75" s="388">
        <v>188</v>
      </c>
      <c r="ER75" s="388">
        <v>183</v>
      </c>
      <c r="ES75" s="388">
        <f t="shared" si="540"/>
        <v>371</v>
      </c>
      <c r="ET75" s="388">
        <v>179</v>
      </c>
      <c r="EU75" s="388">
        <v>180</v>
      </c>
      <c r="EV75" s="388">
        <f t="shared" si="541"/>
        <v>359</v>
      </c>
      <c r="EW75" s="388">
        <v>167</v>
      </c>
      <c r="EX75" s="388">
        <v>190</v>
      </c>
      <c r="EY75" s="388">
        <f t="shared" si="542"/>
        <v>357</v>
      </c>
      <c r="EZ75" s="388">
        <v>150</v>
      </c>
      <c r="FA75" s="388">
        <v>176</v>
      </c>
      <c r="FB75" s="388">
        <f t="shared" si="543"/>
        <v>326</v>
      </c>
      <c r="FC75" s="388">
        <v>152</v>
      </c>
      <c r="FD75" s="388">
        <v>146</v>
      </c>
      <c r="FE75" s="388">
        <f t="shared" si="544"/>
        <v>298</v>
      </c>
      <c r="FF75" s="388">
        <v>146</v>
      </c>
      <c r="FG75" s="388">
        <v>165</v>
      </c>
      <c r="FH75" s="388">
        <f t="shared" si="545"/>
        <v>311</v>
      </c>
      <c r="FI75" s="388">
        <v>150</v>
      </c>
      <c r="FJ75" s="388">
        <v>173</v>
      </c>
      <c r="FK75" s="388">
        <f t="shared" si="546"/>
        <v>323</v>
      </c>
      <c r="FL75" s="388">
        <v>152</v>
      </c>
      <c r="FM75" s="388">
        <v>173</v>
      </c>
      <c r="FN75" s="388">
        <f t="shared" si="547"/>
        <v>325</v>
      </c>
      <c r="FO75" s="388">
        <v>153</v>
      </c>
      <c r="FP75" s="388">
        <v>157</v>
      </c>
      <c r="FQ75" s="388">
        <f t="shared" si="548"/>
        <v>310</v>
      </c>
      <c r="FR75" s="388">
        <v>126</v>
      </c>
      <c r="FS75" s="388">
        <v>131</v>
      </c>
      <c r="FT75" s="388">
        <f t="shared" si="549"/>
        <v>257</v>
      </c>
      <c r="FU75" s="388">
        <v>140</v>
      </c>
      <c r="FV75" s="388">
        <v>119</v>
      </c>
      <c r="FW75" s="388">
        <f t="shared" si="550"/>
        <v>259</v>
      </c>
      <c r="FX75" s="388">
        <v>106</v>
      </c>
      <c r="FY75" s="388">
        <v>107</v>
      </c>
      <c r="FZ75" s="388">
        <f t="shared" si="551"/>
        <v>213</v>
      </c>
      <c r="GA75" s="388">
        <v>128</v>
      </c>
      <c r="GB75" s="388">
        <v>153</v>
      </c>
      <c r="GC75" s="388">
        <f t="shared" si="552"/>
        <v>281</v>
      </c>
      <c r="GD75" s="388">
        <v>115</v>
      </c>
      <c r="GE75" s="388">
        <v>148</v>
      </c>
      <c r="GF75" s="388">
        <f t="shared" si="553"/>
        <v>263</v>
      </c>
      <c r="GG75" s="388">
        <v>95</v>
      </c>
      <c r="GH75" s="388">
        <v>108</v>
      </c>
      <c r="GI75" s="388">
        <f t="shared" si="554"/>
        <v>203</v>
      </c>
      <c r="GJ75" s="388">
        <v>94</v>
      </c>
      <c r="GK75" s="388">
        <v>116</v>
      </c>
      <c r="GL75" s="388">
        <f t="shared" si="555"/>
        <v>210</v>
      </c>
      <c r="GM75" s="388">
        <v>89</v>
      </c>
      <c r="GN75" s="388">
        <v>117</v>
      </c>
      <c r="GO75" s="388">
        <f t="shared" si="556"/>
        <v>206</v>
      </c>
      <c r="GP75" s="388">
        <v>97</v>
      </c>
      <c r="GQ75" s="388">
        <v>93</v>
      </c>
      <c r="GR75" s="388">
        <f t="shared" si="557"/>
        <v>190</v>
      </c>
      <c r="GS75" s="388">
        <v>90</v>
      </c>
      <c r="GT75" s="388">
        <v>115</v>
      </c>
      <c r="GU75" s="388">
        <f t="shared" si="558"/>
        <v>205</v>
      </c>
      <c r="GV75" s="388">
        <v>91</v>
      </c>
      <c r="GW75" s="388">
        <v>91</v>
      </c>
      <c r="GX75" s="388">
        <f t="shared" si="559"/>
        <v>182</v>
      </c>
      <c r="GY75" s="388">
        <v>75</v>
      </c>
      <c r="GZ75" s="388">
        <v>92</v>
      </c>
      <c r="HA75" s="388">
        <f t="shared" si="560"/>
        <v>167</v>
      </c>
      <c r="HB75" s="388">
        <v>65</v>
      </c>
      <c r="HC75" s="388">
        <v>65</v>
      </c>
      <c r="HD75" s="388">
        <f t="shared" si="561"/>
        <v>130</v>
      </c>
      <c r="HE75" s="388">
        <v>55</v>
      </c>
      <c r="HF75" s="388">
        <v>69</v>
      </c>
      <c r="HG75" s="388">
        <f t="shared" si="562"/>
        <v>124</v>
      </c>
      <c r="HH75" s="388">
        <v>51</v>
      </c>
      <c r="HI75" s="388">
        <v>56</v>
      </c>
      <c r="HJ75" s="388">
        <f t="shared" si="563"/>
        <v>107</v>
      </c>
      <c r="HK75" s="388">
        <v>53</v>
      </c>
      <c r="HL75" s="388">
        <v>57</v>
      </c>
      <c r="HM75" s="388">
        <f t="shared" si="564"/>
        <v>110</v>
      </c>
      <c r="HN75" s="388">
        <v>31</v>
      </c>
      <c r="HO75" s="388">
        <v>38</v>
      </c>
      <c r="HP75" s="388">
        <f t="shared" si="565"/>
        <v>69</v>
      </c>
      <c r="HQ75" s="388">
        <v>30</v>
      </c>
      <c r="HR75" s="388">
        <v>41</v>
      </c>
      <c r="HS75" s="388">
        <f t="shared" si="566"/>
        <v>71</v>
      </c>
      <c r="HT75" s="388">
        <v>31</v>
      </c>
      <c r="HU75" s="388">
        <v>32</v>
      </c>
      <c r="HV75" s="388">
        <f t="shared" si="567"/>
        <v>63</v>
      </c>
      <c r="HW75" s="388">
        <v>24</v>
      </c>
      <c r="HX75" s="388">
        <v>34</v>
      </c>
      <c r="HY75" s="388">
        <f t="shared" si="568"/>
        <v>58</v>
      </c>
      <c r="HZ75" s="388">
        <v>26</v>
      </c>
      <c r="IA75" s="388">
        <v>20</v>
      </c>
      <c r="IB75" s="388">
        <f t="shared" si="569"/>
        <v>46</v>
      </c>
      <c r="IC75" s="388">
        <v>17</v>
      </c>
      <c r="ID75" s="388">
        <v>21</v>
      </c>
      <c r="IE75" s="388">
        <f t="shared" si="570"/>
        <v>38</v>
      </c>
      <c r="IF75" s="388">
        <v>12</v>
      </c>
      <c r="IG75" s="388">
        <v>20</v>
      </c>
      <c r="IH75" s="388">
        <f t="shared" si="571"/>
        <v>32</v>
      </c>
      <c r="II75" s="388">
        <v>16</v>
      </c>
      <c r="IJ75" s="388">
        <v>22</v>
      </c>
      <c r="IK75" s="388">
        <f t="shared" si="572"/>
        <v>38</v>
      </c>
      <c r="IL75" s="388">
        <v>12</v>
      </c>
      <c r="IM75" s="388">
        <v>17</v>
      </c>
      <c r="IN75" s="388">
        <f t="shared" si="573"/>
        <v>29</v>
      </c>
      <c r="IO75" s="388">
        <v>8</v>
      </c>
      <c r="IP75" s="388">
        <v>12</v>
      </c>
      <c r="IQ75" s="388">
        <f t="shared" si="574"/>
        <v>20</v>
      </c>
      <c r="IR75" s="388">
        <v>12</v>
      </c>
      <c r="IS75" s="388">
        <v>11</v>
      </c>
      <c r="IT75" s="388">
        <f t="shared" si="575"/>
        <v>23</v>
      </c>
      <c r="IU75" s="388">
        <v>9</v>
      </c>
      <c r="IV75" s="388">
        <v>8</v>
      </c>
      <c r="IW75" s="388">
        <f t="shared" si="576"/>
        <v>17</v>
      </c>
      <c r="IX75" s="388">
        <v>6</v>
      </c>
      <c r="IY75" s="388">
        <v>15</v>
      </c>
      <c r="IZ75" s="388">
        <f t="shared" si="577"/>
        <v>21</v>
      </c>
      <c r="JA75" s="388">
        <v>6</v>
      </c>
      <c r="JB75" s="388">
        <v>7</v>
      </c>
      <c r="JC75" s="388">
        <f t="shared" si="578"/>
        <v>13</v>
      </c>
      <c r="JD75" s="388">
        <v>3</v>
      </c>
      <c r="JE75" s="388">
        <v>6</v>
      </c>
      <c r="JF75" s="388">
        <f t="shared" si="579"/>
        <v>9</v>
      </c>
      <c r="JG75" s="388">
        <v>3</v>
      </c>
      <c r="JH75" s="388">
        <v>0</v>
      </c>
      <c r="JI75" s="388">
        <f t="shared" si="580"/>
        <v>3</v>
      </c>
      <c r="JJ75" s="388">
        <v>3</v>
      </c>
      <c r="JK75" s="388">
        <v>4</v>
      </c>
      <c r="JL75" s="388">
        <f t="shared" si="581"/>
        <v>7</v>
      </c>
      <c r="JM75" s="388">
        <v>2</v>
      </c>
      <c r="JN75" s="388">
        <v>2</v>
      </c>
      <c r="JO75" s="388">
        <f t="shared" si="582"/>
        <v>4</v>
      </c>
      <c r="JP75" s="388">
        <v>1</v>
      </c>
      <c r="JQ75" s="388">
        <v>1</v>
      </c>
      <c r="JR75" s="388">
        <f t="shared" si="583"/>
        <v>2</v>
      </c>
      <c r="JS75" s="388">
        <v>0</v>
      </c>
      <c r="JT75" s="388">
        <v>0</v>
      </c>
      <c r="JU75" s="388">
        <f t="shared" si="584"/>
        <v>0</v>
      </c>
      <c r="JV75" s="388">
        <v>1</v>
      </c>
      <c r="JW75" s="388">
        <v>0</v>
      </c>
      <c r="JX75" s="388">
        <f t="shared" si="585"/>
        <v>1</v>
      </c>
      <c r="JY75" s="388">
        <v>0</v>
      </c>
      <c r="JZ75" s="388">
        <v>2</v>
      </c>
      <c r="KA75" s="388">
        <f t="shared" si="586"/>
        <v>2</v>
      </c>
      <c r="KB75" s="388">
        <v>0</v>
      </c>
      <c r="KC75" s="388">
        <v>1</v>
      </c>
      <c r="KD75" s="388">
        <f t="shared" si="587"/>
        <v>1</v>
      </c>
      <c r="KE75" s="388">
        <v>1</v>
      </c>
      <c r="KF75" s="388">
        <v>0</v>
      </c>
      <c r="KG75" s="388">
        <f t="shared" si="588"/>
        <v>1</v>
      </c>
      <c r="KH75" s="388">
        <v>0</v>
      </c>
      <c r="KI75" s="388">
        <v>0</v>
      </c>
      <c r="KJ75" s="388">
        <f t="shared" si="589"/>
        <v>0</v>
      </c>
      <c r="KK75" s="388">
        <v>0</v>
      </c>
      <c r="KL75" s="388">
        <v>0</v>
      </c>
      <c r="KM75" s="388">
        <f t="shared" si="590"/>
        <v>0</v>
      </c>
      <c r="KN75" s="388">
        <v>0</v>
      </c>
      <c r="KO75" s="388">
        <v>0</v>
      </c>
      <c r="KP75" s="388">
        <f t="shared" si="591"/>
        <v>0</v>
      </c>
      <c r="KQ75" s="388">
        <v>0</v>
      </c>
      <c r="KR75" s="388">
        <v>0</v>
      </c>
      <c r="KS75" s="388">
        <f t="shared" si="592"/>
        <v>0</v>
      </c>
      <c r="KT75" s="388">
        <v>0</v>
      </c>
      <c r="KU75" s="388">
        <v>0</v>
      </c>
      <c r="KV75" s="388">
        <f t="shared" si="593"/>
        <v>0</v>
      </c>
      <c r="KW75" s="388">
        <v>0</v>
      </c>
      <c r="KX75" s="388">
        <v>0</v>
      </c>
      <c r="KY75" s="388">
        <f t="shared" si="594"/>
        <v>0</v>
      </c>
      <c r="KZ75" s="388">
        <v>0</v>
      </c>
      <c r="LA75" s="388">
        <v>0</v>
      </c>
      <c r="LB75" s="388">
        <f t="shared" si="595"/>
        <v>0</v>
      </c>
      <c r="LC75" s="388">
        <v>0</v>
      </c>
      <c r="LD75" s="388">
        <v>0</v>
      </c>
      <c r="LE75" s="388">
        <f t="shared" si="596"/>
        <v>0</v>
      </c>
      <c r="LF75" s="388">
        <v>0</v>
      </c>
      <c r="LG75" s="388">
        <v>0</v>
      </c>
      <c r="LH75" s="388">
        <f t="shared" si="597"/>
        <v>0</v>
      </c>
      <c r="LI75" s="388">
        <v>0</v>
      </c>
      <c r="LJ75" s="388">
        <v>0</v>
      </c>
      <c r="LK75" s="388">
        <f t="shared" si="598"/>
        <v>0</v>
      </c>
      <c r="LL75" s="388">
        <v>0</v>
      </c>
      <c r="LM75" s="388">
        <v>0</v>
      </c>
      <c r="LN75" s="388">
        <f t="shared" si="599"/>
        <v>0</v>
      </c>
      <c r="LO75" s="388">
        <v>0</v>
      </c>
      <c r="LP75" s="388">
        <v>0</v>
      </c>
      <c r="LQ75" s="388">
        <f t="shared" si="600"/>
        <v>0</v>
      </c>
      <c r="LR75" s="388">
        <v>0</v>
      </c>
      <c r="LS75" s="388">
        <v>0</v>
      </c>
      <c r="LT75" s="388">
        <f t="shared" si="601"/>
        <v>0</v>
      </c>
      <c r="LU75" s="388">
        <v>0</v>
      </c>
      <c r="LV75" s="388">
        <v>0</v>
      </c>
      <c r="LW75" s="388">
        <f t="shared" si="602"/>
        <v>0</v>
      </c>
      <c r="LX75" s="388">
        <v>0</v>
      </c>
      <c r="LY75" s="388">
        <v>0</v>
      </c>
      <c r="LZ75" s="388">
        <f t="shared" si="603"/>
        <v>0</v>
      </c>
      <c r="MA75" s="388">
        <v>0</v>
      </c>
      <c r="MB75" s="388">
        <v>0</v>
      </c>
      <c r="MC75" s="388">
        <f t="shared" si="604"/>
        <v>0</v>
      </c>
      <c r="MD75" s="388">
        <v>0</v>
      </c>
      <c r="ME75" s="388">
        <v>0</v>
      </c>
      <c r="MF75" s="388">
        <f t="shared" si="605"/>
        <v>0</v>
      </c>
      <c r="MG75" s="388">
        <v>0</v>
      </c>
      <c r="MH75" s="388">
        <v>0</v>
      </c>
      <c r="MI75" s="388">
        <f t="shared" si="606"/>
        <v>0</v>
      </c>
      <c r="MJ75" s="388">
        <v>0</v>
      </c>
      <c r="MK75" s="388">
        <v>0</v>
      </c>
      <c r="ML75" s="388">
        <f t="shared" si="607"/>
        <v>0</v>
      </c>
      <c r="MM75" s="388">
        <v>0</v>
      </c>
      <c r="MN75" s="388">
        <v>0</v>
      </c>
      <c r="MO75" s="388">
        <f t="shared" si="608"/>
        <v>0</v>
      </c>
      <c r="MP75" s="388">
        <v>0</v>
      </c>
      <c r="MQ75" s="388">
        <v>0</v>
      </c>
      <c r="MR75" s="388">
        <f t="shared" si="609"/>
        <v>0</v>
      </c>
      <c r="MS75" s="388">
        <v>0</v>
      </c>
      <c r="MT75" s="388">
        <v>0</v>
      </c>
      <c r="MU75" s="388">
        <f t="shared" si="610"/>
        <v>0</v>
      </c>
      <c r="MV75" s="388">
        <v>0</v>
      </c>
      <c r="MW75" s="388">
        <v>0</v>
      </c>
      <c r="MX75" s="388">
        <f t="shared" si="611"/>
        <v>0</v>
      </c>
      <c r="MY75" s="388">
        <v>0</v>
      </c>
      <c r="MZ75" s="388">
        <v>0</v>
      </c>
      <c r="NA75" s="562">
        <f t="shared" si="612"/>
        <v>0</v>
      </c>
      <c r="NB75" s="388">
        <v>0</v>
      </c>
      <c r="NC75" s="388">
        <v>0</v>
      </c>
      <c r="ND75" s="560">
        <f t="shared" si="613"/>
        <v>0</v>
      </c>
      <c r="NE75" s="559">
        <f t="shared" ref="NE75:NF77" si="618">SUM(C75,F75,I75,L75,O75,R75,U75,X75,AA75,AD75,AG75,AJ75,AM75,AP75,AS75,AV75,AY75,BB75,BE75,BH75,BK75,BN75,BQ75,BT75,BW75,BZ75,CC75,CF75,CI75,CL75,CO75,CR75,CU75,CX75,DA75,DD75,DG75,DJ75,DM75,DP75,DS75,DV75,DY75,EB75,EE75,EH75,EK75,EN75,EQ75,ET75,EW75,EZ75,FC75,FF75,FI75,FL75,FO75,FR75,FU75,FX75,GA75,GD75,GG75,GJ75,GM75,GP75,GS75,GV75,GY75,HB75,HE75,HH75,HK75,HN75,HQ75,HT75,HW75,HZ75,IC75,IF75,II75,IL75,IO75,IR75,IU75,IX75,JA75,JD75,JG75,JJ75,JM75,JP75,JS75,JV75,JY75,KB75,KE75,KH75,KK75,KN75,KQ75,KT75,KW75,KZ75,LC75,LF75,LI75,LL75,LO75,LR75,LU75,LX75,MA75,MD75,MG75,MJ75,MM75,MP75,MS75,MV75,MY75)</f>
        <v>11807</v>
      </c>
      <c r="NF75" s="388">
        <f t="shared" si="618"/>
        <v>11997</v>
      </c>
      <c r="NG75" s="560">
        <f t="shared" si="614"/>
        <v>23804</v>
      </c>
      <c r="NH75" s="559">
        <f t="shared" si="615"/>
        <v>851</v>
      </c>
      <c r="NI75" s="388">
        <f t="shared" si="616"/>
        <v>781</v>
      </c>
      <c r="NJ75" s="560">
        <f t="shared" si="617"/>
        <v>1632</v>
      </c>
    </row>
    <row r="76" spans="1:374" x14ac:dyDescent="0.3">
      <c r="A76" s="558" t="s">
        <v>319</v>
      </c>
      <c r="B76" s="592" t="s">
        <v>149</v>
      </c>
      <c r="C76" s="561">
        <v>80</v>
      </c>
      <c r="D76" s="388">
        <v>79</v>
      </c>
      <c r="E76" s="388">
        <f t="shared" si="492"/>
        <v>159</v>
      </c>
      <c r="F76" s="388">
        <v>93</v>
      </c>
      <c r="G76" s="388">
        <v>92</v>
      </c>
      <c r="H76" s="388">
        <f t="shared" si="493"/>
        <v>185</v>
      </c>
      <c r="I76" s="388">
        <v>116</v>
      </c>
      <c r="J76" s="388">
        <v>126</v>
      </c>
      <c r="K76" s="388">
        <f t="shared" si="494"/>
        <v>242</v>
      </c>
      <c r="L76" s="388">
        <v>146</v>
      </c>
      <c r="M76" s="388">
        <v>128</v>
      </c>
      <c r="N76" s="388">
        <f t="shared" si="495"/>
        <v>274</v>
      </c>
      <c r="O76" s="388">
        <v>151</v>
      </c>
      <c r="P76" s="388">
        <v>128</v>
      </c>
      <c r="Q76" s="388">
        <f t="shared" si="496"/>
        <v>279</v>
      </c>
      <c r="R76" s="388">
        <v>164</v>
      </c>
      <c r="S76" s="388">
        <v>160</v>
      </c>
      <c r="T76" s="388">
        <f t="shared" si="497"/>
        <v>324</v>
      </c>
      <c r="U76" s="388">
        <v>137</v>
      </c>
      <c r="V76" s="388">
        <v>146</v>
      </c>
      <c r="W76" s="388">
        <f t="shared" si="498"/>
        <v>283</v>
      </c>
      <c r="X76" s="388">
        <v>156</v>
      </c>
      <c r="Y76" s="388">
        <v>146</v>
      </c>
      <c r="Z76" s="388">
        <f t="shared" si="499"/>
        <v>302</v>
      </c>
      <c r="AA76" s="388">
        <v>163</v>
      </c>
      <c r="AB76" s="388">
        <v>148</v>
      </c>
      <c r="AC76" s="388">
        <f t="shared" si="500"/>
        <v>311</v>
      </c>
      <c r="AD76" s="388">
        <v>187</v>
      </c>
      <c r="AE76" s="388">
        <v>143</v>
      </c>
      <c r="AF76" s="388">
        <f t="shared" si="501"/>
        <v>330</v>
      </c>
      <c r="AG76" s="388">
        <v>179</v>
      </c>
      <c r="AH76" s="388">
        <v>163</v>
      </c>
      <c r="AI76" s="388">
        <f t="shared" si="502"/>
        <v>342</v>
      </c>
      <c r="AJ76" s="388">
        <v>199</v>
      </c>
      <c r="AK76" s="388">
        <v>154</v>
      </c>
      <c r="AL76" s="388">
        <f t="shared" si="503"/>
        <v>353</v>
      </c>
      <c r="AM76" s="388">
        <v>156</v>
      </c>
      <c r="AN76" s="388">
        <v>182</v>
      </c>
      <c r="AO76" s="388">
        <f t="shared" si="504"/>
        <v>338</v>
      </c>
      <c r="AP76" s="388">
        <v>193</v>
      </c>
      <c r="AQ76" s="388">
        <v>177</v>
      </c>
      <c r="AR76" s="388">
        <f t="shared" si="505"/>
        <v>370</v>
      </c>
      <c r="AS76" s="388">
        <v>193</v>
      </c>
      <c r="AT76" s="388">
        <v>193</v>
      </c>
      <c r="AU76" s="388">
        <f t="shared" si="506"/>
        <v>386</v>
      </c>
      <c r="AV76" s="388">
        <v>198</v>
      </c>
      <c r="AW76" s="388">
        <v>182</v>
      </c>
      <c r="AX76" s="388">
        <f t="shared" si="507"/>
        <v>380</v>
      </c>
      <c r="AY76" s="388">
        <v>202</v>
      </c>
      <c r="AZ76" s="388">
        <v>184</v>
      </c>
      <c r="BA76" s="388">
        <f t="shared" si="508"/>
        <v>386</v>
      </c>
      <c r="BB76" s="388">
        <v>195</v>
      </c>
      <c r="BC76" s="388">
        <v>197</v>
      </c>
      <c r="BD76" s="388">
        <f t="shared" si="509"/>
        <v>392</v>
      </c>
      <c r="BE76" s="388">
        <v>206</v>
      </c>
      <c r="BF76" s="388">
        <v>171</v>
      </c>
      <c r="BG76" s="388">
        <f t="shared" si="510"/>
        <v>377</v>
      </c>
      <c r="BH76" s="388">
        <v>241</v>
      </c>
      <c r="BI76" s="388">
        <v>204</v>
      </c>
      <c r="BJ76" s="388">
        <f t="shared" si="511"/>
        <v>445</v>
      </c>
      <c r="BK76" s="388">
        <v>235</v>
      </c>
      <c r="BL76" s="388">
        <v>195</v>
      </c>
      <c r="BM76" s="388">
        <f t="shared" si="512"/>
        <v>430</v>
      </c>
      <c r="BN76" s="388">
        <v>221</v>
      </c>
      <c r="BO76" s="388">
        <v>204</v>
      </c>
      <c r="BP76" s="388">
        <f t="shared" si="513"/>
        <v>425</v>
      </c>
      <c r="BQ76" s="388">
        <v>226</v>
      </c>
      <c r="BR76" s="388">
        <v>194</v>
      </c>
      <c r="BS76" s="388">
        <f t="shared" si="514"/>
        <v>420</v>
      </c>
      <c r="BT76" s="388">
        <v>220</v>
      </c>
      <c r="BU76" s="388">
        <v>202</v>
      </c>
      <c r="BV76" s="388">
        <f t="shared" si="515"/>
        <v>422</v>
      </c>
      <c r="BW76" s="388">
        <v>203</v>
      </c>
      <c r="BX76" s="388">
        <v>200</v>
      </c>
      <c r="BY76" s="388">
        <f t="shared" si="516"/>
        <v>403</v>
      </c>
      <c r="BZ76" s="388">
        <v>219</v>
      </c>
      <c r="CA76" s="388">
        <v>236</v>
      </c>
      <c r="CB76" s="388">
        <f t="shared" si="517"/>
        <v>455</v>
      </c>
      <c r="CC76" s="388">
        <v>222</v>
      </c>
      <c r="CD76" s="388">
        <v>185</v>
      </c>
      <c r="CE76" s="388">
        <f t="shared" si="518"/>
        <v>407</v>
      </c>
      <c r="CF76" s="388">
        <v>160</v>
      </c>
      <c r="CG76" s="388">
        <v>165</v>
      </c>
      <c r="CH76" s="388">
        <f t="shared" si="519"/>
        <v>325</v>
      </c>
      <c r="CI76" s="388">
        <v>184</v>
      </c>
      <c r="CJ76" s="388">
        <v>179</v>
      </c>
      <c r="CK76" s="388">
        <f t="shared" si="520"/>
        <v>363</v>
      </c>
      <c r="CL76" s="388">
        <v>152</v>
      </c>
      <c r="CM76" s="388">
        <v>166</v>
      </c>
      <c r="CN76" s="388">
        <f t="shared" si="521"/>
        <v>318</v>
      </c>
      <c r="CO76" s="388">
        <v>165</v>
      </c>
      <c r="CP76" s="388">
        <v>188</v>
      </c>
      <c r="CQ76" s="388">
        <f t="shared" si="522"/>
        <v>353</v>
      </c>
      <c r="CR76" s="388">
        <v>173</v>
      </c>
      <c r="CS76" s="388">
        <v>173</v>
      </c>
      <c r="CT76" s="388">
        <f t="shared" si="523"/>
        <v>346</v>
      </c>
      <c r="CU76" s="388">
        <v>166</v>
      </c>
      <c r="CV76" s="388">
        <v>140</v>
      </c>
      <c r="CW76" s="388">
        <f t="shared" si="524"/>
        <v>306</v>
      </c>
      <c r="CX76" s="388">
        <v>162</v>
      </c>
      <c r="CY76" s="388">
        <v>151</v>
      </c>
      <c r="CZ76" s="388">
        <f t="shared" si="525"/>
        <v>313</v>
      </c>
      <c r="DA76" s="388">
        <v>167</v>
      </c>
      <c r="DB76" s="388">
        <v>156</v>
      </c>
      <c r="DC76" s="388">
        <f t="shared" si="526"/>
        <v>323</v>
      </c>
      <c r="DD76" s="388">
        <v>139</v>
      </c>
      <c r="DE76" s="388">
        <v>147</v>
      </c>
      <c r="DF76" s="388">
        <f t="shared" si="527"/>
        <v>286</v>
      </c>
      <c r="DG76" s="388">
        <v>131</v>
      </c>
      <c r="DH76" s="388">
        <v>150</v>
      </c>
      <c r="DI76" s="388">
        <f t="shared" si="528"/>
        <v>281</v>
      </c>
      <c r="DJ76" s="388">
        <v>115</v>
      </c>
      <c r="DK76" s="388">
        <v>141</v>
      </c>
      <c r="DL76" s="388">
        <f t="shared" si="529"/>
        <v>256</v>
      </c>
      <c r="DM76" s="388">
        <v>126</v>
      </c>
      <c r="DN76" s="388">
        <v>140</v>
      </c>
      <c r="DO76" s="388">
        <f t="shared" si="530"/>
        <v>266</v>
      </c>
      <c r="DP76" s="388">
        <v>128</v>
      </c>
      <c r="DQ76" s="388">
        <v>155</v>
      </c>
      <c r="DR76" s="388">
        <f t="shared" si="531"/>
        <v>283</v>
      </c>
      <c r="DS76" s="388">
        <v>146</v>
      </c>
      <c r="DT76" s="388">
        <v>144</v>
      </c>
      <c r="DU76" s="388">
        <f t="shared" si="532"/>
        <v>290</v>
      </c>
      <c r="DV76" s="388">
        <v>136</v>
      </c>
      <c r="DW76" s="388">
        <v>156</v>
      </c>
      <c r="DX76" s="388">
        <f t="shared" si="533"/>
        <v>292</v>
      </c>
      <c r="DY76" s="388">
        <v>156</v>
      </c>
      <c r="DZ76" s="388">
        <v>146</v>
      </c>
      <c r="EA76" s="388">
        <f t="shared" si="534"/>
        <v>302</v>
      </c>
      <c r="EB76" s="388">
        <v>158</v>
      </c>
      <c r="EC76" s="388">
        <v>189</v>
      </c>
      <c r="ED76" s="388">
        <f t="shared" si="535"/>
        <v>347</v>
      </c>
      <c r="EE76" s="388">
        <v>153</v>
      </c>
      <c r="EF76" s="388">
        <v>180</v>
      </c>
      <c r="EG76" s="388">
        <f t="shared" si="536"/>
        <v>333</v>
      </c>
      <c r="EH76" s="388">
        <v>157</v>
      </c>
      <c r="EI76" s="388">
        <v>186</v>
      </c>
      <c r="EJ76" s="388">
        <f t="shared" si="537"/>
        <v>343</v>
      </c>
      <c r="EK76" s="388">
        <v>144</v>
      </c>
      <c r="EL76" s="388">
        <v>197</v>
      </c>
      <c r="EM76" s="388">
        <f t="shared" si="538"/>
        <v>341</v>
      </c>
      <c r="EN76" s="388">
        <v>179</v>
      </c>
      <c r="EO76" s="388">
        <v>180</v>
      </c>
      <c r="EP76" s="388">
        <f t="shared" si="539"/>
        <v>359</v>
      </c>
      <c r="EQ76" s="388">
        <v>174</v>
      </c>
      <c r="ER76" s="388">
        <v>186</v>
      </c>
      <c r="ES76" s="388">
        <f t="shared" si="540"/>
        <v>360</v>
      </c>
      <c r="ET76" s="388">
        <v>164</v>
      </c>
      <c r="EU76" s="388">
        <v>211</v>
      </c>
      <c r="EV76" s="388">
        <f t="shared" si="541"/>
        <v>375</v>
      </c>
      <c r="EW76" s="388">
        <v>185</v>
      </c>
      <c r="EX76" s="388">
        <v>189</v>
      </c>
      <c r="EY76" s="388">
        <f t="shared" si="542"/>
        <v>374</v>
      </c>
      <c r="EZ76" s="388">
        <v>162</v>
      </c>
      <c r="FA76" s="388">
        <v>198</v>
      </c>
      <c r="FB76" s="388">
        <f t="shared" si="543"/>
        <v>360</v>
      </c>
      <c r="FC76" s="388">
        <v>187</v>
      </c>
      <c r="FD76" s="388">
        <v>214</v>
      </c>
      <c r="FE76" s="388">
        <f t="shared" si="544"/>
        <v>401</v>
      </c>
      <c r="FF76" s="388">
        <v>190</v>
      </c>
      <c r="FG76" s="388">
        <v>208</v>
      </c>
      <c r="FH76" s="388">
        <f t="shared" si="545"/>
        <v>398</v>
      </c>
      <c r="FI76" s="388">
        <v>211</v>
      </c>
      <c r="FJ76" s="388">
        <v>205</v>
      </c>
      <c r="FK76" s="388">
        <f t="shared" si="546"/>
        <v>416</v>
      </c>
      <c r="FL76" s="388">
        <v>173</v>
      </c>
      <c r="FM76" s="388">
        <v>178</v>
      </c>
      <c r="FN76" s="388">
        <f t="shared" si="547"/>
        <v>351</v>
      </c>
      <c r="FO76" s="388">
        <v>212</v>
      </c>
      <c r="FP76" s="388">
        <v>181</v>
      </c>
      <c r="FQ76" s="388">
        <f t="shared" si="548"/>
        <v>393</v>
      </c>
      <c r="FR76" s="388">
        <v>162</v>
      </c>
      <c r="FS76" s="388">
        <v>138</v>
      </c>
      <c r="FT76" s="388">
        <f t="shared" si="549"/>
        <v>300</v>
      </c>
      <c r="FU76" s="388">
        <v>153</v>
      </c>
      <c r="FV76" s="388">
        <v>132</v>
      </c>
      <c r="FW76" s="388">
        <f t="shared" si="550"/>
        <v>285</v>
      </c>
      <c r="FX76" s="388">
        <v>133</v>
      </c>
      <c r="FY76" s="388">
        <v>118</v>
      </c>
      <c r="FZ76" s="388">
        <f t="shared" si="551"/>
        <v>251</v>
      </c>
      <c r="GA76" s="388">
        <v>118</v>
      </c>
      <c r="GB76" s="388">
        <v>123</v>
      </c>
      <c r="GC76" s="388">
        <f t="shared" si="552"/>
        <v>241</v>
      </c>
      <c r="GD76" s="388">
        <v>92</v>
      </c>
      <c r="GE76" s="388">
        <v>80</v>
      </c>
      <c r="GF76" s="388">
        <f t="shared" si="553"/>
        <v>172</v>
      </c>
      <c r="GG76" s="388">
        <v>107</v>
      </c>
      <c r="GH76" s="388">
        <v>72</v>
      </c>
      <c r="GI76" s="388">
        <f t="shared" si="554"/>
        <v>179</v>
      </c>
      <c r="GJ76" s="388">
        <v>93</v>
      </c>
      <c r="GK76" s="388">
        <v>79</v>
      </c>
      <c r="GL76" s="388">
        <f t="shared" si="555"/>
        <v>172</v>
      </c>
      <c r="GM76" s="388">
        <v>72</v>
      </c>
      <c r="GN76" s="388">
        <v>71</v>
      </c>
      <c r="GO76" s="388">
        <f t="shared" si="556"/>
        <v>143</v>
      </c>
      <c r="GP76" s="388">
        <v>62</v>
      </c>
      <c r="GQ76" s="388">
        <v>75</v>
      </c>
      <c r="GR76" s="388">
        <f t="shared" si="557"/>
        <v>137</v>
      </c>
      <c r="GS76" s="388">
        <v>62</v>
      </c>
      <c r="GT76" s="388">
        <v>66</v>
      </c>
      <c r="GU76" s="388">
        <f t="shared" si="558"/>
        <v>128</v>
      </c>
      <c r="GV76" s="388">
        <v>47</v>
      </c>
      <c r="GW76" s="388">
        <v>54</v>
      </c>
      <c r="GX76" s="388">
        <f t="shared" si="559"/>
        <v>101</v>
      </c>
      <c r="GY76" s="388">
        <v>48</v>
      </c>
      <c r="GZ76" s="388">
        <v>47</v>
      </c>
      <c r="HA76" s="388">
        <f t="shared" si="560"/>
        <v>95</v>
      </c>
      <c r="HB76" s="388">
        <v>44</v>
      </c>
      <c r="HC76" s="388">
        <v>54</v>
      </c>
      <c r="HD76" s="388">
        <f t="shared" si="561"/>
        <v>98</v>
      </c>
      <c r="HE76" s="388">
        <v>39</v>
      </c>
      <c r="HF76" s="388">
        <v>37</v>
      </c>
      <c r="HG76" s="388">
        <f t="shared" si="562"/>
        <v>76</v>
      </c>
      <c r="HH76" s="388">
        <v>39</v>
      </c>
      <c r="HI76" s="388">
        <v>46</v>
      </c>
      <c r="HJ76" s="388">
        <f t="shared" si="563"/>
        <v>85</v>
      </c>
      <c r="HK76" s="388">
        <v>44</v>
      </c>
      <c r="HL76" s="388">
        <v>37</v>
      </c>
      <c r="HM76" s="388">
        <f t="shared" si="564"/>
        <v>81</v>
      </c>
      <c r="HN76" s="388">
        <v>34</v>
      </c>
      <c r="HO76" s="388">
        <v>36</v>
      </c>
      <c r="HP76" s="388">
        <f t="shared" si="565"/>
        <v>70</v>
      </c>
      <c r="HQ76" s="388">
        <v>39</v>
      </c>
      <c r="HR76" s="388">
        <v>37</v>
      </c>
      <c r="HS76" s="388">
        <f t="shared" si="566"/>
        <v>76</v>
      </c>
      <c r="HT76" s="388">
        <v>30</v>
      </c>
      <c r="HU76" s="388">
        <v>31</v>
      </c>
      <c r="HV76" s="388">
        <f t="shared" si="567"/>
        <v>61</v>
      </c>
      <c r="HW76" s="388">
        <v>21</v>
      </c>
      <c r="HX76" s="388">
        <v>29</v>
      </c>
      <c r="HY76" s="388">
        <f t="shared" si="568"/>
        <v>50</v>
      </c>
      <c r="HZ76" s="388">
        <v>21</v>
      </c>
      <c r="IA76" s="388">
        <v>26</v>
      </c>
      <c r="IB76" s="388">
        <f t="shared" si="569"/>
        <v>47</v>
      </c>
      <c r="IC76" s="388">
        <v>17</v>
      </c>
      <c r="ID76" s="388">
        <v>23</v>
      </c>
      <c r="IE76" s="388">
        <f t="shared" si="570"/>
        <v>40</v>
      </c>
      <c r="IF76" s="388">
        <v>9</v>
      </c>
      <c r="IG76" s="388">
        <v>22</v>
      </c>
      <c r="IH76" s="388">
        <f t="shared" si="571"/>
        <v>31</v>
      </c>
      <c r="II76" s="388">
        <v>17</v>
      </c>
      <c r="IJ76" s="388">
        <v>16</v>
      </c>
      <c r="IK76" s="388">
        <f t="shared" si="572"/>
        <v>33</v>
      </c>
      <c r="IL76" s="388">
        <v>9</v>
      </c>
      <c r="IM76" s="388">
        <v>14</v>
      </c>
      <c r="IN76" s="388">
        <f t="shared" si="573"/>
        <v>23</v>
      </c>
      <c r="IO76" s="388">
        <v>9</v>
      </c>
      <c r="IP76" s="388">
        <v>12</v>
      </c>
      <c r="IQ76" s="388">
        <f t="shared" si="574"/>
        <v>21</v>
      </c>
      <c r="IR76" s="388">
        <v>7</v>
      </c>
      <c r="IS76" s="388">
        <v>9</v>
      </c>
      <c r="IT76" s="388">
        <f t="shared" si="575"/>
        <v>16</v>
      </c>
      <c r="IU76" s="388">
        <v>6</v>
      </c>
      <c r="IV76" s="388">
        <v>5</v>
      </c>
      <c r="IW76" s="388">
        <f t="shared" si="576"/>
        <v>11</v>
      </c>
      <c r="IX76" s="388">
        <v>5</v>
      </c>
      <c r="IY76" s="388">
        <v>7</v>
      </c>
      <c r="IZ76" s="388">
        <f t="shared" si="577"/>
        <v>12</v>
      </c>
      <c r="JA76" s="388">
        <v>7</v>
      </c>
      <c r="JB76" s="388">
        <v>12</v>
      </c>
      <c r="JC76" s="388">
        <f t="shared" si="578"/>
        <v>19</v>
      </c>
      <c r="JD76" s="388">
        <v>2</v>
      </c>
      <c r="JE76" s="388">
        <v>7</v>
      </c>
      <c r="JF76" s="388">
        <f t="shared" si="579"/>
        <v>9</v>
      </c>
      <c r="JG76" s="388">
        <v>2</v>
      </c>
      <c r="JH76" s="388">
        <v>6</v>
      </c>
      <c r="JI76" s="388">
        <f t="shared" si="580"/>
        <v>8</v>
      </c>
      <c r="JJ76" s="388">
        <v>2</v>
      </c>
      <c r="JK76" s="388">
        <v>7</v>
      </c>
      <c r="JL76" s="388">
        <f t="shared" si="581"/>
        <v>9</v>
      </c>
      <c r="JM76" s="388">
        <v>1</v>
      </c>
      <c r="JN76" s="388">
        <v>4</v>
      </c>
      <c r="JO76" s="388">
        <f t="shared" si="582"/>
        <v>5</v>
      </c>
      <c r="JP76" s="388">
        <v>2</v>
      </c>
      <c r="JQ76" s="388">
        <v>3</v>
      </c>
      <c r="JR76" s="388">
        <f t="shared" si="583"/>
        <v>5</v>
      </c>
      <c r="JS76" s="388">
        <v>1</v>
      </c>
      <c r="JT76" s="388">
        <v>2</v>
      </c>
      <c r="JU76" s="388">
        <f t="shared" si="584"/>
        <v>3</v>
      </c>
      <c r="JV76" s="388">
        <v>4</v>
      </c>
      <c r="JW76" s="388">
        <v>1</v>
      </c>
      <c r="JX76" s="388">
        <f t="shared" si="585"/>
        <v>5</v>
      </c>
      <c r="JY76" s="388">
        <v>1</v>
      </c>
      <c r="JZ76" s="388">
        <v>1</v>
      </c>
      <c r="KA76" s="388">
        <f t="shared" si="586"/>
        <v>2</v>
      </c>
      <c r="KB76" s="388">
        <v>0</v>
      </c>
      <c r="KC76" s="388">
        <v>0</v>
      </c>
      <c r="KD76" s="388">
        <f t="shared" si="587"/>
        <v>0</v>
      </c>
      <c r="KE76" s="388">
        <v>0</v>
      </c>
      <c r="KF76" s="388">
        <v>1</v>
      </c>
      <c r="KG76" s="388">
        <f t="shared" si="588"/>
        <v>1</v>
      </c>
      <c r="KH76" s="388">
        <v>0</v>
      </c>
      <c r="KI76" s="388">
        <v>1</v>
      </c>
      <c r="KJ76" s="388">
        <f t="shared" si="589"/>
        <v>1</v>
      </c>
      <c r="KK76" s="388">
        <v>0</v>
      </c>
      <c r="KL76" s="388">
        <v>0</v>
      </c>
      <c r="KM76" s="388">
        <f t="shared" si="590"/>
        <v>0</v>
      </c>
      <c r="KN76" s="388">
        <v>0</v>
      </c>
      <c r="KO76" s="388">
        <v>0</v>
      </c>
      <c r="KP76" s="388">
        <f t="shared" si="591"/>
        <v>0</v>
      </c>
      <c r="KQ76" s="388">
        <v>0</v>
      </c>
      <c r="KR76" s="388">
        <v>0</v>
      </c>
      <c r="KS76" s="388">
        <f t="shared" si="592"/>
        <v>0</v>
      </c>
      <c r="KT76" s="388">
        <v>0</v>
      </c>
      <c r="KU76" s="388">
        <v>0</v>
      </c>
      <c r="KV76" s="388">
        <f t="shared" si="593"/>
        <v>0</v>
      </c>
      <c r="KW76" s="388">
        <v>0</v>
      </c>
      <c r="KX76" s="388">
        <v>0</v>
      </c>
      <c r="KY76" s="388">
        <f t="shared" si="594"/>
        <v>0</v>
      </c>
      <c r="KZ76" s="388">
        <v>0</v>
      </c>
      <c r="LA76" s="388">
        <v>0</v>
      </c>
      <c r="LB76" s="388">
        <f t="shared" si="595"/>
        <v>0</v>
      </c>
      <c r="LC76" s="388">
        <v>0</v>
      </c>
      <c r="LD76" s="388">
        <v>0</v>
      </c>
      <c r="LE76" s="388">
        <f t="shared" si="596"/>
        <v>0</v>
      </c>
      <c r="LF76" s="388">
        <v>0</v>
      </c>
      <c r="LG76" s="388">
        <v>0</v>
      </c>
      <c r="LH76" s="388">
        <f t="shared" si="597"/>
        <v>0</v>
      </c>
      <c r="LI76" s="388">
        <v>0</v>
      </c>
      <c r="LJ76" s="388">
        <v>0</v>
      </c>
      <c r="LK76" s="388">
        <f t="shared" si="598"/>
        <v>0</v>
      </c>
      <c r="LL76" s="388">
        <v>0</v>
      </c>
      <c r="LM76" s="388">
        <v>0</v>
      </c>
      <c r="LN76" s="388">
        <f t="shared" si="599"/>
        <v>0</v>
      </c>
      <c r="LO76" s="388">
        <v>0</v>
      </c>
      <c r="LP76" s="388">
        <v>0</v>
      </c>
      <c r="LQ76" s="388">
        <f t="shared" si="600"/>
        <v>0</v>
      </c>
      <c r="LR76" s="388">
        <v>0</v>
      </c>
      <c r="LS76" s="388">
        <v>0</v>
      </c>
      <c r="LT76" s="388">
        <f t="shared" si="601"/>
        <v>0</v>
      </c>
      <c r="LU76" s="388">
        <v>0</v>
      </c>
      <c r="LV76" s="388">
        <v>0</v>
      </c>
      <c r="LW76" s="388">
        <f t="shared" si="602"/>
        <v>0</v>
      </c>
      <c r="LX76" s="388">
        <v>0</v>
      </c>
      <c r="LY76" s="388">
        <v>0</v>
      </c>
      <c r="LZ76" s="388">
        <f t="shared" si="603"/>
        <v>0</v>
      </c>
      <c r="MA76" s="388">
        <v>0</v>
      </c>
      <c r="MB76" s="388">
        <v>0</v>
      </c>
      <c r="MC76" s="388">
        <f t="shared" si="604"/>
        <v>0</v>
      </c>
      <c r="MD76" s="388">
        <v>0</v>
      </c>
      <c r="ME76" s="388">
        <v>0</v>
      </c>
      <c r="MF76" s="388">
        <f t="shared" si="605"/>
        <v>0</v>
      </c>
      <c r="MG76" s="388">
        <v>0</v>
      </c>
      <c r="MH76" s="388">
        <v>0</v>
      </c>
      <c r="MI76" s="388">
        <f t="shared" si="606"/>
        <v>0</v>
      </c>
      <c r="MJ76" s="388">
        <v>0</v>
      </c>
      <c r="MK76" s="388">
        <v>0</v>
      </c>
      <c r="ML76" s="388">
        <f t="shared" si="607"/>
        <v>0</v>
      </c>
      <c r="MM76" s="388">
        <v>0</v>
      </c>
      <c r="MN76" s="388">
        <v>0</v>
      </c>
      <c r="MO76" s="388">
        <f t="shared" si="608"/>
        <v>0</v>
      </c>
      <c r="MP76" s="388">
        <v>0</v>
      </c>
      <c r="MQ76" s="388">
        <v>0</v>
      </c>
      <c r="MR76" s="388">
        <f t="shared" si="609"/>
        <v>0</v>
      </c>
      <c r="MS76" s="388">
        <v>0</v>
      </c>
      <c r="MT76" s="388">
        <v>0</v>
      </c>
      <c r="MU76" s="388">
        <f t="shared" si="610"/>
        <v>0</v>
      </c>
      <c r="MV76" s="388">
        <v>0</v>
      </c>
      <c r="MW76" s="388">
        <v>0</v>
      </c>
      <c r="MX76" s="388">
        <f t="shared" si="611"/>
        <v>0</v>
      </c>
      <c r="MY76" s="388">
        <v>0</v>
      </c>
      <c r="MZ76" s="388">
        <v>0</v>
      </c>
      <c r="NA76" s="562">
        <f t="shared" si="612"/>
        <v>0</v>
      </c>
      <c r="NB76" s="388">
        <v>0</v>
      </c>
      <c r="NC76" s="388">
        <v>0</v>
      </c>
      <c r="ND76" s="560">
        <f t="shared" si="613"/>
        <v>0</v>
      </c>
      <c r="NE76" s="559">
        <f t="shared" si="618"/>
        <v>11317</v>
      </c>
      <c r="NF76" s="388">
        <f t="shared" si="618"/>
        <v>11259</v>
      </c>
      <c r="NG76" s="560">
        <f t="shared" si="614"/>
        <v>22576</v>
      </c>
      <c r="NH76" s="559">
        <f t="shared" si="615"/>
        <v>750</v>
      </c>
      <c r="NI76" s="388">
        <f t="shared" si="616"/>
        <v>713</v>
      </c>
      <c r="NJ76" s="560">
        <f t="shared" si="617"/>
        <v>1463</v>
      </c>
    </row>
    <row r="77" spans="1:374" ht="14.5" thickBot="1" x14ac:dyDescent="0.35">
      <c r="A77" s="563" t="s">
        <v>320</v>
      </c>
      <c r="B77" s="593" t="s">
        <v>151</v>
      </c>
      <c r="C77" s="577">
        <v>117</v>
      </c>
      <c r="D77" s="396">
        <v>124</v>
      </c>
      <c r="E77" s="396">
        <f t="shared" si="492"/>
        <v>241</v>
      </c>
      <c r="F77" s="396">
        <v>131</v>
      </c>
      <c r="G77" s="396">
        <v>143</v>
      </c>
      <c r="H77" s="396">
        <f t="shared" si="493"/>
        <v>274</v>
      </c>
      <c r="I77" s="396">
        <v>199</v>
      </c>
      <c r="J77" s="396">
        <v>162</v>
      </c>
      <c r="K77" s="396">
        <f t="shared" si="494"/>
        <v>361</v>
      </c>
      <c r="L77" s="396">
        <v>208</v>
      </c>
      <c r="M77" s="396">
        <v>192</v>
      </c>
      <c r="N77" s="396">
        <f t="shared" si="495"/>
        <v>400</v>
      </c>
      <c r="O77" s="396">
        <v>212</v>
      </c>
      <c r="P77" s="396">
        <v>200</v>
      </c>
      <c r="Q77" s="396">
        <f t="shared" si="496"/>
        <v>412</v>
      </c>
      <c r="R77" s="396">
        <v>230</v>
      </c>
      <c r="S77" s="396">
        <v>224</v>
      </c>
      <c r="T77" s="396">
        <f t="shared" si="497"/>
        <v>454</v>
      </c>
      <c r="U77" s="396">
        <v>236</v>
      </c>
      <c r="V77" s="396">
        <v>248</v>
      </c>
      <c r="W77" s="396">
        <f t="shared" si="498"/>
        <v>484</v>
      </c>
      <c r="X77" s="396">
        <v>266</v>
      </c>
      <c r="Y77" s="396">
        <v>272</v>
      </c>
      <c r="Z77" s="396">
        <f t="shared" si="499"/>
        <v>538</v>
      </c>
      <c r="AA77" s="396">
        <v>239</v>
      </c>
      <c r="AB77" s="396">
        <v>240</v>
      </c>
      <c r="AC77" s="396">
        <f t="shared" si="500"/>
        <v>479</v>
      </c>
      <c r="AD77" s="396">
        <v>251</v>
      </c>
      <c r="AE77" s="396">
        <v>236</v>
      </c>
      <c r="AF77" s="396">
        <f t="shared" si="501"/>
        <v>487</v>
      </c>
      <c r="AG77" s="396">
        <v>251</v>
      </c>
      <c r="AH77" s="396">
        <v>229</v>
      </c>
      <c r="AI77" s="396">
        <f t="shared" si="502"/>
        <v>480</v>
      </c>
      <c r="AJ77" s="396">
        <v>226</v>
      </c>
      <c r="AK77" s="396">
        <v>202</v>
      </c>
      <c r="AL77" s="396">
        <f t="shared" si="503"/>
        <v>428</v>
      </c>
      <c r="AM77" s="396">
        <v>226</v>
      </c>
      <c r="AN77" s="396">
        <v>204</v>
      </c>
      <c r="AO77" s="396">
        <f t="shared" si="504"/>
        <v>430</v>
      </c>
      <c r="AP77" s="396">
        <v>220</v>
      </c>
      <c r="AQ77" s="396">
        <v>192</v>
      </c>
      <c r="AR77" s="396">
        <f t="shared" si="505"/>
        <v>412</v>
      </c>
      <c r="AS77" s="396">
        <v>264</v>
      </c>
      <c r="AT77" s="396">
        <v>231</v>
      </c>
      <c r="AU77" s="396">
        <f t="shared" si="506"/>
        <v>495</v>
      </c>
      <c r="AV77" s="396">
        <v>240</v>
      </c>
      <c r="AW77" s="396">
        <v>206</v>
      </c>
      <c r="AX77" s="396">
        <f t="shared" si="507"/>
        <v>446</v>
      </c>
      <c r="AY77" s="396">
        <v>220</v>
      </c>
      <c r="AZ77" s="396">
        <v>237</v>
      </c>
      <c r="BA77" s="396">
        <f t="shared" si="508"/>
        <v>457</v>
      </c>
      <c r="BB77" s="396">
        <v>233</v>
      </c>
      <c r="BC77" s="396">
        <v>201</v>
      </c>
      <c r="BD77" s="396">
        <f t="shared" si="509"/>
        <v>434</v>
      </c>
      <c r="BE77" s="396">
        <v>229</v>
      </c>
      <c r="BF77" s="396">
        <v>227</v>
      </c>
      <c r="BG77" s="396">
        <f t="shared" si="510"/>
        <v>456</v>
      </c>
      <c r="BH77" s="396">
        <v>259</v>
      </c>
      <c r="BI77" s="396">
        <v>241</v>
      </c>
      <c r="BJ77" s="396">
        <f t="shared" si="511"/>
        <v>500</v>
      </c>
      <c r="BK77" s="396">
        <v>231</v>
      </c>
      <c r="BL77" s="396">
        <v>208</v>
      </c>
      <c r="BM77" s="396">
        <f t="shared" si="512"/>
        <v>439</v>
      </c>
      <c r="BN77" s="396">
        <v>208</v>
      </c>
      <c r="BO77" s="396">
        <v>220</v>
      </c>
      <c r="BP77" s="396">
        <f t="shared" si="513"/>
        <v>428</v>
      </c>
      <c r="BQ77" s="396">
        <v>233</v>
      </c>
      <c r="BR77" s="396">
        <v>213</v>
      </c>
      <c r="BS77" s="396">
        <f t="shared" si="514"/>
        <v>446</v>
      </c>
      <c r="BT77" s="396">
        <v>241</v>
      </c>
      <c r="BU77" s="396">
        <v>220</v>
      </c>
      <c r="BV77" s="396">
        <f t="shared" si="515"/>
        <v>461</v>
      </c>
      <c r="BW77" s="396">
        <v>218</v>
      </c>
      <c r="BX77" s="396">
        <v>215</v>
      </c>
      <c r="BY77" s="396">
        <f t="shared" si="516"/>
        <v>433</v>
      </c>
      <c r="BZ77" s="396">
        <v>236</v>
      </c>
      <c r="CA77" s="396">
        <v>243</v>
      </c>
      <c r="CB77" s="396">
        <f t="shared" si="517"/>
        <v>479</v>
      </c>
      <c r="CC77" s="396">
        <v>229</v>
      </c>
      <c r="CD77" s="396">
        <v>251</v>
      </c>
      <c r="CE77" s="396">
        <f t="shared" si="518"/>
        <v>480</v>
      </c>
      <c r="CF77" s="396">
        <v>212</v>
      </c>
      <c r="CG77" s="396">
        <v>204</v>
      </c>
      <c r="CH77" s="396">
        <f t="shared" si="519"/>
        <v>416</v>
      </c>
      <c r="CI77" s="396">
        <v>241</v>
      </c>
      <c r="CJ77" s="396">
        <v>239</v>
      </c>
      <c r="CK77" s="396">
        <f t="shared" si="520"/>
        <v>480</v>
      </c>
      <c r="CL77" s="396">
        <v>223</v>
      </c>
      <c r="CM77" s="396">
        <v>243</v>
      </c>
      <c r="CN77" s="396">
        <f t="shared" si="521"/>
        <v>466</v>
      </c>
      <c r="CO77" s="396">
        <v>259</v>
      </c>
      <c r="CP77" s="396">
        <v>242</v>
      </c>
      <c r="CQ77" s="396">
        <f t="shared" si="522"/>
        <v>501</v>
      </c>
      <c r="CR77" s="396">
        <v>219</v>
      </c>
      <c r="CS77" s="396">
        <v>235</v>
      </c>
      <c r="CT77" s="396">
        <f t="shared" si="523"/>
        <v>454</v>
      </c>
      <c r="CU77" s="396">
        <v>244</v>
      </c>
      <c r="CV77" s="396">
        <v>244</v>
      </c>
      <c r="CW77" s="396">
        <f t="shared" si="524"/>
        <v>488</v>
      </c>
      <c r="CX77" s="396">
        <v>215</v>
      </c>
      <c r="CY77" s="396">
        <v>246</v>
      </c>
      <c r="CZ77" s="396">
        <f t="shared" si="525"/>
        <v>461</v>
      </c>
      <c r="DA77" s="396">
        <v>247</v>
      </c>
      <c r="DB77" s="396">
        <v>207</v>
      </c>
      <c r="DC77" s="396">
        <f t="shared" si="526"/>
        <v>454</v>
      </c>
      <c r="DD77" s="396">
        <v>224</v>
      </c>
      <c r="DE77" s="396">
        <v>209</v>
      </c>
      <c r="DF77" s="396">
        <f t="shared" si="527"/>
        <v>433</v>
      </c>
      <c r="DG77" s="396">
        <v>223</v>
      </c>
      <c r="DH77" s="396">
        <v>262</v>
      </c>
      <c r="DI77" s="396">
        <f t="shared" si="528"/>
        <v>485</v>
      </c>
      <c r="DJ77" s="396">
        <v>179</v>
      </c>
      <c r="DK77" s="396">
        <v>202</v>
      </c>
      <c r="DL77" s="396">
        <f t="shared" si="529"/>
        <v>381</v>
      </c>
      <c r="DM77" s="396">
        <v>191</v>
      </c>
      <c r="DN77" s="396">
        <v>193</v>
      </c>
      <c r="DO77" s="396">
        <f t="shared" si="530"/>
        <v>384</v>
      </c>
      <c r="DP77" s="396">
        <v>208</v>
      </c>
      <c r="DQ77" s="396">
        <v>205</v>
      </c>
      <c r="DR77" s="396">
        <f t="shared" si="531"/>
        <v>413</v>
      </c>
      <c r="DS77" s="396">
        <v>195</v>
      </c>
      <c r="DT77" s="396">
        <v>221</v>
      </c>
      <c r="DU77" s="396">
        <f t="shared" si="532"/>
        <v>416</v>
      </c>
      <c r="DV77" s="396">
        <v>216</v>
      </c>
      <c r="DW77" s="396">
        <v>216</v>
      </c>
      <c r="DX77" s="396">
        <f t="shared" si="533"/>
        <v>432</v>
      </c>
      <c r="DY77" s="396">
        <v>219</v>
      </c>
      <c r="DZ77" s="396">
        <v>220</v>
      </c>
      <c r="EA77" s="396">
        <f t="shared" si="534"/>
        <v>439</v>
      </c>
      <c r="EB77" s="396">
        <v>263</v>
      </c>
      <c r="EC77" s="396">
        <v>237</v>
      </c>
      <c r="ED77" s="396">
        <f t="shared" si="535"/>
        <v>500</v>
      </c>
      <c r="EE77" s="396">
        <v>227</v>
      </c>
      <c r="EF77" s="396">
        <v>241</v>
      </c>
      <c r="EG77" s="396">
        <f t="shared" si="536"/>
        <v>468</v>
      </c>
      <c r="EH77" s="396">
        <v>219</v>
      </c>
      <c r="EI77" s="396">
        <v>232</v>
      </c>
      <c r="EJ77" s="396">
        <f t="shared" si="537"/>
        <v>451</v>
      </c>
      <c r="EK77" s="396">
        <v>198</v>
      </c>
      <c r="EL77" s="396">
        <v>209</v>
      </c>
      <c r="EM77" s="396">
        <f t="shared" si="538"/>
        <v>407</v>
      </c>
      <c r="EN77" s="396">
        <v>239</v>
      </c>
      <c r="EO77" s="396">
        <v>213</v>
      </c>
      <c r="EP77" s="396">
        <f t="shared" si="539"/>
        <v>452</v>
      </c>
      <c r="EQ77" s="396">
        <v>194</v>
      </c>
      <c r="ER77" s="396">
        <v>203</v>
      </c>
      <c r="ES77" s="396">
        <f t="shared" si="540"/>
        <v>397</v>
      </c>
      <c r="ET77" s="396">
        <v>186</v>
      </c>
      <c r="EU77" s="396">
        <v>197</v>
      </c>
      <c r="EV77" s="396">
        <f t="shared" si="541"/>
        <v>383</v>
      </c>
      <c r="EW77" s="396">
        <v>196</v>
      </c>
      <c r="EX77" s="396">
        <v>219</v>
      </c>
      <c r="EY77" s="396">
        <f t="shared" si="542"/>
        <v>415</v>
      </c>
      <c r="EZ77" s="396">
        <v>182</v>
      </c>
      <c r="FA77" s="396">
        <v>207</v>
      </c>
      <c r="FB77" s="396">
        <f t="shared" si="543"/>
        <v>389</v>
      </c>
      <c r="FC77" s="396">
        <v>176</v>
      </c>
      <c r="FD77" s="396">
        <v>169</v>
      </c>
      <c r="FE77" s="396">
        <f t="shared" si="544"/>
        <v>345</v>
      </c>
      <c r="FF77" s="396">
        <v>176</v>
      </c>
      <c r="FG77" s="396">
        <v>179</v>
      </c>
      <c r="FH77" s="396">
        <f t="shared" si="545"/>
        <v>355</v>
      </c>
      <c r="FI77" s="396">
        <v>208</v>
      </c>
      <c r="FJ77" s="396">
        <v>180</v>
      </c>
      <c r="FK77" s="396">
        <f t="shared" si="546"/>
        <v>388</v>
      </c>
      <c r="FL77" s="396">
        <v>177</v>
      </c>
      <c r="FM77" s="396">
        <v>161</v>
      </c>
      <c r="FN77" s="396">
        <f t="shared" si="547"/>
        <v>338</v>
      </c>
      <c r="FO77" s="396">
        <v>195</v>
      </c>
      <c r="FP77" s="396">
        <v>165</v>
      </c>
      <c r="FQ77" s="396">
        <f t="shared" si="548"/>
        <v>360</v>
      </c>
      <c r="FR77" s="396">
        <v>148</v>
      </c>
      <c r="FS77" s="396">
        <v>177</v>
      </c>
      <c r="FT77" s="396">
        <f t="shared" si="549"/>
        <v>325</v>
      </c>
      <c r="FU77" s="396">
        <v>130</v>
      </c>
      <c r="FV77" s="396">
        <v>153</v>
      </c>
      <c r="FW77" s="396">
        <f t="shared" si="550"/>
        <v>283</v>
      </c>
      <c r="FX77" s="396">
        <v>124</v>
      </c>
      <c r="FY77" s="396">
        <v>148</v>
      </c>
      <c r="FZ77" s="396">
        <f t="shared" si="551"/>
        <v>272</v>
      </c>
      <c r="GA77" s="396">
        <v>155</v>
      </c>
      <c r="GB77" s="396">
        <v>169</v>
      </c>
      <c r="GC77" s="396">
        <f t="shared" si="552"/>
        <v>324</v>
      </c>
      <c r="GD77" s="396">
        <v>135</v>
      </c>
      <c r="GE77" s="396">
        <v>144</v>
      </c>
      <c r="GF77" s="396">
        <f t="shared" si="553"/>
        <v>279</v>
      </c>
      <c r="GG77" s="396">
        <v>122</v>
      </c>
      <c r="GH77" s="396">
        <v>138</v>
      </c>
      <c r="GI77" s="396">
        <f t="shared" si="554"/>
        <v>260</v>
      </c>
      <c r="GJ77" s="396">
        <v>136</v>
      </c>
      <c r="GK77" s="396">
        <v>135</v>
      </c>
      <c r="GL77" s="396">
        <f t="shared" si="555"/>
        <v>271</v>
      </c>
      <c r="GM77" s="396">
        <v>104</v>
      </c>
      <c r="GN77" s="396">
        <v>96</v>
      </c>
      <c r="GO77" s="396">
        <f t="shared" si="556"/>
        <v>200</v>
      </c>
      <c r="GP77" s="396">
        <v>89</v>
      </c>
      <c r="GQ77" s="396">
        <v>100</v>
      </c>
      <c r="GR77" s="396">
        <f t="shared" si="557"/>
        <v>189</v>
      </c>
      <c r="GS77" s="396">
        <v>90</v>
      </c>
      <c r="GT77" s="396">
        <v>106</v>
      </c>
      <c r="GU77" s="396">
        <f t="shared" si="558"/>
        <v>196</v>
      </c>
      <c r="GV77" s="396">
        <v>102</v>
      </c>
      <c r="GW77" s="396">
        <v>79</v>
      </c>
      <c r="GX77" s="396">
        <f t="shared" si="559"/>
        <v>181</v>
      </c>
      <c r="GY77" s="396">
        <v>67</v>
      </c>
      <c r="GZ77" s="396">
        <v>80</v>
      </c>
      <c r="HA77" s="396">
        <f t="shared" si="560"/>
        <v>147</v>
      </c>
      <c r="HB77" s="396">
        <v>73</v>
      </c>
      <c r="HC77" s="396">
        <v>67</v>
      </c>
      <c r="HD77" s="396">
        <f t="shared" si="561"/>
        <v>140</v>
      </c>
      <c r="HE77" s="396">
        <v>68</v>
      </c>
      <c r="HF77" s="396">
        <v>66</v>
      </c>
      <c r="HG77" s="396">
        <f t="shared" si="562"/>
        <v>134</v>
      </c>
      <c r="HH77" s="396">
        <v>42</v>
      </c>
      <c r="HI77" s="396">
        <v>68</v>
      </c>
      <c r="HJ77" s="396">
        <f t="shared" si="563"/>
        <v>110</v>
      </c>
      <c r="HK77" s="396">
        <v>71</v>
      </c>
      <c r="HL77" s="396">
        <v>52</v>
      </c>
      <c r="HM77" s="396">
        <f t="shared" si="564"/>
        <v>123</v>
      </c>
      <c r="HN77" s="396">
        <v>53</v>
      </c>
      <c r="HO77" s="396">
        <v>51</v>
      </c>
      <c r="HP77" s="396">
        <f t="shared" si="565"/>
        <v>104</v>
      </c>
      <c r="HQ77" s="396">
        <v>35</v>
      </c>
      <c r="HR77" s="396">
        <v>46</v>
      </c>
      <c r="HS77" s="396">
        <f t="shared" si="566"/>
        <v>81</v>
      </c>
      <c r="HT77" s="396">
        <v>27</v>
      </c>
      <c r="HU77" s="396">
        <v>40</v>
      </c>
      <c r="HV77" s="396">
        <f t="shared" si="567"/>
        <v>67</v>
      </c>
      <c r="HW77" s="396">
        <v>44</v>
      </c>
      <c r="HX77" s="396">
        <v>45</v>
      </c>
      <c r="HY77" s="396">
        <f t="shared" si="568"/>
        <v>89</v>
      </c>
      <c r="HZ77" s="396">
        <v>25</v>
      </c>
      <c r="IA77" s="396">
        <v>19</v>
      </c>
      <c r="IB77" s="396">
        <f t="shared" si="569"/>
        <v>44</v>
      </c>
      <c r="IC77" s="396">
        <v>14</v>
      </c>
      <c r="ID77" s="396">
        <v>20</v>
      </c>
      <c r="IE77" s="396">
        <f t="shared" si="570"/>
        <v>34</v>
      </c>
      <c r="IF77" s="396">
        <v>15</v>
      </c>
      <c r="IG77" s="396">
        <v>28</v>
      </c>
      <c r="IH77" s="396">
        <f t="shared" si="571"/>
        <v>43</v>
      </c>
      <c r="II77" s="396">
        <v>15</v>
      </c>
      <c r="IJ77" s="396">
        <v>17</v>
      </c>
      <c r="IK77" s="396">
        <f t="shared" si="572"/>
        <v>32</v>
      </c>
      <c r="IL77" s="396">
        <v>9</v>
      </c>
      <c r="IM77" s="396">
        <v>11</v>
      </c>
      <c r="IN77" s="396">
        <f t="shared" si="573"/>
        <v>20</v>
      </c>
      <c r="IO77" s="396">
        <v>12</v>
      </c>
      <c r="IP77" s="396">
        <v>15</v>
      </c>
      <c r="IQ77" s="396">
        <f t="shared" si="574"/>
        <v>27</v>
      </c>
      <c r="IR77" s="396">
        <v>10</v>
      </c>
      <c r="IS77" s="396">
        <v>23</v>
      </c>
      <c r="IT77" s="396">
        <f t="shared" si="575"/>
        <v>33</v>
      </c>
      <c r="IU77" s="396">
        <v>8</v>
      </c>
      <c r="IV77" s="396">
        <v>6</v>
      </c>
      <c r="IW77" s="396">
        <f t="shared" si="576"/>
        <v>14</v>
      </c>
      <c r="IX77" s="396">
        <v>4</v>
      </c>
      <c r="IY77" s="396">
        <v>11</v>
      </c>
      <c r="IZ77" s="396">
        <f t="shared" si="577"/>
        <v>15</v>
      </c>
      <c r="JA77" s="396">
        <v>8</v>
      </c>
      <c r="JB77" s="396">
        <v>3</v>
      </c>
      <c r="JC77" s="396">
        <f t="shared" si="578"/>
        <v>11</v>
      </c>
      <c r="JD77" s="396">
        <v>1</v>
      </c>
      <c r="JE77" s="396">
        <v>5</v>
      </c>
      <c r="JF77" s="396">
        <f t="shared" si="579"/>
        <v>6</v>
      </c>
      <c r="JG77" s="396">
        <v>4</v>
      </c>
      <c r="JH77" s="396">
        <v>8</v>
      </c>
      <c r="JI77" s="396">
        <f t="shared" si="580"/>
        <v>12</v>
      </c>
      <c r="JJ77" s="396">
        <v>2</v>
      </c>
      <c r="JK77" s="396">
        <v>6</v>
      </c>
      <c r="JL77" s="396">
        <f t="shared" si="581"/>
        <v>8</v>
      </c>
      <c r="JM77" s="396">
        <v>0</v>
      </c>
      <c r="JN77" s="396">
        <v>4</v>
      </c>
      <c r="JO77" s="396">
        <f t="shared" si="582"/>
        <v>4</v>
      </c>
      <c r="JP77" s="396">
        <v>5</v>
      </c>
      <c r="JQ77" s="396">
        <v>2</v>
      </c>
      <c r="JR77" s="396">
        <f t="shared" si="583"/>
        <v>7</v>
      </c>
      <c r="JS77" s="396">
        <v>2</v>
      </c>
      <c r="JT77" s="396">
        <v>2</v>
      </c>
      <c r="JU77" s="396">
        <f t="shared" si="584"/>
        <v>4</v>
      </c>
      <c r="JV77" s="396">
        <v>1</v>
      </c>
      <c r="JW77" s="396">
        <v>3</v>
      </c>
      <c r="JX77" s="396">
        <f t="shared" si="585"/>
        <v>4</v>
      </c>
      <c r="JY77" s="396">
        <v>0</v>
      </c>
      <c r="JZ77" s="396">
        <v>1</v>
      </c>
      <c r="KA77" s="396">
        <f t="shared" si="586"/>
        <v>1</v>
      </c>
      <c r="KB77" s="396">
        <v>1</v>
      </c>
      <c r="KC77" s="396">
        <v>1</v>
      </c>
      <c r="KD77" s="396">
        <f t="shared" si="587"/>
        <v>2</v>
      </c>
      <c r="KE77" s="396">
        <v>1</v>
      </c>
      <c r="KF77" s="396">
        <v>1</v>
      </c>
      <c r="KG77" s="396">
        <f t="shared" si="588"/>
        <v>2</v>
      </c>
      <c r="KH77" s="396">
        <v>0</v>
      </c>
      <c r="KI77" s="396">
        <v>0</v>
      </c>
      <c r="KJ77" s="396">
        <f t="shared" si="589"/>
        <v>0</v>
      </c>
      <c r="KK77" s="396">
        <v>0</v>
      </c>
      <c r="KL77" s="396">
        <v>1</v>
      </c>
      <c r="KM77" s="396">
        <f t="shared" si="590"/>
        <v>1</v>
      </c>
      <c r="KN77" s="396">
        <v>0</v>
      </c>
      <c r="KO77" s="396">
        <v>0</v>
      </c>
      <c r="KP77" s="396">
        <f t="shared" si="591"/>
        <v>0</v>
      </c>
      <c r="KQ77" s="396">
        <v>0</v>
      </c>
      <c r="KR77" s="396">
        <v>0</v>
      </c>
      <c r="KS77" s="396">
        <f t="shared" si="592"/>
        <v>0</v>
      </c>
      <c r="KT77" s="396">
        <v>0</v>
      </c>
      <c r="KU77" s="396">
        <v>1</v>
      </c>
      <c r="KV77" s="396">
        <f t="shared" si="593"/>
        <v>1</v>
      </c>
      <c r="KW77" s="396">
        <v>0</v>
      </c>
      <c r="KX77" s="396">
        <v>0</v>
      </c>
      <c r="KY77" s="396">
        <f t="shared" si="594"/>
        <v>0</v>
      </c>
      <c r="KZ77" s="396">
        <v>0</v>
      </c>
      <c r="LA77" s="396">
        <v>0</v>
      </c>
      <c r="LB77" s="396">
        <f t="shared" si="595"/>
        <v>0</v>
      </c>
      <c r="LC77" s="396">
        <v>0</v>
      </c>
      <c r="LD77" s="396">
        <v>0</v>
      </c>
      <c r="LE77" s="396">
        <f t="shared" si="596"/>
        <v>0</v>
      </c>
      <c r="LF77" s="396">
        <v>0</v>
      </c>
      <c r="LG77" s="396">
        <v>0</v>
      </c>
      <c r="LH77" s="396">
        <f t="shared" si="597"/>
        <v>0</v>
      </c>
      <c r="LI77" s="396">
        <v>0</v>
      </c>
      <c r="LJ77" s="396">
        <v>0</v>
      </c>
      <c r="LK77" s="396">
        <f t="shared" si="598"/>
        <v>0</v>
      </c>
      <c r="LL77" s="396">
        <v>0</v>
      </c>
      <c r="LM77" s="396">
        <v>0</v>
      </c>
      <c r="LN77" s="396">
        <f t="shared" si="599"/>
        <v>0</v>
      </c>
      <c r="LO77" s="396">
        <v>0</v>
      </c>
      <c r="LP77" s="396">
        <v>0</v>
      </c>
      <c r="LQ77" s="396">
        <f t="shared" si="600"/>
        <v>0</v>
      </c>
      <c r="LR77" s="396">
        <v>0</v>
      </c>
      <c r="LS77" s="396">
        <v>0</v>
      </c>
      <c r="LT77" s="396">
        <f t="shared" si="601"/>
        <v>0</v>
      </c>
      <c r="LU77" s="396">
        <v>0</v>
      </c>
      <c r="LV77" s="396">
        <v>0</v>
      </c>
      <c r="LW77" s="396">
        <f t="shared" si="602"/>
        <v>0</v>
      </c>
      <c r="LX77" s="396">
        <v>0</v>
      </c>
      <c r="LY77" s="396">
        <v>0</v>
      </c>
      <c r="LZ77" s="396">
        <f t="shared" si="603"/>
        <v>0</v>
      </c>
      <c r="MA77" s="396">
        <v>0</v>
      </c>
      <c r="MB77" s="396">
        <v>0</v>
      </c>
      <c r="MC77" s="396">
        <f t="shared" si="604"/>
        <v>0</v>
      </c>
      <c r="MD77" s="396">
        <v>0</v>
      </c>
      <c r="ME77" s="396">
        <v>0</v>
      </c>
      <c r="MF77" s="396">
        <f t="shared" si="605"/>
        <v>0</v>
      </c>
      <c r="MG77" s="396">
        <v>0</v>
      </c>
      <c r="MH77" s="396">
        <v>0</v>
      </c>
      <c r="MI77" s="396">
        <f t="shared" si="606"/>
        <v>0</v>
      </c>
      <c r="MJ77" s="396">
        <v>0</v>
      </c>
      <c r="MK77" s="396">
        <v>0</v>
      </c>
      <c r="ML77" s="396">
        <f t="shared" si="607"/>
        <v>0</v>
      </c>
      <c r="MM77" s="396">
        <v>0</v>
      </c>
      <c r="MN77" s="396">
        <v>0</v>
      </c>
      <c r="MO77" s="396">
        <f t="shared" si="608"/>
        <v>0</v>
      </c>
      <c r="MP77" s="396">
        <v>0</v>
      </c>
      <c r="MQ77" s="396">
        <v>0</v>
      </c>
      <c r="MR77" s="396">
        <f t="shared" si="609"/>
        <v>0</v>
      </c>
      <c r="MS77" s="396">
        <v>0</v>
      </c>
      <c r="MT77" s="396">
        <v>0</v>
      </c>
      <c r="MU77" s="396">
        <f t="shared" si="610"/>
        <v>0</v>
      </c>
      <c r="MV77" s="396">
        <v>0</v>
      </c>
      <c r="MW77" s="396">
        <v>0</v>
      </c>
      <c r="MX77" s="396">
        <f t="shared" si="611"/>
        <v>0</v>
      </c>
      <c r="MY77" s="396">
        <v>0</v>
      </c>
      <c r="MZ77" s="396">
        <v>0</v>
      </c>
      <c r="NA77" s="578">
        <f t="shared" si="612"/>
        <v>0</v>
      </c>
      <c r="NB77" s="396">
        <v>0</v>
      </c>
      <c r="NC77" s="396">
        <v>0</v>
      </c>
      <c r="ND77" s="576">
        <f t="shared" si="613"/>
        <v>0</v>
      </c>
      <c r="NE77" s="559">
        <f t="shared" si="618"/>
        <v>14356</v>
      </c>
      <c r="NF77" s="388">
        <f t="shared" si="618"/>
        <v>14329</v>
      </c>
      <c r="NG77" s="576">
        <f t="shared" si="614"/>
        <v>28685</v>
      </c>
      <c r="NH77" s="575">
        <f t="shared" si="615"/>
        <v>1097</v>
      </c>
      <c r="NI77" s="396">
        <f t="shared" si="616"/>
        <v>1045</v>
      </c>
      <c r="NJ77" s="576">
        <f t="shared" si="617"/>
        <v>2142</v>
      </c>
    </row>
  </sheetData>
  <mergeCells count="498">
    <mergeCell ref="NE7:NG7"/>
    <mergeCell ref="NH7:NJ7"/>
    <mergeCell ref="MM7:MO7"/>
    <mergeCell ref="MP7:MR7"/>
    <mergeCell ref="MS7:MU7"/>
    <mergeCell ref="MV7:MX7"/>
    <mergeCell ref="MY7:NA7"/>
    <mergeCell ref="NB7:ND7"/>
    <mergeCell ref="LU7:LW7"/>
    <mergeCell ref="LX7:LZ7"/>
    <mergeCell ref="MA7:MC7"/>
    <mergeCell ref="MD7:MF7"/>
    <mergeCell ref="MG7:MI7"/>
    <mergeCell ref="MJ7:ML7"/>
    <mergeCell ref="LC7:LE7"/>
    <mergeCell ref="LF7:LH7"/>
    <mergeCell ref="LI7:LK7"/>
    <mergeCell ref="LL7:LN7"/>
    <mergeCell ref="LO7:LQ7"/>
    <mergeCell ref="LR7:LT7"/>
    <mergeCell ref="KK7:KM7"/>
    <mergeCell ref="KN7:KP7"/>
    <mergeCell ref="KQ7:KS7"/>
    <mergeCell ref="KT7:KV7"/>
    <mergeCell ref="KW7:KY7"/>
    <mergeCell ref="KZ7:LB7"/>
    <mergeCell ref="JS7:JU7"/>
    <mergeCell ref="JV7:JX7"/>
    <mergeCell ref="JY7:KA7"/>
    <mergeCell ref="KB7:KD7"/>
    <mergeCell ref="KE7:KG7"/>
    <mergeCell ref="KH7:KJ7"/>
    <mergeCell ref="JA7:JC7"/>
    <mergeCell ref="JD7:JF7"/>
    <mergeCell ref="JG7:JI7"/>
    <mergeCell ref="JJ7:JL7"/>
    <mergeCell ref="JM7:JO7"/>
    <mergeCell ref="JP7:JR7"/>
    <mergeCell ref="II7:IK7"/>
    <mergeCell ref="IL7:IN7"/>
    <mergeCell ref="IO7:IQ7"/>
    <mergeCell ref="IR7:IT7"/>
    <mergeCell ref="IU7:IW7"/>
    <mergeCell ref="IX7:IZ7"/>
    <mergeCell ref="HQ7:HS7"/>
    <mergeCell ref="HT7:HV7"/>
    <mergeCell ref="HW7:HY7"/>
    <mergeCell ref="HZ7:IB7"/>
    <mergeCell ref="IC7:IE7"/>
    <mergeCell ref="IF7:IH7"/>
    <mergeCell ref="GY7:HA7"/>
    <mergeCell ref="HB7:HD7"/>
    <mergeCell ref="HE7:HG7"/>
    <mergeCell ref="HH7:HJ7"/>
    <mergeCell ref="HK7:HM7"/>
    <mergeCell ref="HN7:HP7"/>
    <mergeCell ref="GG7:GI7"/>
    <mergeCell ref="GJ7:GL7"/>
    <mergeCell ref="GM7:GO7"/>
    <mergeCell ref="GP7:GR7"/>
    <mergeCell ref="GS7:GU7"/>
    <mergeCell ref="GV7:GX7"/>
    <mergeCell ref="FO7:FQ7"/>
    <mergeCell ref="FR7:FT7"/>
    <mergeCell ref="FU7:FW7"/>
    <mergeCell ref="FX7:FZ7"/>
    <mergeCell ref="GA7:GC7"/>
    <mergeCell ref="GD7:GF7"/>
    <mergeCell ref="EW7:EY7"/>
    <mergeCell ref="EZ7:FB7"/>
    <mergeCell ref="FC7:FE7"/>
    <mergeCell ref="FF7:FH7"/>
    <mergeCell ref="FI7:FK7"/>
    <mergeCell ref="FL7:FN7"/>
    <mergeCell ref="EE7:EG7"/>
    <mergeCell ref="EH7:EJ7"/>
    <mergeCell ref="EK7:EM7"/>
    <mergeCell ref="EN7:EP7"/>
    <mergeCell ref="EQ7:ES7"/>
    <mergeCell ref="ET7:EV7"/>
    <mergeCell ref="DM7:DO7"/>
    <mergeCell ref="DP7:DR7"/>
    <mergeCell ref="DS7:DU7"/>
    <mergeCell ref="DV7:DX7"/>
    <mergeCell ref="DY7:EA7"/>
    <mergeCell ref="EB7:ED7"/>
    <mergeCell ref="CU7:CW7"/>
    <mergeCell ref="CX7:CZ7"/>
    <mergeCell ref="DA7:DC7"/>
    <mergeCell ref="DD7:DF7"/>
    <mergeCell ref="DG7:DI7"/>
    <mergeCell ref="DJ7:DL7"/>
    <mergeCell ref="CC7:CE7"/>
    <mergeCell ref="CF7:CH7"/>
    <mergeCell ref="CI7:CK7"/>
    <mergeCell ref="CL7:CN7"/>
    <mergeCell ref="CO7:CQ7"/>
    <mergeCell ref="CR7:CT7"/>
    <mergeCell ref="BK7:BM7"/>
    <mergeCell ref="BN7:BP7"/>
    <mergeCell ref="BQ7:BS7"/>
    <mergeCell ref="BT7:BV7"/>
    <mergeCell ref="BW7:BY7"/>
    <mergeCell ref="BZ7:CB7"/>
    <mergeCell ref="AS7:AU7"/>
    <mergeCell ref="AV7:AX7"/>
    <mergeCell ref="AY7:BA7"/>
    <mergeCell ref="BB7:BD7"/>
    <mergeCell ref="BE7:BG7"/>
    <mergeCell ref="BH7:BJ7"/>
    <mergeCell ref="AA7:AC7"/>
    <mergeCell ref="AD7:AF7"/>
    <mergeCell ref="AG7:AI7"/>
    <mergeCell ref="AJ7:AL7"/>
    <mergeCell ref="AM7:AO7"/>
    <mergeCell ref="AP7:AR7"/>
    <mergeCell ref="NE6:NG6"/>
    <mergeCell ref="NH6:NJ6"/>
    <mergeCell ref="C7:E7"/>
    <mergeCell ref="F7:H7"/>
    <mergeCell ref="I7:K7"/>
    <mergeCell ref="L7:N7"/>
    <mergeCell ref="O7:Q7"/>
    <mergeCell ref="R7:T7"/>
    <mergeCell ref="U7:W7"/>
    <mergeCell ref="X7:Z7"/>
    <mergeCell ref="MM6:MO6"/>
    <mergeCell ref="MP6:MR6"/>
    <mergeCell ref="MS6:MU6"/>
    <mergeCell ref="MV6:MX6"/>
    <mergeCell ref="MY6:NA6"/>
    <mergeCell ref="NB6:ND6"/>
    <mergeCell ref="LU6:LW6"/>
    <mergeCell ref="LX6:LZ6"/>
    <mergeCell ref="MA6:MC6"/>
    <mergeCell ref="MD6:MF6"/>
    <mergeCell ref="MG6:MI6"/>
    <mergeCell ref="MJ6:ML6"/>
    <mergeCell ref="LC6:LE6"/>
    <mergeCell ref="LF6:LH6"/>
    <mergeCell ref="LI6:LK6"/>
    <mergeCell ref="LL6:LN6"/>
    <mergeCell ref="LO6:LQ6"/>
    <mergeCell ref="LR6:LT6"/>
    <mergeCell ref="KK6:KM6"/>
    <mergeCell ref="KN6:KP6"/>
    <mergeCell ref="KQ6:KS6"/>
    <mergeCell ref="KT6:KV6"/>
    <mergeCell ref="KW6:KY6"/>
    <mergeCell ref="KZ6:LB6"/>
    <mergeCell ref="JS6:JU6"/>
    <mergeCell ref="JV6:JX6"/>
    <mergeCell ref="JY6:KA6"/>
    <mergeCell ref="KB6:KD6"/>
    <mergeCell ref="KE6:KG6"/>
    <mergeCell ref="KH6:KJ6"/>
    <mergeCell ref="JA6:JC6"/>
    <mergeCell ref="JD6:JF6"/>
    <mergeCell ref="JG6:JI6"/>
    <mergeCell ref="JJ6:JL6"/>
    <mergeCell ref="JM6:JO6"/>
    <mergeCell ref="JP6:JR6"/>
    <mergeCell ref="II6:IK6"/>
    <mergeCell ref="IL6:IN6"/>
    <mergeCell ref="IO6:IQ6"/>
    <mergeCell ref="IR6:IT6"/>
    <mergeCell ref="IU6:IW6"/>
    <mergeCell ref="IX6:IZ6"/>
    <mergeCell ref="HQ6:HS6"/>
    <mergeCell ref="HT6:HV6"/>
    <mergeCell ref="HW6:HY6"/>
    <mergeCell ref="HZ6:IB6"/>
    <mergeCell ref="IC6:IE6"/>
    <mergeCell ref="IF6:IH6"/>
    <mergeCell ref="GY6:HA6"/>
    <mergeCell ref="HB6:HD6"/>
    <mergeCell ref="HE6:HG6"/>
    <mergeCell ref="HH6:HJ6"/>
    <mergeCell ref="HK6:HM6"/>
    <mergeCell ref="HN6:HP6"/>
    <mergeCell ref="GG6:GI6"/>
    <mergeCell ref="GJ6:GL6"/>
    <mergeCell ref="GM6:GO6"/>
    <mergeCell ref="GP6:GR6"/>
    <mergeCell ref="GS6:GU6"/>
    <mergeCell ref="GV6:GX6"/>
    <mergeCell ref="FO6:FQ6"/>
    <mergeCell ref="FR6:FT6"/>
    <mergeCell ref="FU6:FW6"/>
    <mergeCell ref="FX6:FZ6"/>
    <mergeCell ref="GA6:GC6"/>
    <mergeCell ref="GD6:GF6"/>
    <mergeCell ref="EW6:EY6"/>
    <mergeCell ref="EZ6:FB6"/>
    <mergeCell ref="FC6:FE6"/>
    <mergeCell ref="FF6:FH6"/>
    <mergeCell ref="FI6:FK6"/>
    <mergeCell ref="FL6:FN6"/>
    <mergeCell ref="EE6:EG6"/>
    <mergeCell ref="EH6:EJ6"/>
    <mergeCell ref="EK6:EM6"/>
    <mergeCell ref="EN6:EP6"/>
    <mergeCell ref="EQ6:ES6"/>
    <mergeCell ref="ET6:EV6"/>
    <mergeCell ref="DM6:DO6"/>
    <mergeCell ref="DP6:DR6"/>
    <mergeCell ref="DS6:DU6"/>
    <mergeCell ref="DV6:DX6"/>
    <mergeCell ref="DY6:EA6"/>
    <mergeCell ref="EB6:ED6"/>
    <mergeCell ref="CU6:CW6"/>
    <mergeCell ref="CX6:CZ6"/>
    <mergeCell ref="DA6:DC6"/>
    <mergeCell ref="DD6:DF6"/>
    <mergeCell ref="DG6:DI6"/>
    <mergeCell ref="DJ6:DL6"/>
    <mergeCell ref="CC6:CE6"/>
    <mergeCell ref="CF6:CH6"/>
    <mergeCell ref="CI6:CK6"/>
    <mergeCell ref="CL6:CN6"/>
    <mergeCell ref="CO6:CQ6"/>
    <mergeCell ref="CR6:CT6"/>
    <mergeCell ref="BK6:BM6"/>
    <mergeCell ref="BN6:BP6"/>
    <mergeCell ref="BQ6:BS6"/>
    <mergeCell ref="BT6:BV6"/>
    <mergeCell ref="BW6:BY6"/>
    <mergeCell ref="BZ6:CB6"/>
    <mergeCell ref="AS6:AU6"/>
    <mergeCell ref="AV6:AX6"/>
    <mergeCell ref="AY6:BA6"/>
    <mergeCell ref="BB6:BD6"/>
    <mergeCell ref="BE6:BG6"/>
    <mergeCell ref="BH6:BJ6"/>
    <mergeCell ref="AA6:AC6"/>
    <mergeCell ref="AD6:AF6"/>
    <mergeCell ref="AG6:AI6"/>
    <mergeCell ref="AJ6:AL6"/>
    <mergeCell ref="AM6:AO6"/>
    <mergeCell ref="AP6:AR6"/>
    <mergeCell ref="NE5:NG5"/>
    <mergeCell ref="NH5:NJ5"/>
    <mergeCell ref="C6:E6"/>
    <mergeCell ref="F6:H6"/>
    <mergeCell ref="I6:K6"/>
    <mergeCell ref="L6:N6"/>
    <mergeCell ref="O6:Q6"/>
    <mergeCell ref="R6:T6"/>
    <mergeCell ref="U6:W6"/>
    <mergeCell ref="X6:Z6"/>
    <mergeCell ref="MM5:MO5"/>
    <mergeCell ref="MP5:MR5"/>
    <mergeCell ref="MS5:MU5"/>
    <mergeCell ref="MV5:MX5"/>
    <mergeCell ref="MY5:NA5"/>
    <mergeCell ref="NB5:ND5"/>
    <mergeCell ref="LU5:LW5"/>
    <mergeCell ref="LX5:LZ5"/>
    <mergeCell ref="MA5:MC5"/>
    <mergeCell ref="MD5:MF5"/>
    <mergeCell ref="MG5:MI5"/>
    <mergeCell ref="MJ5:ML5"/>
    <mergeCell ref="LC5:LE5"/>
    <mergeCell ref="LF5:LH5"/>
    <mergeCell ref="LI5:LK5"/>
    <mergeCell ref="LL5:LN5"/>
    <mergeCell ref="LO5:LQ5"/>
    <mergeCell ref="LR5:LT5"/>
    <mergeCell ref="KK5:KM5"/>
    <mergeCell ref="KN5:KP5"/>
    <mergeCell ref="KQ5:KS5"/>
    <mergeCell ref="KT5:KV5"/>
    <mergeCell ref="KW5:KY5"/>
    <mergeCell ref="KZ5:LB5"/>
    <mergeCell ref="JS5:JU5"/>
    <mergeCell ref="JV5:JX5"/>
    <mergeCell ref="JY5:KA5"/>
    <mergeCell ref="KB5:KD5"/>
    <mergeCell ref="KE5:KG5"/>
    <mergeCell ref="KH5:KJ5"/>
    <mergeCell ref="JA5:JC5"/>
    <mergeCell ref="JD5:JF5"/>
    <mergeCell ref="JG5:JI5"/>
    <mergeCell ref="JJ5:JL5"/>
    <mergeCell ref="JM5:JO5"/>
    <mergeCell ref="JP5:JR5"/>
    <mergeCell ref="II5:IK5"/>
    <mergeCell ref="IL5:IN5"/>
    <mergeCell ref="IO5:IQ5"/>
    <mergeCell ref="IR5:IT5"/>
    <mergeCell ref="IU5:IW5"/>
    <mergeCell ref="IX5:IZ5"/>
    <mergeCell ref="HQ5:HS5"/>
    <mergeCell ref="HT5:HV5"/>
    <mergeCell ref="HW5:HY5"/>
    <mergeCell ref="HZ5:IB5"/>
    <mergeCell ref="IC5:IE5"/>
    <mergeCell ref="IF5:IH5"/>
    <mergeCell ref="GY5:HA5"/>
    <mergeCell ref="HB5:HD5"/>
    <mergeCell ref="HE5:HG5"/>
    <mergeCell ref="HH5:HJ5"/>
    <mergeCell ref="HK5:HM5"/>
    <mergeCell ref="HN5:HP5"/>
    <mergeCell ref="GG5:GI5"/>
    <mergeCell ref="GJ5:GL5"/>
    <mergeCell ref="GM5:GO5"/>
    <mergeCell ref="GP5:GR5"/>
    <mergeCell ref="GS5:GU5"/>
    <mergeCell ref="GV5:GX5"/>
    <mergeCell ref="FO5:FQ5"/>
    <mergeCell ref="FR5:FT5"/>
    <mergeCell ref="FU5:FW5"/>
    <mergeCell ref="FX5:FZ5"/>
    <mergeCell ref="GA5:GC5"/>
    <mergeCell ref="GD5:GF5"/>
    <mergeCell ref="EW5:EY5"/>
    <mergeCell ref="EZ5:FB5"/>
    <mergeCell ref="FC5:FE5"/>
    <mergeCell ref="FF5:FH5"/>
    <mergeCell ref="FI5:FK5"/>
    <mergeCell ref="FL5:FN5"/>
    <mergeCell ref="EE5:EG5"/>
    <mergeCell ref="EH5:EJ5"/>
    <mergeCell ref="EK5:EM5"/>
    <mergeCell ref="EN5:EP5"/>
    <mergeCell ref="EQ5:ES5"/>
    <mergeCell ref="ET5:EV5"/>
    <mergeCell ref="DM5:DO5"/>
    <mergeCell ref="DP5:DR5"/>
    <mergeCell ref="DS5:DU5"/>
    <mergeCell ref="DV5:DX5"/>
    <mergeCell ref="DY5:EA5"/>
    <mergeCell ref="EB5:ED5"/>
    <mergeCell ref="CU5:CW5"/>
    <mergeCell ref="CX5:CZ5"/>
    <mergeCell ref="DA5:DC5"/>
    <mergeCell ref="DD5:DF5"/>
    <mergeCell ref="DG5:DI5"/>
    <mergeCell ref="DJ5:DL5"/>
    <mergeCell ref="CC5:CE5"/>
    <mergeCell ref="CF5:CH5"/>
    <mergeCell ref="CI5:CK5"/>
    <mergeCell ref="CL5:CN5"/>
    <mergeCell ref="CO5:CQ5"/>
    <mergeCell ref="CR5:CT5"/>
    <mergeCell ref="BK5:BM5"/>
    <mergeCell ref="BN5:BP5"/>
    <mergeCell ref="BQ5:BS5"/>
    <mergeCell ref="BT5:BV5"/>
    <mergeCell ref="BW5:BY5"/>
    <mergeCell ref="BZ5:CB5"/>
    <mergeCell ref="AS5:AU5"/>
    <mergeCell ref="AV5:AX5"/>
    <mergeCell ref="AY5:BA5"/>
    <mergeCell ref="BB5:BD5"/>
    <mergeCell ref="BE5:BG5"/>
    <mergeCell ref="BH5:BJ5"/>
    <mergeCell ref="AA5:AC5"/>
    <mergeCell ref="AD5:AF5"/>
    <mergeCell ref="AG5:AI5"/>
    <mergeCell ref="AJ5:AL5"/>
    <mergeCell ref="AM5:AO5"/>
    <mergeCell ref="AP5:AR5"/>
    <mergeCell ref="NE4:NG4"/>
    <mergeCell ref="NH4:NJ4"/>
    <mergeCell ref="C5:E5"/>
    <mergeCell ref="F5:H5"/>
    <mergeCell ref="I5:K5"/>
    <mergeCell ref="L5:N5"/>
    <mergeCell ref="O5:Q5"/>
    <mergeCell ref="R5:T5"/>
    <mergeCell ref="U5:W5"/>
    <mergeCell ref="X5:Z5"/>
    <mergeCell ref="MM4:MO4"/>
    <mergeCell ref="MP4:MR4"/>
    <mergeCell ref="MS4:MU4"/>
    <mergeCell ref="MV4:MX4"/>
    <mergeCell ref="MY4:NA4"/>
    <mergeCell ref="NB4:ND4"/>
    <mergeCell ref="LU4:LW4"/>
    <mergeCell ref="LX4:LZ4"/>
    <mergeCell ref="MA4:MC4"/>
    <mergeCell ref="MD4:MF4"/>
    <mergeCell ref="MG4:MI4"/>
    <mergeCell ref="MJ4:ML4"/>
    <mergeCell ref="LC4:LE4"/>
    <mergeCell ref="LF4:LH4"/>
    <mergeCell ref="LI4:LK4"/>
    <mergeCell ref="LL4:LN4"/>
    <mergeCell ref="LO4:LQ4"/>
    <mergeCell ref="LR4:LT4"/>
    <mergeCell ref="KK4:KM4"/>
    <mergeCell ref="KN4:KP4"/>
    <mergeCell ref="KQ4:KS4"/>
    <mergeCell ref="KT4:KV4"/>
    <mergeCell ref="KW4:KY4"/>
    <mergeCell ref="KZ4:LB4"/>
    <mergeCell ref="JS4:JU4"/>
    <mergeCell ref="JV4:JX4"/>
    <mergeCell ref="JY4:KA4"/>
    <mergeCell ref="KB4:KD4"/>
    <mergeCell ref="KE4:KG4"/>
    <mergeCell ref="KH4:KJ4"/>
    <mergeCell ref="JA4:JC4"/>
    <mergeCell ref="JD4:JF4"/>
    <mergeCell ref="JG4:JI4"/>
    <mergeCell ref="JJ4:JL4"/>
    <mergeCell ref="JM4:JO4"/>
    <mergeCell ref="JP4:JR4"/>
    <mergeCell ref="II4:IK4"/>
    <mergeCell ref="IL4:IN4"/>
    <mergeCell ref="IO4:IQ4"/>
    <mergeCell ref="IR4:IT4"/>
    <mergeCell ref="IU4:IW4"/>
    <mergeCell ref="IX4:IZ4"/>
    <mergeCell ref="HQ4:HS4"/>
    <mergeCell ref="HT4:HV4"/>
    <mergeCell ref="HW4:HY4"/>
    <mergeCell ref="HZ4:IB4"/>
    <mergeCell ref="IC4:IE4"/>
    <mergeCell ref="IF4:IH4"/>
    <mergeCell ref="GY4:HA4"/>
    <mergeCell ref="HB4:HD4"/>
    <mergeCell ref="HE4:HG4"/>
    <mergeCell ref="HH4:HJ4"/>
    <mergeCell ref="HK4:HM4"/>
    <mergeCell ref="HN4:HP4"/>
    <mergeCell ref="GG4:GI4"/>
    <mergeCell ref="GJ4:GL4"/>
    <mergeCell ref="GM4:GO4"/>
    <mergeCell ref="GP4:GR4"/>
    <mergeCell ref="GS4:GU4"/>
    <mergeCell ref="GV4:GX4"/>
    <mergeCell ref="FO4:FQ4"/>
    <mergeCell ref="FR4:FT4"/>
    <mergeCell ref="FU4:FW4"/>
    <mergeCell ref="FX4:FZ4"/>
    <mergeCell ref="GA4:GC4"/>
    <mergeCell ref="GD4:GF4"/>
    <mergeCell ref="EW4:EY4"/>
    <mergeCell ref="EZ4:FB4"/>
    <mergeCell ref="FC4:FE4"/>
    <mergeCell ref="FF4:FH4"/>
    <mergeCell ref="FI4:FK4"/>
    <mergeCell ref="FL4:FN4"/>
    <mergeCell ref="EE4:EG4"/>
    <mergeCell ref="EH4:EJ4"/>
    <mergeCell ref="EK4:EM4"/>
    <mergeCell ref="EN4:EP4"/>
    <mergeCell ref="EQ4:ES4"/>
    <mergeCell ref="ET4:EV4"/>
    <mergeCell ref="DM4:DO4"/>
    <mergeCell ref="DP4:DR4"/>
    <mergeCell ref="DS4:DU4"/>
    <mergeCell ref="DV4:DX4"/>
    <mergeCell ref="DY4:EA4"/>
    <mergeCell ref="EB4:ED4"/>
    <mergeCell ref="CU4:CW4"/>
    <mergeCell ref="CX4:CZ4"/>
    <mergeCell ref="DA4:DC4"/>
    <mergeCell ref="DD4:DF4"/>
    <mergeCell ref="DG4:DI4"/>
    <mergeCell ref="DJ4:DL4"/>
    <mergeCell ref="CI4:CK4"/>
    <mergeCell ref="CL4:CN4"/>
    <mergeCell ref="CO4:CQ4"/>
    <mergeCell ref="CR4:CT4"/>
    <mergeCell ref="BK4:BM4"/>
    <mergeCell ref="BN4:BP4"/>
    <mergeCell ref="BQ4:BS4"/>
    <mergeCell ref="BT4:BV4"/>
    <mergeCell ref="BW4:BY4"/>
    <mergeCell ref="BZ4:CB4"/>
    <mergeCell ref="NE3:NG3"/>
    <mergeCell ref="NH3:NJ3"/>
    <mergeCell ref="C4:E4"/>
    <mergeCell ref="F4:H4"/>
    <mergeCell ref="I4:K4"/>
    <mergeCell ref="L4:N4"/>
    <mergeCell ref="O4:Q4"/>
    <mergeCell ref="R4:T4"/>
    <mergeCell ref="U4:W4"/>
    <mergeCell ref="X4:Z4"/>
    <mergeCell ref="AS4:AU4"/>
    <mergeCell ref="AV4:AX4"/>
    <mergeCell ref="AY4:BA4"/>
    <mergeCell ref="BB4:BD4"/>
    <mergeCell ref="BE4:BG4"/>
    <mergeCell ref="BH4:BJ4"/>
    <mergeCell ref="AA4:AC4"/>
    <mergeCell ref="AD4:AF4"/>
    <mergeCell ref="AG4:AI4"/>
    <mergeCell ref="AJ4:AL4"/>
    <mergeCell ref="AM4:AO4"/>
    <mergeCell ref="AP4:AR4"/>
    <mergeCell ref="CC4:CE4"/>
    <mergeCell ref="CF4:CH4"/>
  </mergeCells>
  <pageMargins left="0.98425196850393704" right="0.39370078740157483" top="0.39370078740157483" bottom="0.39370078740157483" header="0.31496062992125984" footer="0.31496062992125984"/>
  <pageSetup paperSize="5" scale="41" orientation="landscape" horizontalDpi="360" verticalDpi="360" r:id="rId1"/>
  <colBreaks count="14" manualBreakCount="14">
    <brk id="23" max="1048575" man="1"/>
    <brk id="47" max="1048575" man="1"/>
    <brk id="71" max="1048575" man="1"/>
    <brk id="95" max="1048575" man="1"/>
    <brk id="119" max="1048575" man="1"/>
    <brk id="143" max="1048575" man="1"/>
    <brk id="167" max="1048575" man="1"/>
    <brk id="191" max="1048575" man="1"/>
    <brk id="215" max="1048575" man="1"/>
    <brk id="239" max="1048575" man="1"/>
    <brk id="263" max="1048575" man="1"/>
    <brk id="290" max="1048575" man="1"/>
    <brk id="317" max="1048575" man="1"/>
    <brk id="34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E459F-15B3-490E-A48E-AF43DA57456C}">
  <sheetPr>
    <tabColor rgb="FF00B050"/>
  </sheetPr>
  <dimension ref="A1:J73"/>
  <sheetViews>
    <sheetView topLeftCell="A52" zoomScale="85" zoomScaleNormal="85" workbookViewId="0">
      <selection activeCell="H74" sqref="H74"/>
    </sheetView>
  </sheetViews>
  <sheetFormatPr defaultColWidth="8.7265625" defaultRowHeight="14" x14ac:dyDescent="0.3"/>
  <cols>
    <col min="1" max="1" width="13.54296875" style="289" customWidth="1"/>
    <col min="2" max="2" width="22.453125" style="289" customWidth="1"/>
    <col min="3" max="3" width="23.1796875" style="289" customWidth="1"/>
    <col min="4" max="4" width="21.7265625" style="289" customWidth="1"/>
    <col min="5" max="5" width="21.26953125" style="289" customWidth="1"/>
    <col min="6" max="16384" width="8.7265625" style="289"/>
  </cols>
  <sheetData>
    <row r="1" spans="1:10" ht="15.5" x14ac:dyDescent="0.35">
      <c r="A1" s="677" t="s">
        <v>736</v>
      </c>
      <c r="B1" s="677"/>
      <c r="C1" s="677"/>
      <c r="D1" s="677"/>
      <c r="E1" s="677"/>
    </row>
    <row r="2" spans="1:10" ht="15.5" x14ac:dyDescent="0.35">
      <c r="A2" s="677" t="s">
        <v>737</v>
      </c>
      <c r="B2" s="677"/>
      <c r="C2" s="677"/>
      <c r="D2" s="677"/>
      <c r="E2" s="677"/>
    </row>
    <row r="3" spans="1:10" ht="14.5" thickBot="1" x14ac:dyDescent="0.35"/>
    <row r="4" spans="1:10" ht="14.5" thickBot="1" x14ac:dyDescent="0.35">
      <c r="A4" s="602" t="s">
        <v>14</v>
      </c>
      <c r="B4" s="603" t="s">
        <v>15</v>
      </c>
      <c r="C4" s="604" t="s">
        <v>738</v>
      </c>
      <c r="D4" s="604" t="s">
        <v>739</v>
      </c>
      <c r="E4" s="604" t="s">
        <v>740</v>
      </c>
      <c r="G4" s="416"/>
    </row>
    <row r="5" spans="1:10" ht="14.5" thickBot="1" x14ac:dyDescent="0.35">
      <c r="A5" s="455" t="s">
        <v>251</v>
      </c>
      <c r="B5" s="456" t="s">
        <v>22</v>
      </c>
      <c r="C5" s="605">
        <v>587864</v>
      </c>
      <c r="D5" s="605">
        <v>1850727</v>
      </c>
      <c r="E5" s="605">
        <v>168657</v>
      </c>
      <c r="G5" s="416"/>
      <c r="H5" s="416"/>
      <c r="I5" s="416"/>
      <c r="J5" s="416"/>
    </row>
    <row r="6" spans="1:10" x14ac:dyDescent="0.3">
      <c r="A6" s="461" t="s">
        <v>253</v>
      </c>
      <c r="B6" s="462" t="s">
        <v>20</v>
      </c>
      <c r="C6" s="606">
        <v>64202</v>
      </c>
      <c r="D6" s="606">
        <v>190701</v>
      </c>
      <c r="E6" s="606">
        <v>21408</v>
      </c>
    </row>
    <row r="7" spans="1:10" x14ac:dyDescent="0.3">
      <c r="A7" s="466" t="s">
        <v>254</v>
      </c>
      <c r="B7" s="467" t="s">
        <v>19</v>
      </c>
      <c r="C7" s="543">
        <v>15229</v>
      </c>
      <c r="D7" s="543">
        <v>46228</v>
      </c>
      <c r="E7" s="543">
        <v>4926</v>
      </c>
    </row>
    <row r="8" spans="1:10" x14ac:dyDescent="0.3">
      <c r="A8" s="466" t="s">
        <v>255</v>
      </c>
      <c r="B8" s="467" t="s">
        <v>23</v>
      </c>
      <c r="C8" s="543">
        <v>15636</v>
      </c>
      <c r="D8" s="543">
        <v>46380</v>
      </c>
      <c r="E8" s="543">
        <v>4743</v>
      </c>
    </row>
    <row r="9" spans="1:10" x14ac:dyDescent="0.3">
      <c r="A9" s="466" t="s">
        <v>256</v>
      </c>
      <c r="B9" s="467" t="s">
        <v>25</v>
      </c>
      <c r="C9" s="543">
        <v>18045</v>
      </c>
      <c r="D9" s="543">
        <v>52548</v>
      </c>
      <c r="E9" s="543">
        <v>5925</v>
      </c>
    </row>
    <row r="10" spans="1:10" ht="14.5" thickBot="1" x14ac:dyDescent="0.35">
      <c r="A10" s="471" t="s">
        <v>257</v>
      </c>
      <c r="B10" s="472" t="s">
        <v>27</v>
      </c>
      <c r="C10" s="598">
        <v>15292</v>
      </c>
      <c r="D10" s="598">
        <v>45545</v>
      </c>
      <c r="E10" s="598">
        <v>5814</v>
      </c>
    </row>
    <row r="11" spans="1:10" x14ac:dyDescent="0.3">
      <c r="A11" s="476" t="s">
        <v>258</v>
      </c>
      <c r="B11" s="477" t="s">
        <v>34</v>
      </c>
      <c r="C11" s="607">
        <v>60611</v>
      </c>
      <c r="D11" s="607">
        <v>190958</v>
      </c>
      <c r="E11" s="607">
        <v>20687</v>
      </c>
    </row>
    <row r="12" spans="1:10" x14ac:dyDescent="0.3">
      <c r="A12" s="481" t="s">
        <v>259</v>
      </c>
      <c r="B12" s="482" t="s">
        <v>30</v>
      </c>
      <c r="C12" s="608">
        <v>14602</v>
      </c>
      <c r="D12" s="608">
        <v>46340</v>
      </c>
      <c r="E12" s="608">
        <v>4574</v>
      </c>
    </row>
    <row r="13" spans="1:10" x14ac:dyDescent="0.3">
      <c r="A13" s="481" t="s">
        <v>260</v>
      </c>
      <c r="B13" s="482" t="s">
        <v>33</v>
      </c>
      <c r="C13" s="560">
        <v>11469</v>
      </c>
      <c r="D13" s="560">
        <v>35087</v>
      </c>
      <c r="E13" s="560">
        <v>3363</v>
      </c>
    </row>
    <row r="14" spans="1:10" x14ac:dyDescent="0.3">
      <c r="A14" s="481" t="s">
        <v>261</v>
      </c>
      <c r="B14" s="482" t="s">
        <v>36</v>
      </c>
      <c r="C14" s="560">
        <v>10220</v>
      </c>
      <c r="D14" s="560">
        <v>31366</v>
      </c>
      <c r="E14" s="560">
        <v>3936</v>
      </c>
    </row>
    <row r="15" spans="1:10" x14ac:dyDescent="0.3">
      <c r="A15" s="481" t="s">
        <v>262</v>
      </c>
      <c r="B15" s="482" t="s">
        <v>38</v>
      </c>
      <c r="C15" s="560">
        <v>7692</v>
      </c>
      <c r="D15" s="560">
        <v>25089</v>
      </c>
      <c r="E15" s="560">
        <v>2885</v>
      </c>
    </row>
    <row r="16" spans="1:10" ht="14.5" thickBot="1" x14ac:dyDescent="0.35">
      <c r="A16" s="486" t="s">
        <v>263</v>
      </c>
      <c r="B16" s="487" t="s">
        <v>40</v>
      </c>
      <c r="C16" s="565">
        <v>16628</v>
      </c>
      <c r="D16" s="565">
        <v>53076</v>
      </c>
      <c r="E16" s="565">
        <v>5929</v>
      </c>
    </row>
    <row r="17" spans="1:7" x14ac:dyDescent="0.3">
      <c r="A17" s="461" t="s">
        <v>264</v>
      </c>
      <c r="B17" s="462" t="s">
        <v>47</v>
      </c>
      <c r="C17" s="537">
        <v>77772</v>
      </c>
      <c r="D17" s="537">
        <v>249302</v>
      </c>
      <c r="E17" s="537">
        <v>21548</v>
      </c>
    </row>
    <row r="18" spans="1:7" x14ac:dyDescent="0.3">
      <c r="A18" s="466" t="s">
        <v>265</v>
      </c>
      <c r="B18" s="467" t="s">
        <v>43</v>
      </c>
      <c r="C18" s="609">
        <v>21377</v>
      </c>
      <c r="D18" s="609">
        <v>70817</v>
      </c>
      <c r="E18" s="609">
        <v>5350</v>
      </c>
    </row>
    <row r="19" spans="1:7" x14ac:dyDescent="0.3">
      <c r="A19" s="466" t="s">
        <v>266</v>
      </c>
      <c r="B19" s="467" t="s">
        <v>45</v>
      </c>
      <c r="C19" s="609">
        <v>9539</v>
      </c>
      <c r="D19" s="609">
        <v>29243</v>
      </c>
      <c r="E19" s="609">
        <v>2026</v>
      </c>
    </row>
    <row r="20" spans="1:7" x14ac:dyDescent="0.3">
      <c r="A20" s="466" t="s">
        <v>267</v>
      </c>
      <c r="B20" s="467" t="s">
        <v>48</v>
      </c>
      <c r="C20" s="543">
        <v>5988</v>
      </c>
      <c r="D20" s="543">
        <v>21937</v>
      </c>
      <c r="E20" s="543">
        <v>1166</v>
      </c>
    </row>
    <row r="21" spans="1:7" x14ac:dyDescent="0.3">
      <c r="A21" s="466" t="s">
        <v>268</v>
      </c>
      <c r="B21" s="467" t="s">
        <v>50</v>
      </c>
      <c r="C21" s="543">
        <v>16118</v>
      </c>
      <c r="D21" s="543">
        <v>50476</v>
      </c>
      <c r="E21" s="543">
        <v>5241</v>
      </c>
    </row>
    <row r="22" spans="1:7" x14ac:dyDescent="0.3">
      <c r="A22" s="466" t="s">
        <v>269</v>
      </c>
      <c r="B22" s="467" t="s">
        <v>52</v>
      </c>
      <c r="C22" s="543">
        <v>5511</v>
      </c>
      <c r="D22" s="543">
        <v>17921</v>
      </c>
      <c r="E22" s="543">
        <v>1611</v>
      </c>
    </row>
    <row r="23" spans="1:7" ht="14.5" thickBot="1" x14ac:dyDescent="0.35">
      <c r="A23" s="471" t="s">
        <v>270</v>
      </c>
      <c r="B23" s="472" t="s">
        <v>54</v>
      </c>
      <c r="C23" s="610">
        <v>19239</v>
      </c>
      <c r="D23" s="610">
        <v>58908</v>
      </c>
      <c r="E23" s="610">
        <v>6154</v>
      </c>
      <c r="G23" s="289" t="s">
        <v>157</v>
      </c>
    </row>
    <row r="24" spans="1:7" x14ac:dyDescent="0.3">
      <c r="A24" s="476" t="s">
        <v>271</v>
      </c>
      <c r="B24" s="477" t="s">
        <v>61</v>
      </c>
      <c r="C24" s="555">
        <v>48240</v>
      </c>
      <c r="D24" s="555">
        <v>155267</v>
      </c>
      <c r="E24" s="555">
        <v>17037</v>
      </c>
    </row>
    <row r="25" spans="1:7" x14ac:dyDescent="0.3">
      <c r="A25" s="481" t="s">
        <v>272</v>
      </c>
      <c r="B25" s="482" t="s">
        <v>57</v>
      </c>
      <c r="C25" s="560">
        <v>13132</v>
      </c>
      <c r="D25" s="560">
        <v>43187</v>
      </c>
      <c r="E25" s="560">
        <v>4613</v>
      </c>
    </row>
    <row r="26" spans="1:7" x14ac:dyDescent="0.3">
      <c r="A26" s="481" t="s">
        <v>273</v>
      </c>
      <c r="B26" s="482" t="s">
        <v>59</v>
      </c>
      <c r="C26" s="560">
        <v>4183</v>
      </c>
      <c r="D26" s="560">
        <v>12468</v>
      </c>
      <c r="E26" s="560">
        <v>1003</v>
      </c>
    </row>
    <row r="27" spans="1:7" x14ac:dyDescent="0.3">
      <c r="A27" s="481" t="s">
        <v>274</v>
      </c>
      <c r="B27" s="482" t="s">
        <v>62</v>
      </c>
      <c r="C27" s="560">
        <v>8389</v>
      </c>
      <c r="D27" s="560">
        <v>26681</v>
      </c>
      <c r="E27" s="560">
        <v>2850</v>
      </c>
    </row>
    <row r="28" spans="1:7" x14ac:dyDescent="0.3">
      <c r="A28" s="481" t="s">
        <v>275</v>
      </c>
      <c r="B28" s="482" t="s">
        <v>64</v>
      </c>
      <c r="C28" s="560">
        <v>9641</v>
      </c>
      <c r="D28" s="560">
        <v>31970</v>
      </c>
      <c r="E28" s="560">
        <v>3624</v>
      </c>
    </row>
    <row r="29" spans="1:7" ht="14.5" thickBot="1" x14ac:dyDescent="0.35">
      <c r="A29" s="486" t="s">
        <v>276</v>
      </c>
      <c r="B29" s="487" t="s">
        <v>66</v>
      </c>
      <c r="C29" s="565">
        <v>12895</v>
      </c>
      <c r="D29" s="565">
        <v>40961</v>
      </c>
      <c r="E29" s="565">
        <v>4947</v>
      </c>
    </row>
    <row r="30" spans="1:7" x14ac:dyDescent="0.3">
      <c r="A30" s="461" t="s">
        <v>277</v>
      </c>
      <c r="B30" s="462" t="s">
        <v>73</v>
      </c>
      <c r="C30" s="537">
        <v>50366</v>
      </c>
      <c r="D30" s="537">
        <v>164502</v>
      </c>
      <c r="E30" s="537">
        <v>13079</v>
      </c>
    </row>
    <row r="31" spans="1:7" x14ac:dyDescent="0.3">
      <c r="A31" s="466" t="s">
        <v>278</v>
      </c>
      <c r="B31" s="467" t="s">
        <v>69</v>
      </c>
      <c r="C31" s="543">
        <v>17202</v>
      </c>
      <c r="D31" s="543">
        <v>58882</v>
      </c>
      <c r="E31" s="543">
        <v>4858</v>
      </c>
    </row>
    <row r="32" spans="1:7" x14ac:dyDescent="0.3">
      <c r="A32" s="466" t="s">
        <v>279</v>
      </c>
      <c r="B32" s="467" t="s">
        <v>71</v>
      </c>
      <c r="C32" s="543">
        <v>14367</v>
      </c>
      <c r="D32" s="543">
        <v>44904</v>
      </c>
      <c r="E32" s="543">
        <v>4350</v>
      </c>
    </row>
    <row r="33" spans="1:5" x14ac:dyDescent="0.3">
      <c r="A33" s="466" t="s">
        <v>280</v>
      </c>
      <c r="B33" s="467" t="s">
        <v>74</v>
      </c>
      <c r="C33" s="543">
        <v>8274</v>
      </c>
      <c r="D33" s="543">
        <v>27173</v>
      </c>
      <c r="E33" s="543">
        <v>2304</v>
      </c>
    </row>
    <row r="34" spans="1:5" ht="14.5" thickBot="1" x14ac:dyDescent="0.35">
      <c r="A34" s="471" t="s">
        <v>281</v>
      </c>
      <c r="B34" s="472" t="s">
        <v>76</v>
      </c>
      <c r="C34" s="549">
        <v>10523</v>
      </c>
      <c r="D34" s="549">
        <v>33543</v>
      </c>
      <c r="E34" s="549">
        <v>1567</v>
      </c>
    </row>
    <row r="35" spans="1:5" x14ac:dyDescent="0.3">
      <c r="A35" s="476" t="s">
        <v>282</v>
      </c>
      <c r="B35" s="477" t="s">
        <v>79</v>
      </c>
      <c r="C35" s="611">
        <v>36114</v>
      </c>
      <c r="D35" s="611">
        <v>116725</v>
      </c>
      <c r="E35" s="611">
        <v>9799</v>
      </c>
    </row>
    <row r="36" spans="1:5" x14ac:dyDescent="0.3">
      <c r="A36" s="481" t="s">
        <v>283</v>
      </c>
      <c r="B36" s="482" t="s">
        <v>79</v>
      </c>
      <c r="C36" s="560">
        <v>6934</v>
      </c>
      <c r="D36" s="560">
        <v>20034</v>
      </c>
      <c r="E36" s="560">
        <v>1386</v>
      </c>
    </row>
    <row r="37" spans="1:5" x14ac:dyDescent="0.3">
      <c r="A37" s="481" t="s">
        <v>284</v>
      </c>
      <c r="B37" s="482" t="s">
        <v>81</v>
      </c>
      <c r="C37" s="560">
        <v>6274</v>
      </c>
      <c r="D37" s="560">
        <v>17769</v>
      </c>
      <c r="E37" s="560">
        <v>1335</v>
      </c>
    </row>
    <row r="38" spans="1:5" x14ac:dyDescent="0.3">
      <c r="A38" s="481" t="s">
        <v>285</v>
      </c>
      <c r="B38" s="482" t="s">
        <v>83</v>
      </c>
      <c r="C38" s="608">
        <v>15766</v>
      </c>
      <c r="D38" s="608">
        <v>56974</v>
      </c>
      <c r="E38" s="608">
        <v>5117</v>
      </c>
    </row>
    <row r="39" spans="1:5" ht="14.5" thickBot="1" x14ac:dyDescent="0.35">
      <c r="A39" s="486" t="s">
        <v>286</v>
      </c>
      <c r="B39" s="487" t="s">
        <v>85</v>
      </c>
      <c r="C39" s="565">
        <v>7140</v>
      </c>
      <c r="D39" s="565">
        <v>21948</v>
      </c>
      <c r="E39" s="565">
        <v>1961</v>
      </c>
    </row>
    <row r="40" spans="1:5" x14ac:dyDescent="0.3">
      <c r="A40" s="461" t="s">
        <v>287</v>
      </c>
      <c r="B40" s="462" t="s">
        <v>89</v>
      </c>
      <c r="C40" s="537">
        <v>31012</v>
      </c>
      <c r="D40" s="537">
        <v>85688</v>
      </c>
      <c r="E40" s="537">
        <v>4209</v>
      </c>
    </row>
    <row r="41" spans="1:5" x14ac:dyDescent="0.3">
      <c r="A41" s="466" t="s">
        <v>288</v>
      </c>
      <c r="B41" s="467" t="s">
        <v>89</v>
      </c>
      <c r="C41" s="543">
        <v>8494</v>
      </c>
      <c r="D41" s="543">
        <v>25476</v>
      </c>
      <c r="E41" s="543">
        <v>1362</v>
      </c>
    </row>
    <row r="42" spans="1:5" x14ac:dyDescent="0.3">
      <c r="A42" s="466" t="s">
        <v>289</v>
      </c>
      <c r="B42" s="467" t="s">
        <v>91</v>
      </c>
      <c r="C42" s="543">
        <v>7538</v>
      </c>
      <c r="D42" s="543">
        <v>21422</v>
      </c>
      <c r="E42" s="543">
        <v>882</v>
      </c>
    </row>
    <row r="43" spans="1:5" x14ac:dyDescent="0.3">
      <c r="A43" s="466" t="s">
        <v>290</v>
      </c>
      <c r="B43" s="467" t="s">
        <v>93</v>
      </c>
      <c r="C43" s="543">
        <v>6650</v>
      </c>
      <c r="D43" s="543">
        <v>19807</v>
      </c>
      <c r="E43" s="543">
        <v>806</v>
      </c>
    </row>
    <row r="44" spans="1:5" ht="14.5" thickBot="1" x14ac:dyDescent="0.35">
      <c r="A44" s="471" t="s">
        <v>291</v>
      </c>
      <c r="B44" s="472" t="s">
        <v>95</v>
      </c>
      <c r="C44" s="549">
        <v>8330</v>
      </c>
      <c r="D44" s="549">
        <v>18983</v>
      </c>
      <c r="E44" s="549">
        <v>1159</v>
      </c>
    </row>
    <row r="45" spans="1:5" x14ac:dyDescent="0.3">
      <c r="A45" s="476" t="s">
        <v>292</v>
      </c>
      <c r="B45" s="477" t="s">
        <v>102</v>
      </c>
      <c r="C45" s="611">
        <v>50443</v>
      </c>
      <c r="D45" s="611">
        <v>166111</v>
      </c>
      <c r="E45" s="611">
        <v>18848</v>
      </c>
    </row>
    <row r="46" spans="1:5" x14ac:dyDescent="0.3">
      <c r="A46" s="481" t="s">
        <v>293</v>
      </c>
      <c r="B46" s="482" t="s">
        <v>98</v>
      </c>
      <c r="C46" s="608">
        <v>10433</v>
      </c>
      <c r="D46" s="608">
        <v>34093</v>
      </c>
      <c r="E46" s="608">
        <v>3760</v>
      </c>
    </row>
    <row r="47" spans="1:5" x14ac:dyDescent="0.3">
      <c r="A47" s="481" t="s">
        <v>294</v>
      </c>
      <c r="B47" s="482" t="s">
        <v>100</v>
      </c>
      <c r="C47" s="608">
        <v>8036</v>
      </c>
      <c r="D47" s="608">
        <v>27148</v>
      </c>
      <c r="E47" s="608">
        <v>3159</v>
      </c>
    </row>
    <row r="48" spans="1:5" x14ac:dyDescent="0.3">
      <c r="A48" s="481" t="s">
        <v>295</v>
      </c>
      <c r="B48" s="482" t="s">
        <v>103</v>
      </c>
      <c r="C48" s="560">
        <v>13750</v>
      </c>
      <c r="D48" s="560">
        <v>44287</v>
      </c>
      <c r="E48" s="560">
        <v>4846</v>
      </c>
    </row>
    <row r="49" spans="1:5" x14ac:dyDescent="0.3">
      <c r="A49" s="481" t="s">
        <v>296</v>
      </c>
      <c r="B49" s="482" t="s">
        <v>105</v>
      </c>
      <c r="C49" s="560">
        <v>8529</v>
      </c>
      <c r="D49" s="560">
        <v>27835</v>
      </c>
      <c r="E49" s="560">
        <v>3310</v>
      </c>
    </row>
    <row r="50" spans="1:5" ht="14.5" thickBot="1" x14ac:dyDescent="0.35">
      <c r="A50" s="486" t="s">
        <v>297</v>
      </c>
      <c r="B50" s="487" t="s">
        <v>107</v>
      </c>
      <c r="C50" s="565">
        <v>9695</v>
      </c>
      <c r="D50" s="565">
        <v>32748</v>
      </c>
      <c r="E50" s="565">
        <v>3773</v>
      </c>
    </row>
    <row r="51" spans="1:5" x14ac:dyDescent="0.3">
      <c r="A51" s="461" t="s">
        <v>298</v>
      </c>
      <c r="B51" s="462" t="s">
        <v>112</v>
      </c>
      <c r="C51" s="537">
        <v>57805</v>
      </c>
      <c r="D51" s="537">
        <v>180001</v>
      </c>
      <c r="E51" s="537">
        <v>15184</v>
      </c>
    </row>
    <row r="52" spans="1:5" x14ac:dyDescent="0.3">
      <c r="A52" s="466" t="s">
        <v>299</v>
      </c>
      <c r="B52" s="467" t="s">
        <v>110</v>
      </c>
      <c r="C52" s="543">
        <v>9545</v>
      </c>
      <c r="D52" s="543">
        <v>29810</v>
      </c>
      <c r="E52" s="543">
        <v>2821</v>
      </c>
    </row>
    <row r="53" spans="1:5" x14ac:dyDescent="0.3">
      <c r="A53" s="466" t="s">
        <v>300</v>
      </c>
      <c r="B53" s="467" t="s">
        <v>112</v>
      </c>
      <c r="C53" s="543">
        <v>8724</v>
      </c>
      <c r="D53" s="543">
        <v>27675</v>
      </c>
      <c r="E53" s="543">
        <v>2444</v>
      </c>
    </row>
    <row r="54" spans="1:5" x14ac:dyDescent="0.3">
      <c r="A54" s="466" t="s">
        <v>301</v>
      </c>
      <c r="B54" s="467" t="s">
        <v>114</v>
      </c>
      <c r="C54" s="543">
        <v>10987</v>
      </c>
      <c r="D54" s="543">
        <v>33457</v>
      </c>
      <c r="E54" s="543">
        <v>3233</v>
      </c>
    </row>
    <row r="55" spans="1:5" x14ac:dyDescent="0.3">
      <c r="A55" s="466" t="s">
        <v>302</v>
      </c>
      <c r="B55" s="467" t="s">
        <v>116</v>
      </c>
      <c r="C55" s="543">
        <v>9296</v>
      </c>
      <c r="D55" s="543">
        <v>30329</v>
      </c>
      <c r="E55" s="543">
        <v>2607</v>
      </c>
    </row>
    <row r="56" spans="1:5" x14ac:dyDescent="0.3">
      <c r="A56" s="466" t="s">
        <v>303</v>
      </c>
      <c r="B56" s="467" t="s">
        <v>118</v>
      </c>
      <c r="C56" s="543">
        <v>9392</v>
      </c>
      <c r="D56" s="543">
        <v>26427</v>
      </c>
      <c r="E56" s="543">
        <v>1836</v>
      </c>
    </row>
    <row r="57" spans="1:5" ht="14.5" thickBot="1" x14ac:dyDescent="0.35">
      <c r="A57" s="471" t="s">
        <v>304</v>
      </c>
      <c r="B57" s="472" t="s">
        <v>120</v>
      </c>
      <c r="C57" s="549">
        <v>9861</v>
      </c>
      <c r="D57" s="549">
        <v>32303</v>
      </c>
      <c r="E57" s="549">
        <v>2243</v>
      </c>
    </row>
    <row r="58" spans="1:5" x14ac:dyDescent="0.3">
      <c r="A58" s="476" t="s">
        <v>305</v>
      </c>
      <c r="B58" s="477" t="s">
        <v>123</v>
      </c>
      <c r="C58" s="555">
        <v>28482</v>
      </c>
      <c r="D58" s="555">
        <v>88844</v>
      </c>
      <c r="E58" s="555">
        <v>6739</v>
      </c>
    </row>
    <row r="59" spans="1:5" x14ac:dyDescent="0.3">
      <c r="A59" s="481" t="s">
        <v>306</v>
      </c>
      <c r="B59" s="482" t="s">
        <v>123</v>
      </c>
      <c r="C59" s="560">
        <v>7101</v>
      </c>
      <c r="D59" s="560">
        <v>23195</v>
      </c>
      <c r="E59" s="560">
        <v>2043</v>
      </c>
    </row>
    <row r="60" spans="1:5" x14ac:dyDescent="0.3">
      <c r="A60" s="481" t="s">
        <v>307</v>
      </c>
      <c r="B60" s="482" t="s">
        <v>125</v>
      </c>
      <c r="C60" s="560">
        <v>3592</v>
      </c>
      <c r="D60" s="560">
        <v>12587</v>
      </c>
      <c r="E60" s="560">
        <v>994</v>
      </c>
    </row>
    <row r="61" spans="1:5" x14ac:dyDescent="0.3">
      <c r="A61" s="481" t="s">
        <v>308</v>
      </c>
      <c r="B61" s="482" t="s">
        <v>127</v>
      </c>
      <c r="C61" s="560">
        <v>6792</v>
      </c>
      <c r="D61" s="560">
        <v>22111</v>
      </c>
      <c r="E61" s="560">
        <v>1561</v>
      </c>
    </row>
    <row r="62" spans="1:5" x14ac:dyDescent="0.3">
      <c r="A62" s="481" t="s">
        <v>309</v>
      </c>
      <c r="B62" s="482" t="s">
        <v>129</v>
      </c>
      <c r="C62" s="560">
        <v>5040</v>
      </c>
      <c r="D62" s="560">
        <v>14434</v>
      </c>
      <c r="E62" s="560">
        <v>968</v>
      </c>
    </row>
    <row r="63" spans="1:5" ht="14.5" thickBot="1" x14ac:dyDescent="0.35">
      <c r="A63" s="486" t="s">
        <v>310</v>
      </c>
      <c r="B63" s="487" t="s">
        <v>131</v>
      </c>
      <c r="C63" s="565">
        <v>5957</v>
      </c>
      <c r="D63" s="565">
        <v>16517</v>
      </c>
      <c r="E63" s="565">
        <v>1173</v>
      </c>
    </row>
    <row r="64" spans="1:5" x14ac:dyDescent="0.3">
      <c r="A64" s="461" t="s">
        <v>311</v>
      </c>
      <c r="B64" s="462" t="s">
        <v>138</v>
      </c>
      <c r="C64" s="537">
        <v>54630</v>
      </c>
      <c r="D64" s="537">
        <v>167345</v>
      </c>
      <c r="E64" s="537">
        <v>9625</v>
      </c>
    </row>
    <row r="65" spans="1:5" x14ac:dyDescent="0.3">
      <c r="A65" s="466" t="s">
        <v>312</v>
      </c>
      <c r="B65" s="467" t="s">
        <v>134</v>
      </c>
      <c r="C65" s="543">
        <v>15145</v>
      </c>
      <c r="D65" s="543">
        <v>43309</v>
      </c>
      <c r="E65" s="543">
        <v>2452</v>
      </c>
    </row>
    <row r="66" spans="1:5" x14ac:dyDescent="0.3">
      <c r="A66" s="466" t="s">
        <v>313</v>
      </c>
      <c r="B66" s="467" t="s">
        <v>136</v>
      </c>
      <c r="C66" s="609">
        <v>11525</v>
      </c>
      <c r="D66" s="609">
        <v>34160</v>
      </c>
      <c r="E66" s="609">
        <v>1830</v>
      </c>
    </row>
    <row r="67" spans="1:5" x14ac:dyDescent="0.3">
      <c r="A67" s="466" t="s">
        <v>314</v>
      </c>
      <c r="B67" s="467" t="s">
        <v>138</v>
      </c>
      <c r="C67" s="543">
        <v>18323</v>
      </c>
      <c r="D67" s="543">
        <v>60144</v>
      </c>
      <c r="E67" s="543">
        <v>3507</v>
      </c>
    </row>
    <row r="68" spans="1:5" ht="14.5" thickBot="1" x14ac:dyDescent="0.35">
      <c r="A68" s="471" t="s">
        <v>315</v>
      </c>
      <c r="B68" s="472" t="s">
        <v>140</v>
      </c>
      <c r="C68" s="610">
        <v>9637</v>
      </c>
      <c r="D68" s="610">
        <v>29732</v>
      </c>
      <c r="E68" s="610">
        <v>1836</v>
      </c>
    </row>
    <row r="69" spans="1:5" x14ac:dyDescent="0.3">
      <c r="A69" s="476" t="s">
        <v>316</v>
      </c>
      <c r="B69" s="477" t="s">
        <v>148</v>
      </c>
      <c r="C69" s="611">
        <v>28187</v>
      </c>
      <c r="D69" s="611">
        <v>95283</v>
      </c>
      <c r="E69" s="611">
        <v>10494</v>
      </c>
    </row>
    <row r="70" spans="1:5" x14ac:dyDescent="0.3">
      <c r="A70" s="481" t="s">
        <v>317</v>
      </c>
      <c r="B70" s="482" t="s">
        <v>144</v>
      </c>
      <c r="C70" s="608">
        <v>12356</v>
      </c>
      <c r="D70" s="608">
        <v>41077</v>
      </c>
      <c r="E70" s="608">
        <v>5466</v>
      </c>
    </row>
    <row r="71" spans="1:5" x14ac:dyDescent="0.3">
      <c r="A71" s="481" t="s">
        <v>318</v>
      </c>
      <c r="B71" s="482" t="s">
        <v>146</v>
      </c>
      <c r="C71" s="608">
        <v>4978</v>
      </c>
      <c r="D71" s="608">
        <v>17043</v>
      </c>
      <c r="E71" s="608">
        <v>1783</v>
      </c>
    </row>
    <row r="72" spans="1:5" x14ac:dyDescent="0.3">
      <c r="A72" s="481" t="s">
        <v>319</v>
      </c>
      <c r="B72" s="482" t="s">
        <v>149</v>
      </c>
      <c r="C72" s="608">
        <v>4478</v>
      </c>
      <c r="D72" s="608">
        <v>16739</v>
      </c>
      <c r="E72" s="608">
        <v>1359</v>
      </c>
    </row>
    <row r="73" spans="1:5" ht="14.5" thickBot="1" x14ac:dyDescent="0.35">
      <c r="A73" s="496" t="s">
        <v>320</v>
      </c>
      <c r="B73" s="497" t="s">
        <v>151</v>
      </c>
      <c r="C73" s="612">
        <v>6375</v>
      </c>
      <c r="D73" s="612">
        <v>20424</v>
      </c>
      <c r="E73" s="612">
        <v>1886</v>
      </c>
    </row>
  </sheetData>
  <mergeCells count="2">
    <mergeCell ref="A1:E1"/>
    <mergeCell ref="A2:E2"/>
  </mergeCells>
  <pageMargins left="1.299212598425197" right="0.9055118110236221" top="0.39370078740157483" bottom="0.39370078740157483" header="0.31496062992125984" footer="0.31496062992125984"/>
  <pageSetup paperSize="5" scale="45" orientation="landscape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28762-2CCC-45CC-B1E1-44B61298EF32}">
  <sheetPr>
    <tabColor rgb="FF00B050"/>
  </sheetPr>
  <dimension ref="A1:H73"/>
  <sheetViews>
    <sheetView workbookViewId="0">
      <selection activeCell="O17" sqref="O17"/>
    </sheetView>
  </sheetViews>
  <sheetFormatPr defaultColWidth="8.7265625" defaultRowHeight="14.5" x14ac:dyDescent="0.35"/>
  <cols>
    <col min="1" max="1" width="10.81640625" style="294" bestFit="1" customWidth="1"/>
    <col min="2" max="2" width="19.81640625" style="294" bestFit="1" customWidth="1"/>
    <col min="3" max="5" width="13.7265625" style="294" customWidth="1"/>
    <col min="6" max="7" width="13.7265625" style="294" hidden="1" customWidth="1"/>
    <col min="8" max="8" width="15.1796875" style="294" customWidth="1"/>
    <col min="9" max="16384" width="8.7265625" style="294"/>
  </cols>
  <sheetData>
    <row r="1" spans="1:8" ht="18" x14ac:dyDescent="0.4">
      <c r="A1" s="659" t="s">
        <v>741</v>
      </c>
      <c r="B1" s="659"/>
      <c r="C1" s="659"/>
      <c r="D1" s="659"/>
      <c r="E1" s="659"/>
      <c r="F1" s="659"/>
      <c r="G1" s="659"/>
      <c r="H1" s="659"/>
    </row>
    <row r="2" spans="1:8" ht="7.5" customHeight="1" x14ac:dyDescent="0.35">
      <c r="A2" s="289"/>
      <c r="B2" s="289"/>
      <c r="C2" s="289"/>
      <c r="D2" s="289"/>
      <c r="E2" s="289"/>
      <c r="F2" s="289"/>
      <c r="G2" s="289"/>
      <c r="H2" s="289"/>
    </row>
    <row r="3" spans="1:8" ht="7.5" customHeight="1" thickBot="1" x14ac:dyDescent="0.4">
      <c r="A3" s="289"/>
      <c r="B3" s="289"/>
      <c r="C3" s="289"/>
      <c r="D3" s="289"/>
      <c r="E3" s="289"/>
      <c r="F3" s="289"/>
      <c r="G3" s="289"/>
      <c r="H3" s="289"/>
    </row>
    <row r="4" spans="1:8" ht="15" thickBot="1" x14ac:dyDescent="0.4">
      <c r="A4" s="613" t="s">
        <v>14</v>
      </c>
      <c r="B4" s="614" t="s">
        <v>15</v>
      </c>
      <c r="C4" s="614" t="s">
        <v>16</v>
      </c>
      <c r="D4" s="614" t="s">
        <v>17</v>
      </c>
      <c r="E4" s="614" t="s">
        <v>18</v>
      </c>
      <c r="F4" s="614" t="s">
        <v>742</v>
      </c>
      <c r="G4" s="614" t="s">
        <v>743</v>
      </c>
      <c r="H4" s="615" t="s">
        <v>744</v>
      </c>
    </row>
    <row r="5" spans="1:8" ht="15" thickBot="1" x14ac:dyDescent="0.4">
      <c r="A5" s="455" t="s">
        <v>251</v>
      </c>
      <c r="B5" s="616" t="s">
        <v>22</v>
      </c>
      <c r="C5" s="617">
        <v>1300822</v>
      </c>
      <c r="D5" s="617">
        <v>1306426</v>
      </c>
      <c r="E5" s="617">
        <v>2607248</v>
      </c>
      <c r="F5" s="617">
        <v>944920</v>
      </c>
      <c r="G5" s="617">
        <v>972031</v>
      </c>
      <c r="H5" s="618">
        <v>1936015</v>
      </c>
    </row>
    <row r="6" spans="1:8" x14ac:dyDescent="0.35">
      <c r="A6" s="619" t="s">
        <v>253</v>
      </c>
      <c r="B6" s="620" t="s">
        <v>20</v>
      </c>
      <c r="C6" s="621">
        <v>137270</v>
      </c>
      <c r="D6" s="621">
        <v>139041</v>
      </c>
      <c r="E6" s="621">
        <v>276311</v>
      </c>
      <c r="F6" s="621">
        <v>98966</v>
      </c>
      <c r="G6" s="621">
        <v>103083</v>
      </c>
      <c r="H6" s="606">
        <v>203529</v>
      </c>
    </row>
    <row r="7" spans="1:8" x14ac:dyDescent="0.35">
      <c r="A7" s="466" t="s">
        <v>254</v>
      </c>
      <c r="B7" s="622" t="s">
        <v>19</v>
      </c>
      <c r="C7" s="623">
        <v>32963</v>
      </c>
      <c r="D7" s="623">
        <v>33420</v>
      </c>
      <c r="E7" s="623">
        <v>66383</v>
      </c>
      <c r="F7" s="623">
        <v>23808</v>
      </c>
      <c r="G7" s="623">
        <v>24695</v>
      </c>
      <c r="H7" s="609">
        <v>48896</v>
      </c>
    </row>
    <row r="8" spans="1:8" x14ac:dyDescent="0.35">
      <c r="A8" s="466" t="s">
        <v>255</v>
      </c>
      <c r="B8" s="622" t="s">
        <v>23</v>
      </c>
      <c r="C8" s="623">
        <v>33420</v>
      </c>
      <c r="D8" s="623">
        <v>33339</v>
      </c>
      <c r="E8" s="623">
        <v>66759</v>
      </c>
      <c r="F8" s="623">
        <v>24102</v>
      </c>
      <c r="G8" s="623">
        <v>24628</v>
      </c>
      <c r="H8" s="609">
        <v>49090</v>
      </c>
    </row>
    <row r="9" spans="1:8" x14ac:dyDescent="0.35">
      <c r="A9" s="466" t="s">
        <v>256</v>
      </c>
      <c r="B9" s="622" t="s">
        <v>25</v>
      </c>
      <c r="C9" s="623">
        <v>37922</v>
      </c>
      <c r="D9" s="623">
        <v>38596</v>
      </c>
      <c r="E9" s="623">
        <v>76518</v>
      </c>
      <c r="F9" s="623">
        <v>27215</v>
      </c>
      <c r="G9" s="623">
        <v>28463</v>
      </c>
      <c r="H9" s="609">
        <v>56125</v>
      </c>
    </row>
    <row r="10" spans="1:8" ht="15" thickBot="1" x14ac:dyDescent="0.4">
      <c r="A10" s="624" t="s">
        <v>257</v>
      </c>
      <c r="B10" s="625" t="s">
        <v>27</v>
      </c>
      <c r="C10" s="626">
        <v>32965</v>
      </c>
      <c r="D10" s="626">
        <v>33686</v>
      </c>
      <c r="E10" s="626">
        <v>66651</v>
      </c>
      <c r="F10" s="626">
        <v>23841</v>
      </c>
      <c r="G10" s="626">
        <v>25297</v>
      </c>
      <c r="H10" s="610">
        <v>49418</v>
      </c>
    </row>
    <row r="11" spans="1:8" x14ac:dyDescent="0.35">
      <c r="A11" s="491" t="s">
        <v>258</v>
      </c>
      <c r="B11" s="627" t="s">
        <v>34</v>
      </c>
      <c r="C11" s="628">
        <v>135829</v>
      </c>
      <c r="D11" s="628">
        <v>136427</v>
      </c>
      <c r="E11" s="628">
        <v>272256</v>
      </c>
      <c r="F11" s="628">
        <v>99332</v>
      </c>
      <c r="G11" s="628">
        <v>102676</v>
      </c>
      <c r="H11" s="611">
        <v>203310</v>
      </c>
    </row>
    <row r="12" spans="1:8" x14ac:dyDescent="0.35">
      <c r="A12" s="481" t="s">
        <v>259</v>
      </c>
      <c r="B12" s="629" t="s">
        <v>30</v>
      </c>
      <c r="C12" s="630">
        <v>32830</v>
      </c>
      <c r="D12" s="630">
        <v>32686</v>
      </c>
      <c r="E12" s="630">
        <v>65516</v>
      </c>
      <c r="F12" s="630">
        <v>24033</v>
      </c>
      <c r="G12" s="630">
        <v>24571</v>
      </c>
      <c r="H12" s="608">
        <v>48951</v>
      </c>
    </row>
    <row r="13" spans="1:8" x14ac:dyDescent="0.35">
      <c r="A13" s="481" t="s">
        <v>260</v>
      </c>
      <c r="B13" s="629" t="s">
        <v>33</v>
      </c>
      <c r="C13" s="630">
        <v>24910</v>
      </c>
      <c r="D13" s="630">
        <v>25009</v>
      </c>
      <c r="E13" s="630">
        <v>49919</v>
      </c>
      <c r="F13" s="630">
        <v>18087</v>
      </c>
      <c r="G13" s="630">
        <v>18556</v>
      </c>
      <c r="H13" s="608">
        <v>36839</v>
      </c>
    </row>
    <row r="14" spans="1:8" x14ac:dyDescent="0.35">
      <c r="A14" s="481" t="s">
        <v>261</v>
      </c>
      <c r="B14" s="629" t="s">
        <v>36</v>
      </c>
      <c r="C14" s="630">
        <v>22735</v>
      </c>
      <c r="D14" s="630">
        <v>22787</v>
      </c>
      <c r="E14" s="630">
        <v>45522</v>
      </c>
      <c r="F14" s="630">
        <v>16626</v>
      </c>
      <c r="G14" s="630">
        <v>17234</v>
      </c>
      <c r="H14" s="608">
        <v>34015</v>
      </c>
    </row>
    <row r="15" spans="1:8" x14ac:dyDescent="0.35">
      <c r="A15" s="481" t="s">
        <v>262</v>
      </c>
      <c r="B15" s="629" t="s">
        <v>38</v>
      </c>
      <c r="C15" s="630">
        <v>17719</v>
      </c>
      <c r="D15" s="630">
        <v>17947</v>
      </c>
      <c r="E15" s="630">
        <v>35666</v>
      </c>
      <c r="F15" s="630">
        <v>13002</v>
      </c>
      <c r="G15" s="630">
        <v>13675</v>
      </c>
      <c r="H15" s="608">
        <v>26887</v>
      </c>
    </row>
    <row r="16" spans="1:8" ht="15" thickBot="1" x14ac:dyDescent="0.4">
      <c r="A16" s="496" t="s">
        <v>263</v>
      </c>
      <c r="B16" s="631" t="s">
        <v>40</v>
      </c>
      <c r="C16" s="632">
        <v>37635</v>
      </c>
      <c r="D16" s="632">
        <v>37998</v>
      </c>
      <c r="E16" s="632">
        <v>75633</v>
      </c>
      <c r="F16" s="632">
        <v>27584</v>
      </c>
      <c r="G16" s="632">
        <v>28640</v>
      </c>
      <c r="H16" s="633">
        <v>56618</v>
      </c>
    </row>
    <row r="17" spans="1:8" x14ac:dyDescent="0.35">
      <c r="A17" s="619" t="s">
        <v>264</v>
      </c>
      <c r="B17" s="620" t="s">
        <v>47</v>
      </c>
      <c r="C17" s="621">
        <v>174513</v>
      </c>
      <c r="D17" s="621">
        <v>174109</v>
      </c>
      <c r="E17" s="621">
        <v>348622</v>
      </c>
      <c r="F17" s="621">
        <v>127696</v>
      </c>
      <c r="G17" s="621">
        <v>130365</v>
      </c>
      <c r="H17" s="606">
        <v>260161</v>
      </c>
    </row>
    <row r="18" spans="1:8" x14ac:dyDescent="0.35">
      <c r="A18" s="466" t="s">
        <v>265</v>
      </c>
      <c r="B18" s="622" t="s">
        <v>43</v>
      </c>
      <c r="C18" s="623">
        <v>48995</v>
      </c>
      <c r="D18" s="623">
        <v>48549</v>
      </c>
      <c r="E18" s="623">
        <v>97544</v>
      </c>
      <c r="F18" s="623">
        <v>36263</v>
      </c>
      <c r="G18" s="623">
        <v>36624</v>
      </c>
      <c r="H18" s="609">
        <v>73375</v>
      </c>
    </row>
    <row r="19" spans="1:8" x14ac:dyDescent="0.35">
      <c r="A19" s="466" t="s">
        <v>266</v>
      </c>
      <c r="B19" s="622" t="s">
        <v>45</v>
      </c>
      <c r="C19" s="623">
        <v>20434</v>
      </c>
      <c r="D19" s="623">
        <v>20374</v>
      </c>
      <c r="E19" s="623">
        <v>40808</v>
      </c>
      <c r="F19" s="623">
        <v>14716</v>
      </c>
      <c r="G19" s="623">
        <v>14962</v>
      </c>
      <c r="H19" s="609">
        <v>30011</v>
      </c>
    </row>
    <row r="20" spans="1:8" x14ac:dyDescent="0.35">
      <c r="A20" s="466" t="s">
        <v>267</v>
      </c>
      <c r="B20" s="622" t="s">
        <v>48</v>
      </c>
      <c r="C20" s="623">
        <v>14683</v>
      </c>
      <c r="D20" s="623">
        <v>14408</v>
      </c>
      <c r="E20" s="623">
        <v>29091</v>
      </c>
      <c r="F20" s="623">
        <v>10807</v>
      </c>
      <c r="G20" s="623">
        <v>10904</v>
      </c>
      <c r="H20" s="609">
        <v>22068</v>
      </c>
    </row>
    <row r="21" spans="1:8" x14ac:dyDescent="0.35">
      <c r="A21" s="466" t="s">
        <v>268</v>
      </c>
      <c r="B21" s="622" t="s">
        <v>50</v>
      </c>
      <c r="C21" s="623">
        <v>36049</v>
      </c>
      <c r="D21" s="623">
        <v>35786</v>
      </c>
      <c r="E21" s="623">
        <v>71835</v>
      </c>
      <c r="F21" s="623">
        <v>26367</v>
      </c>
      <c r="G21" s="623">
        <v>26867</v>
      </c>
      <c r="H21" s="609">
        <v>53571</v>
      </c>
    </row>
    <row r="22" spans="1:8" x14ac:dyDescent="0.35">
      <c r="A22" s="466" t="s">
        <v>269</v>
      </c>
      <c r="B22" s="622" t="s">
        <v>52</v>
      </c>
      <c r="C22" s="623">
        <v>12596</v>
      </c>
      <c r="D22" s="623">
        <v>12447</v>
      </c>
      <c r="E22" s="623">
        <v>25043</v>
      </c>
      <c r="F22" s="623">
        <v>9273</v>
      </c>
      <c r="G22" s="623">
        <v>9368</v>
      </c>
      <c r="H22" s="609">
        <v>18818</v>
      </c>
    </row>
    <row r="23" spans="1:8" ht="15" thickBot="1" x14ac:dyDescent="0.4">
      <c r="A23" s="624" t="s">
        <v>270</v>
      </c>
      <c r="B23" s="625" t="s">
        <v>54</v>
      </c>
      <c r="C23" s="626">
        <v>41756</v>
      </c>
      <c r="D23" s="626">
        <v>42545</v>
      </c>
      <c r="E23" s="626">
        <v>84301</v>
      </c>
      <c r="F23" s="626">
        <v>30270</v>
      </c>
      <c r="G23" s="626">
        <v>31640</v>
      </c>
      <c r="H23" s="610">
        <v>62318</v>
      </c>
    </row>
    <row r="24" spans="1:8" x14ac:dyDescent="0.35">
      <c r="A24" s="491" t="s">
        <v>271</v>
      </c>
      <c r="B24" s="627" t="s">
        <v>61</v>
      </c>
      <c r="C24" s="628">
        <v>108911</v>
      </c>
      <c r="D24" s="628">
        <v>111633</v>
      </c>
      <c r="E24" s="628">
        <v>220544</v>
      </c>
      <c r="F24" s="628">
        <v>79718</v>
      </c>
      <c r="G24" s="628">
        <v>84212</v>
      </c>
      <c r="H24" s="611">
        <v>165255</v>
      </c>
    </row>
    <row r="25" spans="1:8" x14ac:dyDescent="0.35">
      <c r="A25" s="481" t="s">
        <v>272</v>
      </c>
      <c r="B25" s="629" t="s">
        <v>57</v>
      </c>
      <c r="C25" s="630">
        <v>29952</v>
      </c>
      <c r="D25" s="630">
        <v>30980</v>
      </c>
      <c r="E25" s="630">
        <v>60932</v>
      </c>
      <c r="F25" s="630">
        <v>21999</v>
      </c>
      <c r="G25" s="630">
        <v>23431</v>
      </c>
      <c r="H25" s="608">
        <v>45904</v>
      </c>
    </row>
    <row r="26" spans="1:8" x14ac:dyDescent="0.35">
      <c r="A26" s="481" t="s">
        <v>273</v>
      </c>
      <c r="B26" s="629" t="s">
        <v>59</v>
      </c>
      <c r="C26" s="630">
        <v>8789</v>
      </c>
      <c r="D26" s="630">
        <v>8865</v>
      </c>
      <c r="E26" s="630">
        <v>17654</v>
      </c>
      <c r="F26" s="630">
        <v>6311</v>
      </c>
      <c r="G26" s="630">
        <v>6550</v>
      </c>
      <c r="H26" s="608">
        <v>12912</v>
      </c>
    </row>
    <row r="27" spans="1:8" x14ac:dyDescent="0.35">
      <c r="A27" s="481" t="s">
        <v>274</v>
      </c>
      <c r="B27" s="629" t="s">
        <v>62</v>
      </c>
      <c r="C27" s="630">
        <v>18851</v>
      </c>
      <c r="D27" s="630">
        <v>19069</v>
      </c>
      <c r="E27" s="630">
        <v>37920</v>
      </c>
      <c r="F27" s="630">
        <v>13686</v>
      </c>
      <c r="G27" s="630">
        <v>14411</v>
      </c>
      <c r="H27" s="608">
        <v>28359</v>
      </c>
    </row>
    <row r="28" spans="1:8" x14ac:dyDescent="0.35">
      <c r="A28" s="481" t="s">
        <v>275</v>
      </c>
      <c r="B28" s="629" t="s">
        <v>64</v>
      </c>
      <c r="C28" s="630">
        <v>22265</v>
      </c>
      <c r="D28" s="630">
        <v>22970</v>
      </c>
      <c r="E28" s="630">
        <v>45235</v>
      </c>
      <c r="F28" s="630">
        <v>16461</v>
      </c>
      <c r="G28" s="630">
        <v>17321</v>
      </c>
      <c r="H28" s="608">
        <v>34107</v>
      </c>
    </row>
    <row r="29" spans="1:8" ht="15" thickBot="1" x14ac:dyDescent="0.4">
      <c r="A29" s="496" t="s">
        <v>276</v>
      </c>
      <c r="B29" s="631" t="s">
        <v>66</v>
      </c>
      <c r="C29" s="632">
        <v>29054</v>
      </c>
      <c r="D29" s="632">
        <v>29749</v>
      </c>
      <c r="E29" s="632">
        <v>58803</v>
      </c>
      <c r="F29" s="632">
        <v>21261</v>
      </c>
      <c r="G29" s="632">
        <v>22499</v>
      </c>
      <c r="H29" s="633">
        <v>43973</v>
      </c>
    </row>
    <row r="30" spans="1:8" x14ac:dyDescent="0.35">
      <c r="A30" s="619" t="s">
        <v>277</v>
      </c>
      <c r="B30" s="620" t="s">
        <v>73</v>
      </c>
      <c r="C30" s="621">
        <v>113761</v>
      </c>
      <c r="D30" s="621">
        <v>114186</v>
      </c>
      <c r="E30" s="621">
        <v>227947</v>
      </c>
      <c r="F30" s="621">
        <v>83632</v>
      </c>
      <c r="G30" s="621">
        <v>85628</v>
      </c>
      <c r="H30" s="606">
        <v>170677</v>
      </c>
    </row>
    <row r="31" spans="1:8" x14ac:dyDescent="0.35">
      <c r="A31" s="466" t="s">
        <v>278</v>
      </c>
      <c r="B31" s="622" t="s">
        <v>69</v>
      </c>
      <c r="C31" s="623">
        <v>40544</v>
      </c>
      <c r="D31" s="623">
        <v>40398</v>
      </c>
      <c r="E31" s="623">
        <v>80942</v>
      </c>
      <c r="F31" s="623">
        <v>30152</v>
      </c>
      <c r="G31" s="623">
        <v>30749</v>
      </c>
      <c r="H31" s="609">
        <v>61461</v>
      </c>
    </row>
    <row r="32" spans="1:8" x14ac:dyDescent="0.35">
      <c r="A32" s="466" t="s">
        <v>279</v>
      </c>
      <c r="B32" s="622" t="s">
        <v>71</v>
      </c>
      <c r="C32" s="623">
        <v>31507</v>
      </c>
      <c r="D32" s="623">
        <v>32114</v>
      </c>
      <c r="E32" s="623">
        <v>63621</v>
      </c>
      <c r="F32" s="623">
        <v>22976</v>
      </c>
      <c r="G32" s="623">
        <v>24059</v>
      </c>
      <c r="H32" s="609">
        <v>47382</v>
      </c>
    </row>
    <row r="33" spans="1:8" x14ac:dyDescent="0.35">
      <c r="A33" s="466" t="s">
        <v>280</v>
      </c>
      <c r="B33" s="622" t="s">
        <v>74</v>
      </c>
      <c r="C33" s="623">
        <v>18823</v>
      </c>
      <c r="D33" s="623">
        <v>18928</v>
      </c>
      <c r="E33" s="623">
        <v>37751</v>
      </c>
      <c r="F33" s="623">
        <v>13785</v>
      </c>
      <c r="G33" s="623">
        <v>14195</v>
      </c>
      <c r="H33" s="609">
        <v>28220</v>
      </c>
    </row>
    <row r="34" spans="1:8" ht="15" thickBot="1" x14ac:dyDescent="0.4">
      <c r="A34" s="624" t="s">
        <v>281</v>
      </c>
      <c r="B34" s="625" t="s">
        <v>76</v>
      </c>
      <c r="C34" s="626">
        <v>22887</v>
      </c>
      <c r="D34" s="626">
        <v>22746</v>
      </c>
      <c r="E34" s="626">
        <v>45633</v>
      </c>
      <c r="F34" s="626">
        <v>16719</v>
      </c>
      <c r="G34" s="626">
        <v>16625</v>
      </c>
      <c r="H34" s="610">
        <v>33614</v>
      </c>
    </row>
    <row r="35" spans="1:8" x14ac:dyDescent="0.35">
      <c r="A35" s="491" t="s">
        <v>282</v>
      </c>
      <c r="B35" s="627" t="s">
        <v>79</v>
      </c>
      <c r="C35" s="628">
        <v>81742</v>
      </c>
      <c r="D35" s="628">
        <v>80896</v>
      </c>
      <c r="E35" s="628">
        <v>162638</v>
      </c>
      <c r="F35" s="628">
        <v>59919</v>
      </c>
      <c r="G35" s="628">
        <v>60627</v>
      </c>
      <c r="H35" s="611">
        <v>121422</v>
      </c>
    </row>
    <row r="36" spans="1:8" x14ac:dyDescent="0.35">
      <c r="A36" s="481" t="s">
        <v>283</v>
      </c>
      <c r="B36" s="629" t="s">
        <v>79</v>
      </c>
      <c r="C36" s="630">
        <v>14409</v>
      </c>
      <c r="D36" s="630">
        <v>13945</v>
      </c>
      <c r="E36" s="630">
        <v>28354</v>
      </c>
      <c r="F36" s="630">
        <v>10312</v>
      </c>
      <c r="G36" s="630">
        <v>10040</v>
      </c>
      <c r="H36" s="608">
        <v>20468</v>
      </c>
    </row>
    <row r="37" spans="1:8" x14ac:dyDescent="0.35">
      <c r="A37" s="481" t="s">
        <v>284</v>
      </c>
      <c r="B37" s="629" t="s">
        <v>81</v>
      </c>
      <c r="C37" s="630">
        <v>12844</v>
      </c>
      <c r="D37" s="630">
        <v>12534</v>
      </c>
      <c r="E37" s="630">
        <v>25378</v>
      </c>
      <c r="F37" s="630">
        <v>9022</v>
      </c>
      <c r="G37" s="630">
        <v>9085</v>
      </c>
      <c r="H37" s="608">
        <v>18277</v>
      </c>
    </row>
    <row r="38" spans="1:8" x14ac:dyDescent="0.35">
      <c r="A38" s="481" t="s">
        <v>285</v>
      </c>
      <c r="B38" s="629" t="s">
        <v>83</v>
      </c>
      <c r="C38" s="630">
        <v>38758</v>
      </c>
      <c r="D38" s="630">
        <v>39099</v>
      </c>
      <c r="E38" s="630">
        <v>77857</v>
      </c>
      <c r="F38" s="630">
        <v>29192</v>
      </c>
      <c r="G38" s="630">
        <v>30171</v>
      </c>
      <c r="H38" s="608">
        <v>59792</v>
      </c>
    </row>
    <row r="39" spans="1:8" ht="15" thickBot="1" x14ac:dyDescent="0.4">
      <c r="A39" s="496" t="s">
        <v>286</v>
      </c>
      <c r="B39" s="631" t="s">
        <v>85</v>
      </c>
      <c r="C39" s="632">
        <v>15731</v>
      </c>
      <c r="D39" s="632">
        <v>15318</v>
      </c>
      <c r="E39" s="632">
        <v>31049</v>
      </c>
      <c r="F39" s="632">
        <v>11393</v>
      </c>
      <c r="G39" s="632">
        <v>11331</v>
      </c>
      <c r="H39" s="633">
        <v>22885</v>
      </c>
    </row>
    <row r="40" spans="1:8" x14ac:dyDescent="0.35">
      <c r="A40" s="619" t="s">
        <v>287</v>
      </c>
      <c r="B40" s="620" t="s">
        <v>89</v>
      </c>
      <c r="C40" s="621">
        <v>61417</v>
      </c>
      <c r="D40" s="621">
        <v>59492</v>
      </c>
      <c r="E40" s="621">
        <v>120909</v>
      </c>
      <c r="F40" s="621">
        <v>42591</v>
      </c>
      <c r="G40" s="621">
        <v>41846</v>
      </c>
      <c r="H40" s="606">
        <v>85704</v>
      </c>
    </row>
    <row r="41" spans="1:8" x14ac:dyDescent="0.35">
      <c r="A41" s="466" t="s">
        <v>288</v>
      </c>
      <c r="B41" s="622" t="s">
        <v>89</v>
      </c>
      <c r="C41" s="623">
        <v>17978</v>
      </c>
      <c r="D41" s="623">
        <v>17354</v>
      </c>
      <c r="E41" s="623">
        <v>35332</v>
      </c>
      <c r="F41" s="623">
        <v>12758</v>
      </c>
      <c r="G41" s="623">
        <v>12440</v>
      </c>
      <c r="H41" s="609">
        <v>25546</v>
      </c>
    </row>
    <row r="42" spans="1:8" x14ac:dyDescent="0.35">
      <c r="A42" s="466" t="s">
        <v>289</v>
      </c>
      <c r="B42" s="622" t="s">
        <v>91</v>
      </c>
      <c r="C42" s="623">
        <v>15265</v>
      </c>
      <c r="D42" s="623">
        <v>14577</v>
      </c>
      <c r="E42" s="623">
        <v>29842</v>
      </c>
      <c r="F42" s="623">
        <v>10693</v>
      </c>
      <c r="G42" s="623">
        <v>10364</v>
      </c>
      <c r="H42" s="609">
        <v>21289</v>
      </c>
    </row>
    <row r="43" spans="1:8" x14ac:dyDescent="0.35">
      <c r="A43" s="466" t="s">
        <v>290</v>
      </c>
      <c r="B43" s="622" t="s">
        <v>93</v>
      </c>
      <c r="C43" s="623">
        <v>13850</v>
      </c>
      <c r="D43" s="623">
        <v>13413</v>
      </c>
      <c r="E43" s="623">
        <v>27263</v>
      </c>
      <c r="F43" s="623">
        <v>9751</v>
      </c>
      <c r="G43" s="623">
        <v>9559</v>
      </c>
      <c r="H43" s="609">
        <v>19687</v>
      </c>
    </row>
    <row r="44" spans="1:8" ht="15" thickBot="1" x14ac:dyDescent="0.4">
      <c r="A44" s="624" t="s">
        <v>291</v>
      </c>
      <c r="B44" s="625" t="s">
        <v>95</v>
      </c>
      <c r="C44" s="626">
        <v>14324</v>
      </c>
      <c r="D44" s="626">
        <v>14148</v>
      </c>
      <c r="E44" s="626">
        <v>28472</v>
      </c>
      <c r="F44" s="626">
        <v>9389</v>
      </c>
      <c r="G44" s="626">
        <v>9483</v>
      </c>
      <c r="H44" s="610">
        <v>19182</v>
      </c>
    </row>
    <row r="45" spans="1:8" x14ac:dyDescent="0.35">
      <c r="A45" s="491" t="s">
        <v>292</v>
      </c>
      <c r="B45" s="627" t="s">
        <v>102</v>
      </c>
      <c r="C45" s="628">
        <v>117116</v>
      </c>
      <c r="D45" s="628">
        <v>118286</v>
      </c>
      <c r="E45" s="628">
        <v>235402</v>
      </c>
      <c r="F45" s="628">
        <v>86373</v>
      </c>
      <c r="G45" s="628">
        <v>89625</v>
      </c>
      <c r="H45" s="611">
        <v>177655</v>
      </c>
    </row>
    <row r="46" spans="1:8" x14ac:dyDescent="0.35">
      <c r="A46" s="481" t="s">
        <v>293</v>
      </c>
      <c r="B46" s="629" t="s">
        <v>98</v>
      </c>
      <c r="C46" s="630">
        <v>24010</v>
      </c>
      <c r="D46" s="630">
        <v>24276</v>
      </c>
      <c r="E46" s="630">
        <v>48286</v>
      </c>
      <c r="F46" s="630">
        <v>17716</v>
      </c>
      <c r="G46" s="630">
        <v>18144</v>
      </c>
      <c r="H46" s="608">
        <v>36223</v>
      </c>
    </row>
    <row r="47" spans="1:8" x14ac:dyDescent="0.35">
      <c r="A47" s="481" t="s">
        <v>294</v>
      </c>
      <c r="B47" s="629" t="s">
        <v>100</v>
      </c>
      <c r="C47" s="630">
        <v>19169</v>
      </c>
      <c r="D47" s="630">
        <v>19174</v>
      </c>
      <c r="E47" s="630">
        <v>38343</v>
      </c>
      <c r="F47" s="630">
        <v>14255</v>
      </c>
      <c r="G47" s="630">
        <v>14789</v>
      </c>
      <c r="H47" s="608">
        <v>29259</v>
      </c>
    </row>
    <row r="48" spans="1:8" x14ac:dyDescent="0.35">
      <c r="A48" s="481" t="s">
        <v>295</v>
      </c>
      <c r="B48" s="629" t="s">
        <v>103</v>
      </c>
      <c r="C48" s="630">
        <v>31335</v>
      </c>
      <c r="D48" s="630">
        <v>31548</v>
      </c>
      <c r="E48" s="630">
        <v>62883</v>
      </c>
      <c r="F48" s="630">
        <v>22919</v>
      </c>
      <c r="G48" s="630">
        <v>23769</v>
      </c>
      <c r="H48" s="608">
        <v>47159</v>
      </c>
    </row>
    <row r="49" spans="1:8" x14ac:dyDescent="0.35">
      <c r="A49" s="481" t="s">
        <v>296</v>
      </c>
      <c r="B49" s="629" t="s">
        <v>105</v>
      </c>
      <c r="C49" s="630">
        <v>19643</v>
      </c>
      <c r="D49" s="630">
        <v>20031</v>
      </c>
      <c r="E49" s="630">
        <v>39674</v>
      </c>
      <c r="F49" s="630">
        <v>14492</v>
      </c>
      <c r="G49" s="630">
        <v>15163</v>
      </c>
      <c r="H49" s="608">
        <v>29975</v>
      </c>
    </row>
    <row r="50" spans="1:8" ht="15" thickBot="1" x14ac:dyDescent="0.4">
      <c r="A50" s="496" t="s">
        <v>297</v>
      </c>
      <c r="B50" s="631" t="s">
        <v>107</v>
      </c>
      <c r="C50" s="632">
        <v>22959</v>
      </c>
      <c r="D50" s="632">
        <v>23257</v>
      </c>
      <c r="E50" s="632">
        <v>46216</v>
      </c>
      <c r="F50" s="632">
        <v>16991</v>
      </c>
      <c r="G50" s="632">
        <v>17760</v>
      </c>
      <c r="H50" s="633">
        <v>35039</v>
      </c>
    </row>
    <row r="51" spans="1:8" x14ac:dyDescent="0.35">
      <c r="A51" s="619" t="s">
        <v>298</v>
      </c>
      <c r="B51" s="620" t="s">
        <v>112</v>
      </c>
      <c r="C51" s="621">
        <v>125950</v>
      </c>
      <c r="D51" s="621">
        <v>127040</v>
      </c>
      <c r="E51" s="621">
        <v>252990</v>
      </c>
      <c r="F51" s="621">
        <v>90814</v>
      </c>
      <c r="G51" s="621">
        <v>93587</v>
      </c>
      <c r="H51" s="606">
        <v>186728</v>
      </c>
    </row>
    <row r="52" spans="1:8" x14ac:dyDescent="0.35">
      <c r="A52" s="466" t="s">
        <v>299</v>
      </c>
      <c r="B52" s="622" t="s">
        <v>110</v>
      </c>
      <c r="C52" s="623">
        <v>21053</v>
      </c>
      <c r="D52" s="623">
        <v>21123</v>
      </c>
      <c r="E52" s="623">
        <v>42176</v>
      </c>
      <c r="F52" s="623">
        <v>15281</v>
      </c>
      <c r="G52" s="623">
        <v>15664</v>
      </c>
      <c r="H52" s="609">
        <v>31289</v>
      </c>
    </row>
    <row r="53" spans="1:8" x14ac:dyDescent="0.35">
      <c r="A53" s="466" t="s">
        <v>300</v>
      </c>
      <c r="B53" s="622" t="s">
        <v>112</v>
      </c>
      <c r="C53" s="623">
        <v>19375</v>
      </c>
      <c r="D53" s="623">
        <v>19468</v>
      </c>
      <c r="E53" s="623">
        <v>38843</v>
      </c>
      <c r="F53" s="623">
        <v>14056</v>
      </c>
      <c r="G53" s="623">
        <v>14409</v>
      </c>
      <c r="H53" s="609">
        <v>28792</v>
      </c>
    </row>
    <row r="54" spans="1:8" x14ac:dyDescent="0.35">
      <c r="A54" s="466" t="s">
        <v>301</v>
      </c>
      <c r="B54" s="622" t="s">
        <v>114</v>
      </c>
      <c r="C54" s="623">
        <v>23678</v>
      </c>
      <c r="D54" s="623">
        <v>23999</v>
      </c>
      <c r="E54" s="623">
        <v>47677</v>
      </c>
      <c r="F54" s="623">
        <v>17098</v>
      </c>
      <c r="G54" s="623">
        <v>17714</v>
      </c>
      <c r="H54" s="609">
        <v>35166</v>
      </c>
    </row>
    <row r="55" spans="1:8" x14ac:dyDescent="0.35">
      <c r="A55" s="466" t="s">
        <v>302</v>
      </c>
      <c r="B55" s="622" t="s">
        <v>116</v>
      </c>
      <c r="C55" s="623">
        <v>21064</v>
      </c>
      <c r="D55" s="623">
        <v>21168</v>
      </c>
      <c r="E55" s="623">
        <v>42232</v>
      </c>
      <c r="F55" s="623">
        <v>15443</v>
      </c>
      <c r="G55" s="623">
        <v>15875</v>
      </c>
      <c r="H55" s="609">
        <v>31621</v>
      </c>
    </row>
    <row r="56" spans="1:8" x14ac:dyDescent="0.35">
      <c r="A56" s="466" t="s">
        <v>303</v>
      </c>
      <c r="B56" s="622" t="s">
        <v>118</v>
      </c>
      <c r="C56" s="623">
        <v>18673</v>
      </c>
      <c r="D56" s="623">
        <v>18982</v>
      </c>
      <c r="E56" s="623">
        <v>37655</v>
      </c>
      <c r="F56" s="623">
        <v>13034</v>
      </c>
      <c r="G56" s="623">
        <v>13490</v>
      </c>
      <c r="H56" s="609">
        <v>26980</v>
      </c>
    </row>
    <row r="57" spans="1:8" ht="15" thickBot="1" x14ac:dyDescent="0.4">
      <c r="A57" s="624" t="s">
        <v>304</v>
      </c>
      <c r="B57" s="625" t="s">
        <v>120</v>
      </c>
      <c r="C57" s="626">
        <v>22107</v>
      </c>
      <c r="D57" s="626">
        <v>22300</v>
      </c>
      <c r="E57" s="626">
        <v>44407</v>
      </c>
      <c r="F57" s="626">
        <v>15902</v>
      </c>
      <c r="G57" s="626">
        <v>16435</v>
      </c>
      <c r="H57" s="610">
        <v>32880</v>
      </c>
    </row>
    <row r="58" spans="1:8" x14ac:dyDescent="0.35">
      <c r="A58" s="491" t="s">
        <v>305</v>
      </c>
      <c r="B58" s="627" t="s">
        <v>123</v>
      </c>
      <c r="C58" s="628">
        <v>61610</v>
      </c>
      <c r="D58" s="628">
        <v>62455</v>
      </c>
      <c r="E58" s="628">
        <v>124065</v>
      </c>
      <c r="F58" s="628">
        <v>44303</v>
      </c>
      <c r="G58" s="628">
        <v>45673</v>
      </c>
      <c r="H58" s="611">
        <v>91454</v>
      </c>
    </row>
    <row r="59" spans="1:8" x14ac:dyDescent="0.35">
      <c r="A59" s="481" t="s">
        <v>306</v>
      </c>
      <c r="B59" s="629" t="s">
        <v>123</v>
      </c>
      <c r="C59" s="630">
        <v>15990</v>
      </c>
      <c r="D59" s="630">
        <v>16349</v>
      </c>
      <c r="E59" s="630">
        <v>32339</v>
      </c>
      <c r="F59" s="630">
        <v>11721</v>
      </c>
      <c r="G59" s="630">
        <v>12227</v>
      </c>
      <c r="H59" s="608">
        <v>24297</v>
      </c>
    </row>
    <row r="60" spans="1:8" x14ac:dyDescent="0.35">
      <c r="A60" s="481" t="s">
        <v>307</v>
      </c>
      <c r="B60" s="629" t="s">
        <v>125</v>
      </c>
      <c r="C60" s="630">
        <v>8325</v>
      </c>
      <c r="D60" s="630">
        <v>8848</v>
      </c>
      <c r="E60" s="630">
        <v>17173</v>
      </c>
      <c r="F60" s="630">
        <v>6134</v>
      </c>
      <c r="G60" s="630">
        <v>6622</v>
      </c>
      <c r="H60" s="608">
        <v>12963</v>
      </c>
    </row>
    <row r="61" spans="1:8" x14ac:dyDescent="0.35">
      <c r="A61" s="481" t="s">
        <v>308</v>
      </c>
      <c r="B61" s="629" t="s">
        <v>127</v>
      </c>
      <c r="C61" s="630">
        <v>15206</v>
      </c>
      <c r="D61" s="630">
        <v>15258</v>
      </c>
      <c r="E61" s="630">
        <v>30464</v>
      </c>
      <c r="F61" s="630">
        <v>11020</v>
      </c>
      <c r="G61" s="630">
        <v>11240</v>
      </c>
      <c r="H61" s="608">
        <v>22602</v>
      </c>
    </row>
    <row r="62" spans="1:8" x14ac:dyDescent="0.35">
      <c r="A62" s="481" t="s">
        <v>309</v>
      </c>
      <c r="B62" s="629" t="s">
        <v>129</v>
      </c>
      <c r="C62" s="630">
        <v>10234</v>
      </c>
      <c r="D62" s="630">
        <v>10208</v>
      </c>
      <c r="E62" s="630">
        <v>20442</v>
      </c>
      <c r="F62" s="630">
        <v>7169</v>
      </c>
      <c r="G62" s="630">
        <v>7278</v>
      </c>
      <c r="H62" s="608">
        <v>14741</v>
      </c>
    </row>
    <row r="63" spans="1:8" ht="15" thickBot="1" x14ac:dyDescent="0.4">
      <c r="A63" s="496" t="s">
        <v>310</v>
      </c>
      <c r="B63" s="631" t="s">
        <v>131</v>
      </c>
      <c r="C63" s="632">
        <v>11855</v>
      </c>
      <c r="D63" s="632">
        <v>11792</v>
      </c>
      <c r="E63" s="632">
        <v>23647</v>
      </c>
      <c r="F63" s="632">
        <v>8259</v>
      </c>
      <c r="G63" s="632">
        <v>8306</v>
      </c>
      <c r="H63" s="633">
        <v>16851</v>
      </c>
    </row>
    <row r="64" spans="1:8" x14ac:dyDescent="0.35">
      <c r="A64" s="619" t="s">
        <v>311</v>
      </c>
      <c r="B64" s="620" t="s">
        <v>138</v>
      </c>
      <c r="C64" s="621">
        <v>115944</v>
      </c>
      <c r="D64" s="621">
        <v>115656</v>
      </c>
      <c r="E64" s="621">
        <v>231600</v>
      </c>
      <c r="F64" s="621">
        <v>82071</v>
      </c>
      <c r="G64" s="621">
        <v>83681</v>
      </c>
      <c r="H64" s="606">
        <v>168621</v>
      </c>
    </row>
    <row r="65" spans="1:8" x14ac:dyDescent="0.35">
      <c r="A65" s="466" t="s">
        <v>312</v>
      </c>
      <c r="B65" s="622" t="s">
        <v>134</v>
      </c>
      <c r="C65" s="623">
        <v>30690</v>
      </c>
      <c r="D65" s="623">
        <v>30216</v>
      </c>
      <c r="E65" s="623">
        <v>60906</v>
      </c>
      <c r="F65" s="623">
        <v>21305</v>
      </c>
      <c r="G65" s="623">
        <v>21422</v>
      </c>
      <c r="H65" s="609">
        <v>43585</v>
      </c>
    </row>
    <row r="66" spans="1:8" x14ac:dyDescent="0.35">
      <c r="A66" s="466" t="s">
        <v>313</v>
      </c>
      <c r="B66" s="622" t="s">
        <v>136</v>
      </c>
      <c r="C66" s="623">
        <v>23652</v>
      </c>
      <c r="D66" s="623">
        <v>23863</v>
      </c>
      <c r="E66" s="623">
        <v>47515</v>
      </c>
      <c r="F66" s="623">
        <v>16565</v>
      </c>
      <c r="G66" s="623">
        <v>16938</v>
      </c>
      <c r="H66" s="609">
        <v>34180</v>
      </c>
    </row>
    <row r="67" spans="1:8" x14ac:dyDescent="0.35">
      <c r="A67" s="466" t="s">
        <v>314</v>
      </c>
      <c r="B67" s="622" t="s">
        <v>138</v>
      </c>
      <c r="C67" s="623">
        <v>40843</v>
      </c>
      <c r="D67" s="623">
        <v>41131</v>
      </c>
      <c r="E67" s="623">
        <v>81974</v>
      </c>
      <c r="F67" s="623">
        <v>29370</v>
      </c>
      <c r="G67" s="623">
        <v>30346</v>
      </c>
      <c r="H67" s="609">
        <v>60603</v>
      </c>
    </row>
    <row r="68" spans="1:8" ht="15" thickBot="1" x14ac:dyDescent="0.4">
      <c r="A68" s="624" t="s">
        <v>315</v>
      </c>
      <c r="B68" s="625" t="s">
        <v>140</v>
      </c>
      <c r="C68" s="626">
        <v>20759</v>
      </c>
      <c r="D68" s="626">
        <v>20446</v>
      </c>
      <c r="E68" s="626">
        <v>41205</v>
      </c>
      <c r="F68" s="626">
        <v>14831</v>
      </c>
      <c r="G68" s="626">
        <v>14975</v>
      </c>
      <c r="H68" s="610">
        <v>30253</v>
      </c>
    </row>
    <row r="69" spans="1:8" x14ac:dyDescent="0.35">
      <c r="A69" s="491" t="s">
        <v>316</v>
      </c>
      <c r="B69" s="627" t="s">
        <v>148</v>
      </c>
      <c r="C69" s="634">
        <v>66759</v>
      </c>
      <c r="D69" s="634">
        <v>67205</v>
      </c>
      <c r="E69" s="634">
        <v>133964</v>
      </c>
      <c r="F69" s="634">
        <v>49505</v>
      </c>
      <c r="G69" s="634">
        <v>51028</v>
      </c>
      <c r="H69" s="607">
        <v>101499</v>
      </c>
    </row>
    <row r="70" spans="1:8" x14ac:dyDescent="0.35">
      <c r="A70" s="481" t="s">
        <v>317</v>
      </c>
      <c r="B70" s="629" t="s">
        <v>144</v>
      </c>
      <c r="C70" s="630">
        <v>29279</v>
      </c>
      <c r="D70" s="630">
        <v>29620</v>
      </c>
      <c r="E70" s="630">
        <v>58899</v>
      </c>
      <c r="F70" s="630">
        <v>21744</v>
      </c>
      <c r="G70" s="630">
        <v>22641</v>
      </c>
      <c r="H70" s="608">
        <v>44690</v>
      </c>
    </row>
    <row r="71" spans="1:8" x14ac:dyDescent="0.35">
      <c r="A71" s="481" t="s">
        <v>318</v>
      </c>
      <c r="B71" s="629" t="s">
        <v>146</v>
      </c>
      <c r="C71" s="630">
        <v>11807</v>
      </c>
      <c r="D71" s="630">
        <v>11997</v>
      </c>
      <c r="E71" s="630">
        <v>23804</v>
      </c>
      <c r="F71" s="630">
        <v>8791</v>
      </c>
      <c r="G71" s="630">
        <v>9090</v>
      </c>
      <c r="H71" s="608">
        <v>18056</v>
      </c>
    </row>
    <row r="72" spans="1:8" x14ac:dyDescent="0.35">
      <c r="A72" s="481" t="s">
        <v>319</v>
      </c>
      <c r="B72" s="629" t="s">
        <v>149</v>
      </c>
      <c r="C72" s="630">
        <v>11317</v>
      </c>
      <c r="D72" s="630">
        <v>11259</v>
      </c>
      <c r="E72" s="630">
        <v>22576</v>
      </c>
      <c r="F72" s="630">
        <v>8503</v>
      </c>
      <c r="G72" s="630">
        <v>8641</v>
      </c>
      <c r="H72" s="608">
        <v>17341</v>
      </c>
    </row>
    <row r="73" spans="1:8" ht="15" thickBot="1" x14ac:dyDescent="0.4">
      <c r="A73" s="496" t="s">
        <v>320</v>
      </c>
      <c r="B73" s="631" t="s">
        <v>151</v>
      </c>
      <c r="C73" s="635">
        <v>14356</v>
      </c>
      <c r="D73" s="635">
        <v>14329</v>
      </c>
      <c r="E73" s="635">
        <v>28685</v>
      </c>
      <c r="F73" s="635">
        <v>10467</v>
      </c>
      <c r="G73" s="635">
        <v>10656</v>
      </c>
      <c r="H73" s="612">
        <v>21412</v>
      </c>
    </row>
  </sheetData>
  <mergeCells count="1">
    <mergeCell ref="A1:H1"/>
  </mergeCells>
  <pageMargins left="0.78740157480314965" right="0.39370078740157483" top="0.39370078740157483" bottom="0.39370078740157483" header="0.31496062992125984" footer="0.31496062992125984"/>
  <pageSetup paperSize="5" scale="7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16</vt:i4>
      </vt:variant>
    </vt:vector>
  </HeadingPairs>
  <TitlesOfParts>
    <vt:vector size="31" baseType="lpstr">
      <vt:lpstr>JUMDUK</vt:lpstr>
      <vt:lpstr>JUMDUK KEC&amp; KEL (GRAPH)</vt:lpstr>
      <vt:lpstr>JUM_KK</vt:lpstr>
      <vt:lpstr>JUM_KK KECAMATAN</vt:lpstr>
      <vt:lpstr>JUMDUK_AGM</vt:lpstr>
      <vt:lpstr>JUMDUK PEND</vt:lpstr>
      <vt:lpstr>JUMDUK PEKERJAAN</vt:lpstr>
      <vt:lpstr>JUMDUK_GOLDAR</vt:lpstr>
      <vt:lpstr>JUMDUK_STUSKWN</vt:lpstr>
      <vt:lpstr>JUMDUK_STATHUBKEL</vt:lpstr>
      <vt:lpstr>JUMDUK_DISABLITAS</vt:lpstr>
      <vt:lpstr>JUMDUK_KELUMUR</vt:lpstr>
      <vt:lpstr>UMUR TUNGGAL</vt:lpstr>
      <vt:lpstr>PRODUKTIF_NON</vt:lpstr>
      <vt:lpstr>WAJIB KTP</vt:lpstr>
      <vt:lpstr>JUM_KK!Print_Area</vt:lpstr>
      <vt:lpstr>'JUM_KK KECAMATAN'!Print_Area</vt:lpstr>
      <vt:lpstr>'JUMDUK KEC&amp; KEL (GRAPH)'!Print_Area</vt:lpstr>
      <vt:lpstr>'JUMDUK PEKERJAAN'!Print_Area</vt:lpstr>
      <vt:lpstr>JUMDUK_DISABLITAS!Print_Area</vt:lpstr>
      <vt:lpstr>JUMDUK_GOLDAR!Print_Area</vt:lpstr>
      <vt:lpstr>JUMDUK_KELUMUR!Print_Area</vt:lpstr>
      <vt:lpstr>JUM_KK!Print_Titles</vt:lpstr>
      <vt:lpstr>JUMDUK!Print_Titles</vt:lpstr>
      <vt:lpstr>'JUMDUK PEKERJAAN'!Print_Titles</vt:lpstr>
      <vt:lpstr>JUMDUK_AGM!Print_Titles</vt:lpstr>
      <vt:lpstr>JUMDUK_DISABLITAS!Print_Titles</vt:lpstr>
      <vt:lpstr>JUMDUK_GOLDAR!Print_Titles</vt:lpstr>
      <vt:lpstr>JUMDUK_KELUMUR!Print_Titles</vt:lpstr>
      <vt:lpstr>JUMDUK_STATHUBKEL!Print_Titles</vt:lpstr>
      <vt:lpstr>'UMUR TUNGGAL'!Print_Titles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2026-08-12T08:20:41Z</dcterms:created>
  <dcterms:modified xsi:type="dcterms:W3CDTF">2026-08-20T03:35:21Z</dcterms:modified>
</cp:coreProperties>
</file>