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Petunjuk" sheetId="1" state="visible" r:id="rId1"/>
    <sheet name="Form Kondisi Halte" sheetId="2" state="visible" r:id="rId2"/>
    <sheet name="Form Traffic Counting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1B659D"/>
      <sz val="14"/>
    </font>
    <font>
      <name val="Arial"/>
      <charset val="1"/>
      <color rgb="FF000000"/>
      <sz val="11"/>
    </font>
    <font>
      <name val="Arial"/>
      <charset val="1"/>
      <color rgb="FF000000"/>
      <sz val="10"/>
    </font>
    <font>
      <name val="Arial"/>
      <charset val="1"/>
      <b val="1"/>
      <color rgb="FF1B659D"/>
      <sz val="12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1B659D"/>
      <sz val="10"/>
    </font>
    <font>
      <name val="Calibri"/>
      <charset val="1"/>
      <family val="2"/>
      <sz val="8"/>
    </font>
  </fonts>
  <fills count="6">
    <fill>
      <patternFill/>
    </fill>
    <fill>
      <patternFill patternType="gray125"/>
    </fill>
    <fill>
      <patternFill patternType="solid">
        <fgColor rgb="FF1B659D"/>
        <bgColor rgb="FF008080"/>
      </patternFill>
    </fill>
    <fill>
      <patternFill patternType="solid">
        <fgColor rgb="FFFCEEDC"/>
        <bgColor rgb="FFFFF2CC"/>
      </patternFill>
    </fill>
    <fill>
      <patternFill patternType="solid">
        <fgColor rgb="FFDCE9F2"/>
        <bgColor rgb="FFFCEEDC"/>
      </patternFill>
    </fill>
    <fill>
      <patternFill patternType="solid">
        <fgColor rgb="FFFFF2CC"/>
        <bgColor rgb="FFFCEE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" fontId="7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9F2"/>
      <rgbColor rgb="FF660066"/>
      <rgbColor rgb="FFFF8080"/>
      <rgbColor rgb="FF1B659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E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zoomScale="53" zoomScaleNormal="100" workbookViewId="0">
      <selection activeCell="A1" sqref="A1"/>
    </sheetView>
  </sheetViews>
  <sheetFormatPr baseColWidth="8" defaultColWidth="8.6640625" defaultRowHeight="14.4"/>
  <cols>
    <col width="100" customWidth="1" min="1" max="1"/>
  </cols>
  <sheetData>
    <row r="1" ht="30" customHeight="1">
      <c r="A1" s="1" t="inlineStr">
        <is>
          <t>GeoTransit Insight — Instrumen Survei Lapangan</t>
        </is>
      </c>
    </row>
    <row r="2" ht="19.5" customHeight="1">
      <c r="A2" s="2" t="inlineStr">
        <is>
          <t>Tim MBG (MassTransit Based Geoinsight) — MAPID WebGIS Competition 2026</t>
        </is>
      </c>
    </row>
    <row r="3" ht="19.5" customHeight="1">
      <c r="A3" s="3" t="n"/>
    </row>
    <row r="4" ht="30" customHeight="1">
      <c r="A4" s="4" t="inlineStr">
        <is>
          <t>Tujuan Dokumen</t>
        </is>
      </c>
    </row>
    <row r="5" ht="72" customHeight="1">
      <c r="A5" s="3" t="inlineStr">
        <is>
          <t>Spreadsheet ini adalah instrumen kerja untuk mengumpulkan data survei lapangan yang menjadi input Skor Survei Lapangan (S_survei) pada Composite Accessibility Index — sesuai metodologi di Bab 7a proposal GeoTransit Insight. Gunakan sebagai acuan saat membuat form digital di MAPID Apps, atau sebagai pencatatan cadangan di lapangan.</t>
        </is>
      </c>
    </row>
    <row r="6" ht="19.5" customHeight="1">
      <c r="A6" s="3" t="n"/>
    </row>
    <row r="7" ht="30" customHeight="1">
      <c r="A7" s="4" t="inlineStr">
        <is>
          <t>Dua Sheet Kerja</t>
        </is>
      </c>
    </row>
    <row r="8" ht="36" customHeight="1">
      <c r="A8" s="3" t="inlineStr">
        <is>
          <t>1. Form Kondisi Halte Eksisting — untuk titik yang SUDAH punya infrastruktur transit (menilai kualitas fungsional: kelengkapan fisik, headway aktual, okupansi).</t>
        </is>
      </c>
    </row>
    <row r="9" ht="36" customHeight="1">
      <c r="A9" s="3" t="inlineStr">
        <is>
          <t>2. Form Traffic Counting - Titik Kandidat — untuk titik yang BELUM punya halte resmi (menilai demand tersembunyi lewat penghitungan aktivitas naik-turun dan pejalan kaki).</t>
        </is>
      </c>
    </row>
    <row r="10" ht="19.5" customHeight="1">
      <c r="A10" s="3" t="n"/>
    </row>
    <row r="11" ht="30" customHeight="1">
      <c r="A11" s="4" t="inlineStr">
        <is>
          <t>Cara Pakai</t>
        </is>
      </c>
    </row>
    <row r="12" ht="19.5" customHeight="1">
      <c r="A12" s="3" t="inlineStr">
        <is>
          <t>- Baris berwarna oranye (baris 2) adalah petunjuk pengisian tiap kolom — jangan dihapus.</t>
        </is>
      </c>
    </row>
    <row r="13" ht="36" customHeight="1">
      <c r="A13" s="3" t="inlineStr">
        <is>
          <t>- Baris berwarna biru muda (baris 3) adalah CONTOH pengisian — boleh dihapus/ditimpa saat mulai input data.</t>
        </is>
      </c>
    </row>
    <row r="14" ht="36" customHeight="1">
      <c r="A14" s="3" t="inlineStr">
        <is>
          <t>- Kolom dengan latar kuning adalah kolom formula (skor) — terisi otomatis, jangan diedit manual.</t>
        </is>
      </c>
    </row>
    <row r="15" ht="36" customHeight="1">
      <c r="A15" s="3" t="inlineStr">
        <is>
          <t>- Isi satu baris per titik yang disurvei. Sertakan foto dengan menuliskan nama file/link Google Drive pada kolom Foto.</t>
        </is>
      </c>
    </row>
    <row r="16" ht="19.5" customHeight="1">
      <c r="A16" s="3" t="inlineStr">
        <is>
          <t>- Ambil koordinat GPS langsung dari MAPID Apps saat berada di lokasi untuk akurasi terbaik.</t>
        </is>
      </c>
    </row>
    <row r="17" ht="19.5" customHeight="1">
      <c r="A17" s="3" t="n"/>
    </row>
    <row r="18" ht="30" customHeight="1">
      <c r="A18" s="4" t="inlineStr">
        <is>
          <t>Referensi Formula</t>
        </is>
      </c>
    </row>
    <row r="19" ht="36" customHeight="1">
      <c r="A19" s="3" t="inlineStr">
        <is>
          <t>Skor Survei Gabungan (halte eksisting) = 0,4 x Skor Kelengkapan Fisik + 0,35 x Skor Kinerja Headway + 0,25 x Skor Okupansi</t>
        </is>
      </c>
    </row>
    <row r="20" ht="36" customHeight="1">
      <c r="A20" s="3" t="inlineStr">
        <is>
          <t>Skor Demand (titik kandidat) = Total Aktivitas Teramati, dinormalisasi terhadap titik tersibuk saat pengolahan data di QGIS/Python.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9"/>
  <sheetViews>
    <sheetView tabSelected="1" zoomScale="70" zoomScaleNormal="70" workbookViewId="0">
      <pane ySplit="3" topLeftCell="A10" activePane="bottomLeft" state="frozen"/>
      <selection pane="bottomLeft" activeCell="E16" sqref="E16"/>
    </sheetView>
  </sheetViews>
  <sheetFormatPr baseColWidth="8" defaultColWidth="8.6640625" defaultRowHeight="14.4"/>
  <cols>
    <col width="10" customWidth="1" min="1" max="1"/>
    <col width="22" customWidth="1" min="2" max="2"/>
    <col width="14" customWidth="1" min="3" max="4"/>
    <col width="11" customWidth="1" min="5" max="6"/>
    <col width="16" customWidth="1" min="7" max="7"/>
    <col width="13" customWidth="1" min="8" max="8"/>
    <col width="12" customWidth="1" min="9" max="9"/>
    <col width="14" customWidth="1" min="10" max="11"/>
    <col width="13" customWidth="1" min="12" max="13"/>
    <col width="12" customWidth="1" min="14" max="17"/>
    <col width="11" customWidth="1" min="18" max="18"/>
    <col width="12" customWidth="1" min="19" max="19"/>
    <col width="10" customWidth="1" min="20" max="20"/>
    <col width="12" customWidth="1" min="21" max="22"/>
    <col width="18" customWidth="1" min="23" max="23"/>
    <col width="22" customWidth="1" min="24" max="24"/>
  </cols>
  <sheetData>
    <row r="1" ht="47.4" customHeight="1">
      <c r="A1" s="5" t="inlineStr">
        <is>
          <t>ID Halte</t>
        </is>
      </c>
      <c r="B1" s="5" t="inlineStr">
        <is>
          <t>Nama Halte / Titik</t>
        </is>
      </c>
      <c r="C1" s="5" t="inlineStr">
        <is>
          <t>Kecamatan</t>
        </is>
      </c>
      <c r="D1" s="5" t="inlineStr">
        <is>
          <t>Kelurahan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Nama Surveyor</t>
        </is>
      </c>
      <c r="H1" s="5" t="inlineStr">
        <is>
          <t>Tanggal Survei</t>
        </is>
      </c>
      <c r="I1" s="5" t="inlineStr">
        <is>
          <t>Sesi (Pagi/Sore)</t>
        </is>
      </c>
      <c r="J1" s="5" t="inlineStr">
        <is>
          <t>Papan Nama (Ya/Tidak)</t>
        </is>
      </c>
      <c r="K1" s="5" t="inlineStr">
        <is>
          <t>Atap/Naungan (Ya/Tidak)</t>
        </is>
      </c>
      <c r="L1" s="5" t="inlineStr">
        <is>
          <t>Tempat Duduk (Ya/Tidak)</t>
        </is>
      </c>
      <c r="M1" s="5" t="inlineStr">
        <is>
          <t>Akses Difabel (Ya/Tidak)</t>
        </is>
      </c>
      <c r="N1" s="5" t="inlineStr">
        <is>
          <t>Penerangan (Ya/Tidak)</t>
        </is>
      </c>
      <c r="O1" s="5" t="inlineStr">
        <is>
          <t>Skor Kelengkapan Fisik</t>
        </is>
      </c>
      <c r="P1" s="5" t="inlineStr">
        <is>
          <t>Headway Aktual (menit)</t>
        </is>
      </c>
      <c r="Q1" s="5" t="inlineStr">
        <is>
          <t>Headway Ideal (menit)</t>
        </is>
      </c>
      <c r="R1" s="5" t="inlineStr">
        <is>
          <t>Skor Kinerja Headway</t>
        </is>
      </c>
      <c r="S1" s="5" t="inlineStr">
        <is>
          <t>Okupansi Rata-rata (%)</t>
        </is>
      </c>
      <c r="T1" s="5" t="inlineStr">
        <is>
          <t>Skor Okupansi</t>
        </is>
      </c>
      <c r="U1" s="5" t="inlineStr">
        <is>
          <t>Skor Survei Gabungan</t>
        </is>
      </c>
      <c r="V1" s="5" t="inlineStr">
        <is>
          <t>Jumlah Armada Teramati</t>
        </is>
      </c>
      <c r="W1" s="5" t="inlineStr">
        <is>
          <t>Foto (nama file/link)</t>
        </is>
      </c>
      <c r="X1" s="5" t="inlineStr">
        <is>
          <t>Catatan Tambahan</t>
        </is>
      </c>
    </row>
    <row r="2" ht="79.2" customHeight="1">
      <c r="A2" s="6" t="inlineStr">
        <is>
          <t>Kode unik, mis. HLT-001</t>
        </is>
      </c>
      <c r="B2" s="6" t="inlineStr">
        <is>
          <t>Nama resmi/sebutan lokal titik</t>
        </is>
      </c>
      <c r="C2" s="6" t="inlineStr">
        <is>
          <t>Sesuai wilayah administratif</t>
        </is>
      </c>
      <c r="D2" s="6" t="inlineStr">
        <is>
          <t>Sesuai wilayah administratif</t>
        </is>
      </c>
      <c r="E2" s="6" t="inlineStr">
        <is>
          <t>Format desimal, dari GPS MAPID Apps</t>
        </is>
      </c>
      <c r="F2" s="6" t="inlineStr">
        <is>
          <t>Format desimal, dari GPS MAPID Apps</t>
        </is>
      </c>
      <c r="G2" s="6" t="inlineStr">
        <is>
          <t>Nama anggota tim yang survei</t>
        </is>
      </c>
      <c r="H2" s="6" t="inlineStr">
        <is>
          <t>Format DD/MM/YYYY</t>
        </is>
      </c>
      <c r="I2" s="6" t="inlineStr">
        <is>
          <t>Pagi 05.30-07.30 /Siang 09:00-12:00/ Sore 16.00-18.00</t>
        </is>
      </c>
      <c r="J2" s="6" t="inlineStr">
        <is>
          <t>Isi Ya/Tidak</t>
        </is>
      </c>
      <c r="K2" s="6" t="inlineStr">
        <is>
          <t>Isi Ya/Tidak</t>
        </is>
      </c>
      <c r="L2" s="6" t="inlineStr">
        <is>
          <t>Isi Ya/Tidak</t>
        </is>
      </c>
      <c r="M2" s="6" t="inlineStr">
        <is>
          <t>Isi Ya/Tidak</t>
        </is>
      </c>
      <c r="N2" s="6" t="inlineStr">
        <is>
          <t>Isi Ya/Tidak</t>
        </is>
      </c>
      <c r="O2" s="6" t="inlineStr">
        <is>
          <t>Otomatis = jumlah Ya / 5</t>
        </is>
      </c>
      <c r="P2" s="6" t="inlineStr">
        <is>
          <t>Rata-rata interval kedatangan kendaraan selama observasi</t>
        </is>
      </c>
      <c r="Q2" s="6" t="inlineStr">
        <is>
          <t>Target standar, default 15 menit</t>
        </is>
      </c>
      <c r="R2" s="6" t="inlineStr">
        <is>
          <t>Otomatis = min(1, ideal/aktual)</t>
        </is>
      </c>
      <c r="S2" s="6" t="inlineStr">
        <is>
          <t>Estimasi visual rata-rata dari beberapa armada</t>
        </is>
      </c>
      <c r="T2" s="6" t="inlineStr">
        <is>
          <t>Otomatis = Okupansi/100</t>
        </is>
      </c>
      <c r="U2" s="6" t="inlineStr">
        <is>
          <t>Otomatis = 0,4xFisik + 0,35xHeadway + 0,25xOkupansi</t>
        </is>
      </c>
      <c r="V2" s="6" t="inlineStr">
        <is>
          <t>Jumlah kendaraan lewat selama observasi</t>
        </is>
      </c>
      <c r="W2" s="6" t="inlineStr">
        <is>
          <t>Nama file foto atau link Drive</t>
        </is>
      </c>
      <c r="X2" s="6" t="inlineStr">
        <is>
          <t>Kondisi lain yang relevan</t>
        </is>
      </c>
    </row>
    <row r="3" ht="26.4" customHeight="1">
      <c r="A3" s="7" t="inlineStr">
        <is>
          <t>HLT-001</t>
        </is>
      </c>
      <c r="B3" s="7" t="inlineStr">
        <is>
          <t>Halte Summarecon Bekasi</t>
        </is>
      </c>
      <c r="C3" s="7" t="inlineStr">
        <is>
          <t>Bekasi Utara</t>
        </is>
      </c>
      <c r="D3" s="7" t="inlineStr">
        <is>
          <t>Marga Mulya</t>
        </is>
      </c>
      <c r="E3" s="8" t="n">
        <v>-6.2185</v>
      </c>
      <c r="F3" s="8" t="n">
        <v>107.0074</v>
      </c>
      <c r="G3" s="7" t="inlineStr">
        <is>
          <t>Rafael Williem</t>
        </is>
      </c>
      <c r="H3" s="7" t="inlineStr">
        <is>
          <t>10/08/2026</t>
        </is>
      </c>
      <c r="I3" s="7" t="inlineStr">
        <is>
          <t>Pagi</t>
        </is>
      </c>
      <c r="J3" s="7" t="inlineStr">
        <is>
          <t>Ya</t>
        </is>
      </c>
      <c r="K3" s="7" t="inlineStr">
        <is>
          <t>Ya</t>
        </is>
      </c>
      <c r="L3" s="7" t="inlineStr">
        <is>
          <t>Tidak</t>
        </is>
      </c>
      <c r="M3" s="7" t="inlineStr">
        <is>
          <t>Tidak</t>
        </is>
      </c>
      <c r="N3" s="7" t="inlineStr">
        <is>
          <t>Ya</t>
        </is>
      </c>
      <c r="O3" s="9">
        <f>IFERROR(COUNTIF(J3:N3,"Ya")/5,"")</f>
        <v/>
      </c>
      <c r="P3" s="10" t="n">
        <v>8</v>
      </c>
      <c r="Q3" s="10" t="n">
        <v>15</v>
      </c>
      <c r="R3" s="9">
        <f>IFERROR(MIN(1,Q3/P3),"")</f>
        <v/>
      </c>
      <c r="S3" s="10" t="n">
        <v>70</v>
      </c>
      <c r="T3" s="9">
        <f>IFERROR(S3/100,"")</f>
        <v/>
      </c>
      <c r="U3" s="9">
        <f>IFERROR(0.4*O3+0.35*R3+0.25*T3,"")</f>
        <v/>
      </c>
      <c r="V3" s="10" t="n">
        <v>6</v>
      </c>
      <c r="W3" s="7" t="inlineStr">
        <is>
          <t>IMG_HLT001.jpg</t>
        </is>
      </c>
      <c r="X3" s="7" t="inlineStr">
        <is>
          <t>Ramai jam berangkat kerja</t>
        </is>
      </c>
    </row>
    <row r="4" ht="40.05" customHeight="1">
      <c r="A4" s="11" t="inlineStr">
        <is>
          <t>HLT-001</t>
        </is>
      </c>
      <c r="B4" s="11" t="inlineStr">
        <is>
          <t>Halte Simpang Pekayon</t>
        </is>
      </c>
      <c r="C4" s="11" t="inlineStr">
        <is>
          <t>Bekasi Selatan</t>
        </is>
      </c>
      <c r="D4" s="11" t="inlineStr">
        <is>
          <t>Marga Jaya</t>
        </is>
      </c>
      <c r="E4" s="12" t="n">
        <v>-6.25645</v>
      </c>
      <c r="F4" s="12" t="n">
        <v>106.99116</v>
      </c>
      <c r="G4" s="11" t="inlineStr">
        <is>
          <t>Samuel Alfa Edison</t>
        </is>
      </c>
      <c r="H4" s="11" t="n"/>
      <c r="I4" s="11" t="inlineStr">
        <is>
          <t>Pagi</t>
        </is>
      </c>
      <c r="J4" s="11" t="inlineStr">
        <is>
          <t>Ya</t>
        </is>
      </c>
      <c r="K4" s="11" t="inlineStr">
        <is>
          <t>Tidak</t>
        </is>
      </c>
      <c r="L4" s="11" t="inlineStr">
        <is>
          <t>Tidak</t>
        </is>
      </c>
      <c r="M4" s="11" t="inlineStr">
        <is>
          <t>Tidak</t>
        </is>
      </c>
      <c r="N4" s="11" t="inlineStr">
        <is>
          <t>Tidak</t>
        </is>
      </c>
      <c r="O4" s="9">
        <f>IFERROR(COUNTIF(J4:N4,"Ya")/5,"")</f>
        <v/>
      </c>
      <c r="P4" s="13" t="n">
        <v>13</v>
      </c>
      <c r="Q4" s="13" t="n">
        <v>15</v>
      </c>
      <c r="R4" s="9">
        <f>IFERROR(MIN(1,Q4/P4),"")</f>
        <v/>
      </c>
      <c r="S4" s="13" t="n">
        <v>75</v>
      </c>
      <c r="T4" s="9">
        <f>IFERROR(S4/100,"")</f>
        <v/>
      </c>
      <c r="U4" s="9">
        <f>IFERROR(0.4*O4+0.35*R4+0.25*T4,"")</f>
        <v/>
      </c>
      <c r="V4" s="13" t="n">
        <v>50</v>
      </c>
      <c r="W4" s="11" t="n"/>
      <c r="X4" s="11" t="inlineStr">
        <is>
          <t>Ramai Jam istirahat siang</t>
        </is>
      </c>
    </row>
    <row r="5" ht="40.05" customHeight="1">
      <c r="A5" s="11" t="inlineStr">
        <is>
          <t>HLT-002</t>
        </is>
      </c>
      <c r="B5" s="11" t="inlineStr">
        <is>
          <t>Halte Revo Mall</t>
        </is>
      </c>
      <c r="C5" s="11" t="inlineStr">
        <is>
          <t>Bekasi Selatan</t>
        </is>
      </c>
      <c r="D5" s="11" t="inlineStr">
        <is>
          <t>Pekayon Jaya</t>
        </is>
      </c>
      <c r="E5" s="12" t="n">
        <v>-6.25558</v>
      </c>
      <c r="F5" s="12" t="n">
        <v>106.99061</v>
      </c>
      <c r="G5" s="11" t="inlineStr">
        <is>
          <t>Samuel Alfa Edison</t>
        </is>
      </c>
      <c r="H5" s="11" t="n"/>
      <c r="I5" s="11" t="inlineStr">
        <is>
          <t>Siang</t>
        </is>
      </c>
      <c r="J5" s="11" t="inlineStr">
        <is>
          <t>Ya</t>
        </is>
      </c>
      <c r="K5" s="11" t="inlineStr">
        <is>
          <t>Ya</t>
        </is>
      </c>
      <c r="L5" s="11" t="inlineStr">
        <is>
          <t>Ya</t>
        </is>
      </c>
      <c r="M5" s="11" t="inlineStr">
        <is>
          <t>Tidak</t>
        </is>
      </c>
      <c r="N5" s="11" t="inlineStr">
        <is>
          <t>Ya</t>
        </is>
      </c>
      <c r="O5" s="9">
        <f>IFERROR(COUNTIF(J5:N5,"Ya")/5,"")</f>
        <v/>
      </c>
      <c r="P5" s="13" t="n">
        <v>13</v>
      </c>
      <c r="Q5" s="13" t="n">
        <v>15</v>
      </c>
      <c r="R5" s="9">
        <f>IFERROR(MIN(1,Q5/P5),"")</f>
        <v/>
      </c>
      <c r="S5" s="13" t="n">
        <v>75</v>
      </c>
      <c r="T5" s="9">
        <f>IFERROR(S5/100,"")</f>
        <v/>
      </c>
      <c r="U5" s="9">
        <f>IFERROR(0.4*O5+0.35*R5+0.25*T5,"")</f>
        <v/>
      </c>
      <c r="V5" s="13" t="n">
        <v>60</v>
      </c>
      <c r="W5" s="11" t="n"/>
      <c r="X5" s="11" t="inlineStr">
        <is>
          <t>Ramai Jam istirahat siang</t>
        </is>
      </c>
    </row>
    <row r="6" ht="40.05" customHeight="1">
      <c r="A6" s="11" t="inlineStr">
        <is>
          <t>HLT-003</t>
        </is>
      </c>
      <c r="B6" s="11" t="inlineStr">
        <is>
          <t>Halte Rs. Elisabeth</t>
        </is>
      </c>
      <c r="C6" s="11" t="inlineStr">
        <is>
          <t>Rawa Lumbu</t>
        </is>
      </c>
      <c r="D6" s="11" t="inlineStr">
        <is>
          <t>Bojong Rawalumbu</t>
        </is>
      </c>
      <c r="E6" s="12" t="n">
        <v>-6.2771474</v>
      </c>
      <c r="F6" s="12" t="n">
        <v>106.9919647</v>
      </c>
      <c r="G6" s="11" t="inlineStr">
        <is>
          <t>Samuel Alfa Edison</t>
        </is>
      </c>
      <c r="H6" s="11" t="n"/>
      <c r="I6" s="11" t="inlineStr">
        <is>
          <t>Siang</t>
        </is>
      </c>
      <c r="J6" s="11" t="inlineStr">
        <is>
          <t>Ya</t>
        </is>
      </c>
      <c r="K6" s="11" t="inlineStr">
        <is>
          <t>Ya</t>
        </is>
      </c>
      <c r="L6" s="11" t="inlineStr">
        <is>
          <t>Tidak</t>
        </is>
      </c>
      <c r="M6" s="11" t="inlineStr">
        <is>
          <t>Tidak</t>
        </is>
      </c>
      <c r="N6" s="11" t="inlineStr">
        <is>
          <t>Tidak</t>
        </is>
      </c>
      <c r="O6" s="9">
        <f>IFERROR(COUNTIF(J6:N6,"Ya")/5,"")</f>
        <v/>
      </c>
      <c r="P6" s="13" t="n">
        <v>15</v>
      </c>
      <c r="Q6" s="13" t="n">
        <v>15</v>
      </c>
      <c r="R6" s="9">
        <f>IFERROR(MIN(1,Q6/P6),"")</f>
        <v/>
      </c>
      <c r="S6" s="13" t="n">
        <v>45</v>
      </c>
      <c r="T6" s="9">
        <f>IFERROR(S6/100,"")</f>
        <v/>
      </c>
      <c r="U6" s="9">
        <f>IFERROR(0.4*O6+0.35*R6+0.25*T6,"")</f>
        <v/>
      </c>
      <c r="V6" s="13" t="n">
        <v>25</v>
      </c>
      <c r="W6" s="11" t="n"/>
      <c r="X6" s="11" t="inlineStr">
        <is>
          <t>Penumpang yang paling sering menunggu adalah murid dari sekolah SMA Marsudirini</t>
        </is>
      </c>
    </row>
    <row r="7" ht="40.05" customHeight="1">
      <c r="A7" s="11" t="inlineStr">
        <is>
          <t>HLT-004</t>
        </is>
      </c>
      <c r="B7" s="11" t="inlineStr">
        <is>
          <t>Halte Pesona Metroprolitan Bekasi 1</t>
        </is>
      </c>
      <c r="C7" s="11" t="inlineStr">
        <is>
          <t>Rawa Lumbu</t>
        </is>
      </c>
      <c r="D7" s="11" t="inlineStr">
        <is>
          <t>Bojong Rawalumbu</t>
        </is>
      </c>
      <c r="E7" s="12" t="n">
        <v>-6.2917104</v>
      </c>
      <c r="F7" s="12" t="n">
        <v>106.9848925</v>
      </c>
      <c r="G7" s="11" t="inlineStr">
        <is>
          <t>Samuel Alfa Edison</t>
        </is>
      </c>
      <c r="H7" s="11" t="n"/>
      <c r="I7" s="11" t="inlineStr">
        <is>
          <t>Siang</t>
        </is>
      </c>
      <c r="J7" s="11" t="inlineStr">
        <is>
          <t>Ya</t>
        </is>
      </c>
      <c r="K7" s="11" t="inlineStr">
        <is>
          <t>Tidak</t>
        </is>
      </c>
      <c r="L7" s="11" t="inlineStr">
        <is>
          <t>Tidak</t>
        </is>
      </c>
      <c r="M7" s="11" t="inlineStr">
        <is>
          <t>Tidak</t>
        </is>
      </c>
      <c r="N7" s="11" t="inlineStr">
        <is>
          <t>Tidak</t>
        </is>
      </c>
      <c r="O7" s="9">
        <f>IFERROR(COUNTIF(J7:N7,"Ya")/5,"")</f>
        <v/>
      </c>
      <c r="P7" s="13" t="n">
        <v>15</v>
      </c>
      <c r="Q7" s="13" t="n">
        <v>15</v>
      </c>
      <c r="R7" s="9">
        <f>IFERROR(MIN(1,Q7/P7),"")</f>
        <v/>
      </c>
      <c r="S7" s="13" t="n">
        <v>45</v>
      </c>
      <c r="T7" s="9">
        <f>IFERROR(S7/100,"")</f>
        <v/>
      </c>
      <c r="U7" s="9">
        <f>IFERROR(0.4*O7+0.35*R7+0.25*T7,"")</f>
        <v/>
      </c>
      <c r="V7" s="13" t="n">
        <v>20</v>
      </c>
      <c r="W7" s="11" t="n"/>
      <c r="X7" s="11" t="n"/>
    </row>
    <row r="8" ht="40.05" customHeight="1">
      <c r="A8" s="11" t="inlineStr">
        <is>
          <t>HLT-005</t>
        </is>
      </c>
      <c r="B8" s="11" t="inlineStr">
        <is>
          <t>Halte Pesona Metroprolitan Bekasi 2</t>
        </is>
      </c>
      <c r="C8" s="11" t="inlineStr">
        <is>
          <t>Rawa Lumbu</t>
        </is>
      </c>
      <c r="D8" s="11" t="inlineStr">
        <is>
          <t>Bojong Rawalumbu</t>
        </is>
      </c>
      <c r="E8" s="12" t="n">
        <v>-6.29145</v>
      </c>
      <c r="F8" s="12" t="n">
        <v>106.98476</v>
      </c>
      <c r="G8" s="11" t="inlineStr">
        <is>
          <t>Samuel Alfa Edison</t>
        </is>
      </c>
      <c r="H8" s="11" t="n"/>
      <c r="I8" s="11" t="inlineStr">
        <is>
          <t>Siang</t>
        </is>
      </c>
      <c r="J8" s="11" t="inlineStr">
        <is>
          <t>Ya</t>
        </is>
      </c>
      <c r="K8" s="11" t="inlineStr">
        <is>
          <t>Tidak</t>
        </is>
      </c>
      <c r="L8" s="11" t="inlineStr">
        <is>
          <t>Tidak</t>
        </is>
      </c>
      <c r="M8" s="11" t="inlineStr">
        <is>
          <t>Tidak</t>
        </is>
      </c>
      <c r="N8" s="11" t="inlineStr">
        <is>
          <t>Tidak</t>
        </is>
      </c>
      <c r="O8" s="9">
        <f>IFERROR(COUNTIF(J8:N8,"Ya")/5,"")</f>
        <v/>
      </c>
      <c r="P8" s="13" t="n">
        <v>15</v>
      </c>
      <c r="Q8" s="13" t="n">
        <v>15</v>
      </c>
      <c r="R8" s="9">
        <f>IFERROR(MIN(1,Q8/P8),"")</f>
        <v/>
      </c>
      <c r="S8" s="13" t="n">
        <v>45</v>
      </c>
      <c r="T8" s="9">
        <f>IFERROR(S8/100,"")</f>
        <v/>
      </c>
      <c r="U8" s="9">
        <f>IFERROR(0.4*O8+0.35*R8+0.25*T8,"")</f>
        <v/>
      </c>
      <c r="V8" s="13" t="n">
        <v>20</v>
      </c>
      <c r="W8" s="11" t="n"/>
      <c r="X8" s="11" t="n"/>
    </row>
    <row r="9" ht="40.05" customHeight="1">
      <c r="A9" s="11" t="inlineStr">
        <is>
          <t>HLT-006</t>
        </is>
      </c>
      <c r="B9" s="11" t="inlineStr">
        <is>
          <t>Halte STISIP Bekasi 1</t>
        </is>
      </c>
      <c r="C9" s="11" t="inlineStr">
        <is>
          <t>Bantar Gebang</t>
        </is>
      </c>
      <c r="D9" s="11" t="inlineStr">
        <is>
          <t>Bantar Gebang</t>
        </is>
      </c>
      <c r="E9" s="12" t="n">
        <v>-6.30884</v>
      </c>
      <c r="F9" s="12" t="n">
        <v>106.98381</v>
      </c>
      <c r="G9" s="11" t="inlineStr">
        <is>
          <t>Samuel Alfa Edison</t>
        </is>
      </c>
      <c r="H9" s="11" t="n"/>
      <c r="I9" s="11" t="inlineStr">
        <is>
          <t>Siang</t>
        </is>
      </c>
      <c r="J9" s="11" t="inlineStr">
        <is>
          <t>Ya</t>
        </is>
      </c>
      <c r="K9" s="11" t="inlineStr">
        <is>
          <t>Ya</t>
        </is>
      </c>
      <c r="L9" s="11" t="inlineStr">
        <is>
          <t>Tidak</t>
        </is>
      </c>
      <c r="M9" s="11" t="inlineStr">
        <is>
          <t>Tidak</t>
        </is>
      </c>
      <c r="N9" s="11" t="inlineStr">
        <is>
          <t>Tidak</t>
        </is>
      </c>
      <c r="O9" s="9">
        <f>IFERROR(COUNTIF(J9:N9,"Ya")/5,"")</f>
        <v/>
      </c>
      <c r="P9" s="13" t="n">
        <v>15</v>
      </c>
      <c r="Q9" s="13" t="n">
        <v>15</v>
      </c>
      <c r="R9" s="9">
        <f>IFERROR(MIN(1,Q9/P9),"")</f>
        <v/>
      </c>
      <c r="S9" s="13" t="n">
        <v>45</v>
      </c>
      <c r="T9" s="9">
        <f>IFERROR(S9/100,"")</f>
        <v/>
      </c>
      <c r="U9" s="9">
        <f>IFERROR(0.4*O9+0.35*R9+0.25*T9,"")</f>
        <v/>
      </c>
      <c r="V9" s="13" t="n">
        <v>30</v>
      </c>
      <c r="W9" s="11" t="n"/>
      <c r="X9" s="11" t="n"/>
    </row>
    <row r="10" ht="40.05" customHeight="1">
      <c r="A10" s="11" t="inlineStr">
        <is>
          <t>HLT-007</t>
        </is>
      </c>
      <c r="B10" s="11" t="inlineStr">
        <is>
          <t>Halte STISIP Bekasi 2</t>
        </is>
      </c>
      <c r="C10" s="11" t="inlineStr">
        <is>
          <t>Bantar Gebang</t>
        </is>
      </c>
      <c r="D10" s="11" t="inlineStr">
        <is>
          <t>Bantar Gebang</t>
        </is>
      </c>
      <c r="E10" s="12" t="n">
        <v>-6.30881</v>
      </c>
      <c r="F10" s="12" t="n">
        <v>106.98365</v>
      </c>
      <c r="G10" s="11" t="inlineStr">
        <is>
          <t>Samuel Alfa Edison</t>
        </is>
      </c>
      <c r="H10" s="11" t="n"/>
      <c r="I10" s="11" t="inlineStr">
        <is>
          <t>Siang</t>
        </is>
      </c>
      <c r="J10" s="11" t="inlineStr">
        <is>
          <t>Ya</t>
        </is>
      </c>
      <c r="K10" s="11" t="inlineStr">
        <is>
          <t>Tidak</t>
        </is>
      </c>
      <c r="L10" s="11" t="inlineStr">
        <is>
          <t>Tidak</t>
        </is>
      </c>
      <c r="M10" s="11" t="inlineStr">
        <is>
          <t>Tidak</t>
        </is>
      </c>
      <c r="N10" s="11" t="inlineStr">
        <is>
          <t>Tidak</t>
        </is>
      </c>
      <c r="O10" s="9">
        <f>IFERROR(COUNTIF(J10:N10,"Ya")/5,"")</f>
        <v/>
      </c>
      <c r="P10" s="13" t="n">
        <v>15</v>
      </c>
      <c r="Q10" s="13" t="n">
        <v>15</v>
      </c>
      <c r="R10" s="9">
        <f>IFERROR(MIN(1,Q10/P10),"")</f>
        <v/>
      </c>
      <c r="S10" s="13" t="n">
        <v>45</v>
      </c>
      <c r="T10" s="9">
        <f>IFERROR(S10/100,"")</f>
        <v/>
      </c>
      <c r="U10" s="9">
        <f>IFERROR(0.4*O10+0.35*R10+0.25*T10,"")</f>
        <v/>
      </c>
      <c r="V10" s="13" t="n">
        <v>30</v>
      </c>
      <c r="W10" s="11" t="n"/>
      <c r="X10" s="11" t="n"/>
    </row>
    <row r="11" ht="40.05" customHeight="1">
      <c r="A11" s="11" t="inlineStr">
        <is>
          <t>HLT-008</t>
        </is>
      </c>
      <c r="B11" s="11" t="inlineStr">
        <is>
          <t>Halte Simpang Sawo</t>
        </is>
      </c>
      <c r="C11" s="11" t="inlineStr">
        <is>
          <t>Bantar Gebang</t>
        </is>
      </c>
      <c r="D11" s="11" t="inlineStr">
        <is>
          <t>Bantar Gebang</t>
        </is>
      </c>
      <c r="E11" s="12" t="n">
        <v>-6.3104</v>
      </c>
      <c r="F11" s="12" t="n">
        <v>106.98487</v>
      </c>
      <c r="G11" s="11" t="inlineStr">
        <is>
          <t>Samuel Alfa Edison</t>
        </is>
      </c>
      <c r="H11" s="11" t="n"/>
      <c r="I11" s="11" t="inlineStr">
        <is>
          <t>Siang</t>
        </is>
      </c>
      <c r="J11" s="11" t="inlineStr">
        <is>
          <t>Ya</t>
        </is>
      </c>
      <c r="K11" s="11" t="inlineStr">
        <is>
          <t>Tidak</t>
        </is>
      </c>
      <c r="L11" s="11" t="inlineStr">
        <is>
          <t>Tidak</t>
        </is>
      </c>
      <c r="M11" s="11" t="inlineStr">
        <is>
          <t>Tidak</t>
        </is>
      </c>
      <c r="N11" s="11" t="inlineStr">
        <is>
          <t>Tidak</t>
        </is>
      </c>
      <c r="O11" s="9">
        <f>IFERROR(COUNTIF(J11:N11,"Ya")/5,"")</f>
        <v/>
      </c>
      <c r="P11" s="13" t="n">
        <v>15</v>
      </c>
      <c r="Q11" s="13" t="n">
        <v>15</v>
      </c>
      <c r="R11" s="9">
        <f>IFERROR(MIN(1,Q11/P11),"")</f>
        <v/>
      </c>
      <c r="S11" s="13" t="n">
        <v>45</v>
      </c>
      <c r="T11" s="9">
        <f>IFERROR(S11/100,"")</f>
        <v/>
      </c>
      <c r="U11" s="9">
        <f>IFERROR(0.4*O11+0.35*R11+0.25*T11,"")</f>
        <v/>
      </c>
      <c r="V11" s="13" t="n">
        <v>30</v>
      </c>
      <c r="W11" s="11" t="n"/>
      <c r="X11" s="11" t="n"/>
    </row>
    <row r="12" ht="40.05" customHeight="1">
      <c r="A12" s="11" t="inlineStr">
        <is>
          <t>HLT-009</t>
        </is>
      </c>
      <c r="B12" s="11" t="inlineStr">
        <is>
          <t>Halte Simpang Sawo 2</t>
        </is>
      </c>
      <c r="C12" s="11" t="inlineStr">
        <is>
          <t>Bantar Gebang</t>
        </is>
      </c>
      <c r="D12" s="11" t="inlineStr">
        <is>
          <t>Bantar Gebang</t>
        </is>
      </c>
      <c r="E12" s="12" t="n">
        <v>-6.31048</v>
      </c>
      <c r="F12" s="12" t="n">
        <v>106.98482</v>
      </c>
      <c r="G12" s="11" t="inlineStr">
        <is>
          <t>Samuel Alfa Edison</t>
        </is>
      </c>
      <c r="H12" s="11" t="n"/>
      <c r="I12" s="11" t="inlineStr">
        <is>
          <t>Siang</t>
        </is>
      </c>
      <c r="J12" s="11" t="inlineStr">
        <is>
          <t>Ya</t>
        </is>
      </c>
      <c r="K12" s="11" t="inlineStr">
        <is>
          <t>Tidak</t>
        </is>
      </c>
      <c r="L12" s="11" t="inlineStr">
        <is>
          <t>Tidak</t>
        </is>
      </c>
      <c r="M12" s="11" t="inlineStr">
        <is>
          <t>Tidak</t>
        </is>
      </c>
      <c r="N12" s="11" t="inlineStr">
        <is>
          <t>Tidak</t>
        </is>
      </c>
      <c r="O12" s="9">
        <f>IFERROR(COUNTIF(J12:N12,"Ya")/5,"")</f>
        <v/>
      </c>
      <c r="P12" s="13" t="n">
        <v>15</v>
      </c>
      <c r="Q12" s="13" t="n">
        <v>15</v>
      </c>
      <c r="R12" s="9">
        <f>IFERROR(MIN(1,Q12/P12),"")</f>
        <v/>
      </c>
      <c r="S12" s="13" t="n">
        <v>45</v>
      </c>
      <c r="T12" s="9">
        <f>IFERROR(S12/100,"")</f>
        <v/>
      </c>
      <c r="U12" s="9">
        <f>IFERROR(0.4*O12+0.35*R12+0.25*T12,"")</f>
        <v/>
      </c>
      <c r="V12" s="13" t="n">
        <v>30</v>
      </c>
      <c r="W12" s="11" t="n"/>
      <c r="X12" s="11" t="n"/>
    </row>
    <row r="13" ht="40.05" customHeight="1">
      <c r="A13" s="11" t="inlineStr">
        <is>
          <t>HLT-010</t>
        </is>
      </c>
      <c r="B13" s="11" t="inlineStr">
        <is>
          <t>Halte Perum Sapta Taruna III</t>
        </is>
      </c>
      <c r="C13" s="11" t="inlineStr">
        <is>
          <t>Bojong Rawalumbu</t>
        </is>
      </c>
      <c r="D13" s="11" t="inlineStr">
        <is>
          <t>Rawalumbu</t>
        </is>
      </c>
      <c r="E13" s="12" t="n">
        <v>-6.2833512</v>
      </c>
      <c r="F13" s="12" t="n">
        <v>106.989219</v>
      </c>
      <c r="G13" s="11" t="inlineStr">
        <is>
          <t>Samuel Alfa Edison</t>
        </is>
      </c>
      <c r="H13" s="11" t="n"/>
      <c r="I13" s="11" t="inlineStr">
        <is>
          <t>Siang</t>
        </is>
      </c>
      <c r="J13" s="11" t="inlineStr">
        <is>
          <t>Ya</t>
        </is>
      </c>
      <c r="K13" s="11" t="inlineStr">
        <is>
          <t>Ya</t>
        </is>
      </c>
      <c r="L13" s="11" t="inlineStr">
        <is>
          <t>Tidak</t>
        </is>
      </c>
      <c r="M13" s="11" t="inlineStr">
        <is>
          <t>Tidak</t>
        </is>
      </c>
      <c r="N13" s="11" t="inlineStr">
        <is>
          <t>Tidak</t>
        </is>
      </c>
      <c r="O13" s="9">
        <f>IFERROR(COUNTIF(J13:N13,"Ya")/5,"")</f>
        <v/>
      </c>
      <c r="P13" s="13" t="n">
        <v>15</v>
      </c>
      <c r="Q13" s="13" t="n">
        <v>15</v>
      </c>
      <c r="R13" s="9">
        <f>IFERROR(MIN(1,Q13/P13),"")</f>
        <v/>
      </c>
      <c r="S13" s="13" t="n">
        <v>40</v>
      </c>
      <c r="T13" s="9">
        <f>IFERROR(S13/100,"")</f>
        <v/>
      </c>
      <c r="U13" s="9">
        <f>IFERROR(0.4*O13+0.35*R13+0.25*T13,"")</f>
        <v/>
      </c>
      <c r="V13" s="13" t="n">
        <v>25</v>
      </c>
      <c r="W13" s="11" t="n"/>
      <c r="X13" s="11" t="n"/>
    </row>
    <row r="14" ht="40.05" customHeight="1">
      <c r="A14" s="11" t="inlineStr">
        <is>
          <t>HLT-011</t>
        </is>
      </c>
      <c r="B14" s="11" t="inlineStr">
        <is>
          <t>Masjid At-Taqwa 2</t>
        </is>
      </c>
      <c r="C14" s="11" t="inlineStr">
        <is>
          <t>Rawa Lumbu</t>
        </is>
      </c>
      <c r="D14" s="11" t="inlineStr">
        <is>
          <t>Bojong Menteng</t>
        </is>
      </c>
      <c r="E14" s="12" t="n">
        <v>-6.30268</v>
      </c>
      <c r="F14" s="12" t="n">
        <v>106.98334</v>
      </c>
      <c r="G14" s="11" t="inlineStr">
        <is>
          <t>Samuel Alfa Edison</t>
        </is>
      </c>
      <c r="H14" s="11" t="n"/>
      <c r="I14" s="11" t="inlineStr">
        <is>
          <t>Siang</t>
        </is>
      </c>
      <c r="J14" s="11" t="inlineStr">
        <is>
          <t>Ya</t>
        </is>
      </c>
      <c r="K14" s="11" t="inlineStr">
        <is>
          <t>Ya</t>
        </is>
      </c>
      <c r="L14" s="11" t="inlineStr">
        <is>
          <t>Tidak</t>
        </is>
      </c>
      <c r="M14" s="11" t="inlineStr">
        <is>
          <t>Tidak</t>
        </is>
      </c>
      <c r="N14" s="11" t="inlineStr">
        <is>
          <t>Tidak</t>
        </is>
      </c>
      <c r="O14" s="9">
        <f>IFERROR(COUNTIF(J14:N14,"Ya")/5,"")</f>
        <v/>
      </c>
      <c r="P14" s="13" t="n">
        <v>15</v>
      </c>
      <c r="Q14" s="13" t="n">
        <v>15</v>
      </c>
      <c r="R14" s="9">
        <f>IFERROR(MIN(1,Q14/P14),"")</f>
        <v/>
      </c>
      <c r="S14" s="13" t="n">
        <v>40</v>
      </c>
      <c r="T14" s="9">
        <f>IFERROR(S14/100,"")</f>
        <v/>
      </c>
      <c r="U14" s="9">
        <f>IFERROR(0.4*O14+0.35*R14+0.25*T14,"")</f>
        <v/>
      </c>
      <c r="V14" s="13" t="n">
        <v>25</v>
      </c>
      <c r="W14" s="11" t="n"/>
      <c r="X14" s="11" t="n"/>
    </row>
    <row r="15" ht="40.05" customHeight="1">
      <c r="A15" s="11" t="inlineStr">
        <is>
          <t>HLT-012</t>
        </is>
      </c>
      <c r="B15" s="11" t="inlineStr">
        <is>
          <t>Masjid At-Taqwa 1</t>
        </is>
      </c>
      <c r="C15" s="11" t="inlineStr">
        <is>
          <t>Rawa Lumbu</t>
        </is>
      </c>
      <c r="D15" s="11" t="inlineStr">
        <is>
          <t>Bojong Menteng</t>
        </is>
      </c>
      <c r="E15" s="12" t="n">
        <v>-6.30257</v>
      </c>
      <c r="F15" s="12" t="n">
        <v>106.98347</v>
      </c>
      <c r="G15" s="11" t="inlineStr">
        <is>
          <t>Samuel Alfa Edison</t>
        </is>
      </c>
      <c r="H15" s="11" t="n"/>
      <c r="I15" s="11" t="inlineStr">
        <is>
          <t>Siang</t>
        </is>
      </c>
      <c r="J15" s="11" t="inlineStr">
        <is>
          <t>Ya</t>
        </is>
      </c>
      <c r="K15" s="11" t="inlineStr">
        <is>
          <t>Tidak</t>
        </is>
      </c>
      <c r="L15" s="11" t="inlineStr">
        <is>
          <t>Tidak</t>
        </is>
      </c>
      <c r="M15" s="11" t="inlineStr">
        <is>
          <t>Tidak</t>
        </is>
      </c>
      <c r="N15" s="11" t="inlineStr">
        <is>
          <t>Tidak</t>
        </is>
      </c>
      <c r="O15" s="9">
        <f>IFERROR(COUNTIF(J15:N15,"Ya")/5,"")</f>
        <v/>
      </c>
      <c r="P15" s="13" t="n">
        <v>15</v>
      </c>
      <c r="Q15" s="13" t="n">
        <v>15</v>
      </c>
      <c r="R15" s="9">
        <f>IFERROR(MIN(1,Q15/P15),"")</f>
        <v/>
      </c>
      <c r="S15" s="13" t="n">
        <v>40</v>
      </c>
      <c r="T15" s="9">
        <f>IFERROR(S15/100,"")</f>
        <v/>
      </c>
      <c r="U15" s="9">
        <f>IFERROR(0.4*O15+0.35*R15+0.25*T15,"")</f>
        <v/>
      </c>
      <c r="V15" s="13" t="n">
        <v>25</v>
      </c>
      <c r="W15" s="11" t="n"/>
      <c r="X15" s="11" t="n"/>
    </row>
    <row r="16" ht="40.05" customHeight="1">
      <c r="A16" s="11" t="inlineStr">
        <is>
          <t>HLT-013</t>
        </is>
      </c>
      <c r="B16" s="11" t="inlineStr">
        <is>
          <t>Halte Universitas Trisakti 2</t>
        </is>
      </c>
      <c r="C16" s="11" t="inlineStr">
        <is>
          <t>Sepanjang Jaya</t>
        </is>
      </c>
      <c r="D16" s="11" t="inlineStr">
        <is>
          <t>Rawalumbu</t>
        </is>
      </c>
      <c r="E16" s="12" t="n">
        <v>-6.2724127</v>
      </c>
      <c r="F16" s="12" t="n">
        <v>106.9930558</v>
      </c>
      <c r="G16" s="11" t="inlineStr">
        <is>
          <t>Samuel Alfa Edison</t>
        </is>
      </c>
      <c r="H16" s="11" t="n"/>
      <c r="I16" s="11" t="inlineStr">
        <is>
          <t>Siang</t>
        </is>
      </c>
      <c r="J16" s="11" t="inlineStr">
        <is>
          <t>Ya</t>
        </is>
      </c>
      <c r="K16" s="11" t="inlineStr">
        <is>
          <t>Tidak</t>
        </is>
      </c>
      <c r="L16" s="11" t="inlineStr">
        <is>
          <t>Tidak</t>
        </is>
      </c>
      <c r="M16" s="11" t="inlineStr">
        <is>
          <t>Tidak</t>
        </is>
      </c>
      <c r="N16" s="11" t="inlineStr">
        <is>
          <t>Tidak</t>
        </is>
      </c>
      <c r="O16" s="9">
        <f>IFERROR(COUNTIF(J16:N16,"Ya")/5,"")</f>
        <v/>
      </c>
      <c r="P16" s="13" t="n">
        <v>15</v>
      </c>
      <c r="Q16" s="13" t="n">
        <v>15</v>
      </c>
      <c r="R16" s="9">
        <f>IFERROR(MIN(1,Q16/P16),"")</f>
        <v/>
      </c>
      <c r="S16" s="13" t="n">
        <v>35</v>
      </c>
      <c r="T16" s="9">
        <f>IFERROR(S16/100,"")</f>
        <v/>
      </c>
      <c r="U16" s="9">
        <f>IFERROR(0.4*O16+0.35*R16+0.25*T16,"")</f>
        <v/>
      </c>
      <c r="V16" s="13" t="n">
        <v>25</v>
      </c>
      <c r="W16" s="11" t="n"/>
      <c r="X16" s="11" t="n"/>
    </row>
    <row r="17" ht="40.05" customHeight="1">
      <c r="A17" s="11" t="inlineStr">
        <is>
          <t>HLT-014</t>
        </is>
      </c>
      <c r="B17" s="11" t="inlineStr">
        <is>
          <t>Halte Universitas Trisakti 1</t>
        </is>
      </c>
      <c r="C17" s="11" t="inlineStr">
        <is>
          <t>Sepanjang Jaya</t>
        </is>
      </c>
      <c r="D17" s="11" t="inlineStr">
        <is>
          <t>Rawalumbu</t>
        </is>
      </c>
      <c r="E17" s="12" t="n">
        <v>-6.2725795</v>
      </c>
      <c r="F17" s="12" t="n">
        <v>106.9931485</v>
      </c>
      <c r="G17" s="11" t="inlineStr">
        <is>
          <t>Samuel Alfa Edison</t>
        </is>
      </c>
      <c r="H17" s="11" t="n"/>
      <c r="I17" s="11" t="inlineStr">
        <is>
          <t>Siang</t>
        </is>
      </c>
      <c r="J17" s="11" t="inlineStr">
        <is>
          <t>Ya</t>
        </is>
      </c>
      <c r="K17" s="11" t="inlineStr">
        <is>
          <t>Tidak</t>
        </is>
      </c>
      <c r="L17" s="11" t="inlineStr">
        <is>
          <t>Tidak</t>
        </is>
      </c>
      <c r="M17" s="11" t="inlineStr">
        <is>
          <t>Tidak</t>
        </is>
      </c>
      <c r="N17" s="11" t="inlineStr">
        <is>
          <t>Tidak</t>
        </is>
      </c>
      <c r="O17" s="9">
        <f>IFERROR(COUNTIF(J17:N17,"Ya")/5,"")</f>
        <v/>
      </c>
      <c r="P17" s="13" t="n">
        <v>15</v>
      </c>
      <c r="Q17" s="13" t="n">
        <v>15</v>
      </c>
      <c r="R17" s="9">
        <f>IFERROR(MIN(1,Q17/P17),"")</f>
        <v/>
      </c>
      <c r="S17" s="13" t="n">
        <v>35</v>
      </c>
      <c r="T17" s="9">
        <f>IFERROR(S17/100,"")</f>
        <v/>
      </c>
      <c r="U17" s="9">
        <f>IFERROR(0.4*O17+0.35*R17+0.25*T17,"")</f>
        <v/>
      </c>
      <c r="V17" s="13" t="n">
        <v>25</v>
      </c>
      <c r="W17" s="11" t="n"/>
      <c r="X17" s="11" t="n"/>
    </row>
    <row r="18" ht="40.05" customHeight="1">
      <c r="A18" s="11" t="inlineStr">
        <is>
          <t>HLT-015</t>
        </is>
      </c>
      <c r="B18" s="11" t="inlineStr">
        <is>
          <t>Halte Pekayon</t>
        </is>
      </c>
      <c r="C18" s="11" t="inlineStr">
        <is>
          <t>Bekasi Selatan</t>
        </is>
      </c>
      <c r="D18" s="11" t="inlineStr">
        <is>
          <t>Marga Jaya</t>
        </is>
      </c>
      <c r="E18" s="12" t="n">
        <v>-6.25669</v>
      </c>
      <c r="F18" s="12" t="n">
        <v>106.99103</v>
      </c>
      <c r="G18" s="11" t="inlineStr">
        <is>
          <t>Samuel Alfa Edison</t>
        </is>
      </c>
      <c r="H18" s="11" t="n"/>
      <c r="I18" s="11" t="inlineStr">
        <is>
          <t>Siang</t>
        </is>
      </c>
      <c r="J18" s="11" t="inlineStr">
        <is>
          <t>Ya</t>
        </is>
      </c>
      <c r="K18" s="11" t="inlineStr">
        <is>
          <t>Ya</t>
        </is>
      </c>
      <c r="L18" s="11" t="inlineStr">
        <is>
          <t>Ya</t>
        </is>
      </c>
      <c r="M18" s="11" t="inlineStr">
        <is>
          <t>Tidak</t>
        </is>
      </c>
      <c r="N18" s="11" t="inlineStr">
        <is>
          <t>Tidak</t>
        </is>
      </c>
      <c r="O18" s="9">
        <f>IFERROR(COUNTIF(J18:N18,"Ya")/5,"")</f>
        <v/>
      </c>
      <c r="P18" s="13" t="n">
        <v>13</v>
      </c>
      <c r="Q18" s="13" t="n">
        <v>15</v>
      </c>
      <c r="R18" s="9">
        <f>IFERROR(MIN(1,Q18/P18),"")</f>
        <v/>
      </c>
      <c r="S18" s="13" t="n">
        <v>75</v>
      </c>
      <c r="T18" s="9">
        <f>IFERROR(S18/100,"")</f>
        <v/>
      </c>
      <c r="U18" s="9">
        <f>IFERROR(0.4*O18+0.35*R18+0.25*T18,"")</f>
        <v/>
      </c>
      <c r="V18" s="13" t="n">
        <v>60</v>
      </c>
      <c r="W18" s="11" t="n"/>
      <c r="X18" s="11" t="n"/>
    </row>
    <row r="19" ht="40.05" customHeight="1">
      <c r="A19" s="11" t="n"/>
      <c r="B19" s="11" t="n"/>
      <c r="C19" s="11" t="n"/>
      <c r="D19" s="11" t="n"/>
      <c r="E19" s="12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9">
        <f>IFERROR(COUNTIF(J19:N19,"Ya")/5,"")</f>
        <v/>
      </c>
      <c r="P19" s="13" t="n"/>
      <c r="Q19" s="13" t="n">
        <v>15</v>
      </c>
      <c r="R19" s="9">
        <f>IFERROR(MIN(1,Q19/P19),"")</f>
        <v/>
      </c>
      <c r="S19" s="13" t="n"/>
      <c r="T19" s="9">
        <f>IFERROR(S19/100,"")</f>
        <v/>
      </c>
      <c r="U19" s="9">
        <f>IFERROR(0.4*O19+0.35*R19+0.25*T19,"")</f>
        <v/>
      </c>
      <c r="V19" s="13" t="n"/>
      <c r="W19" s="11" t="n"/>
      <c r="X19" s="11" t="n"/>
    </row>
    <row r="20" ht="40.05" customHeight="1">
      <c r="A20" s="11" t="n"/>
      <c r="B20" s="11" t="n"/>
      <c r="C20" s="11" t="n"/>
      <c r="D20" s="11" t="n"/>
      <c r="E20" s="12" t="n"/>
      <c r="F20" s="12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9">
        <f>IFERROR(COUNTIF(J20:N20,"Ya")/5,"")</f>
        <v/>
      </c>
      <c r="P20" s="13" t="n"/>
      <c r="Q20" s="13" t="n">
        <v>15</v>
      </c>
      <c r="R20" s="9">
        <f>IFERROR(MIN(1,Q20/P20),"")</f>
        <v/>
      </c>
      <c r="S20" s="13" t="n"/>
      <c r="T20" s="9">
        <f>IFERROR(S20/100,"")</f>
        <v/>
      </c>
      <c r="U20" s="9">
        <f>IFERROR(0.4*O20+0.35*R20+0.25*T20,"")</f>
        <v/>
      </c>
      <c r="V20" s="13" t="n"/>
      <c r="W20" s="11" t="n"/>
      <c r="X20" s="11" t="n"/>
    </row>
    <row r="21" ht="40.05" customHeight="1">
      <c r="A21" s="11" t="n"/>
      <c r="B21" s="11" t="n"/>
      <c r="C21" s="11" t="n"/>
      <c r="D21" s="11" t="n"/>
      <c r="E21" s="12" t="n"/>
      <c r="F21" s="12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9">
        <f>IFERROR(COUNTIF(J21:N21,"Ya")/5,"")</f>
        <v/>
      </c>
      <c r="P21" s="13" t="n"/>
      <c r="Q21" s="13" t="n">
        <v>15</v>
      </c>
      <c r="R21" s="9">
        <f>IFERROR(MIN(1,Q21/P21),"")</f>
        <v/>
      </c>
      <c r="S21" s="13" t="n"/>
      <c r="T21" s="9">
        <f>IFERROR(S21/100,"")</f>
        <v/>
      </c>
      <c r="U21" s="9">
        <f>IFERROR(0.4*O21+0.35*R21+0.25*T21,"")</f>
        <v/>
      </c>
      <c r="V21" s="13" t="n"/>
      <c r="W21" s="11" t="n"/>
      <c r="X21" s="11" t="n"/>
    </row>
    <row r="22" ht="40.05" customHeight="1">
      <c r="A22" s="11" t="n"/>
      <c r="B22" s="11" t="n"/>
      <c r="C22" s="11" t="n"/>
      <c r="D22" s="11" t="n"/>
      <c r="E22" s="12" t="n"/>
      <c r="F22" s="12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9">
        <f>IFERROR(COUNTIF(J22:N22,"Ya")/5,"")</f>
        <v/>
      </c>
      <c r="P22" s="13" t="n"/>
      <c r="Q22" s="13" t="n">
        <v>15</v>
      </c>
      <c r="R22" s="9">
        <f>IFERROR(MIN(1,Q22/P22),"")</f>
        <v/>
      </c>
      <c r="S22" s="13" t="n"/>
      <c r="T22" s="9">
        <f>IFERROR(S22/100,"")</f>
        <v/>
      </c>
      <c r="U22" s="9">
        <f>IFERROR(0.4*O22+0.35*R22+0.25*T22,"")</f>
        <v/>
      </c>
      <c r="V22" s="13" t="n"/>
      <c r="W22" s="11" t="n"/>
      <c r="X22" s="11" t="n"/>
    </row>
    <row r="23" ht="40.05" customHeight="1">
      <c r="A23" s="11" t="n"/>
      <c r="B23" s="11" t="n"/>
      <c r="C23" s="11" t="n"/>
      <c r="D23" s="11" t="n"/>
      <c r="E23" s="12" t="n"/>
      <c r="F23" s="12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9">
        <f>IFERROR(COUNTIF(J23:N23,"Ya")/5,"")</f>
        <v/>
      </c>
      <c r="P23" s="13" t="n"/>
      <c r="Q23" s="13" t="n">
        <v>15</v>
      </c>
      <c r="R23" s="9">
        <f>IFERROR(MIN(1,Q23/P23),"")</f>
        <v/>
      </c>
      <c r="S23" s="13" t="n"/>
      <c r="T23" s="9">
        <f>IFERROR(S23/100,"")</f>
        <v/>
      </c>
      <c r="U23" s="9">
        <f>IFERROR(0.4*O23+0.35*R23+0.25*T23,"")</f>
        <v/>
      </c>
      <c r="V23" s="13" t="n"/>
      <c r="W23" s="11" t="n"/>
      <c r="X23" s="11" t="n"/>
    </row>
    <row r="24" ht="40.05" customHeight="1">
      <c r="A24" s="11" t="n"/>
      <c r="B24" s="11" t="n"/>
      <c r="C24" s="11" t="n"/>
      <c r="D24" s="11" t="n"/>
      <c r="E24" s="12" t="n"/>
      <c r="F24" s="12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9">
        <f>IFERROR(COUNTIF(J24:N24,"Ya")/5,"")</f>
        <v/>
      </c>
      <c r="P24" s="13" t="n"/>
      <c r="Q24" s="13" t="n">
        <v>15</v>
      </c>
      <c r="R24" s="9">
        <f>IFERROR(MIN(1,Q24/P24),"")</f>
        <v/>
      </c>
      <c r="S24" s="13" t="n"/>
      <c r="T24" s="9">
        <f>IFERROR(S24/100,"")</f>
        <v/>
      </c>
      <c r="U24" s="9">
        <f>IFERROR(0.4*O24+0.35*R24+0.25*T24,"")</f>
        <v/>
      </c>
      <c r="V24" s="13" t="n"/>
      <c r="W24" s="11" t="n"/>
      <c r="X24" s="11" t="n"/>
    </row>
    <row r="25" ht="40.05" customHeight="1">
      <c r="A25" s="11" t="n"/>
      <c r="B25" s="11" t="n"/>
      <c r="C25" s="11" t="n"/>
      <c r="D25" s="11" t="n"/>
      <c r="E25" s="12" t="n"/>
      <c r="F25" s="12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9">
        <f>IFERROR(COUNTIF(J25:N25,"Ya")/5,"")</f>
        <v/>
      </c>
      <c r="P25" s="13" t="n"/>
      <c r="Q25" s="13" t="n">
        <v>15</v>
      </c>
      <c r="R25" s="9">
        <f>IFERROR(MIN(1,Q25/P25),"")</f>
        <v/>
      </c>
      <c r="S25" s="13" t="n"/>
      <c r="T25" s="9">
        <f>IFERROR(S25/100,"")</f>
        <v/>
      </c>
      <c r="U25" s="9">
        <f>IFERROR(0.4*O25+0.35*R25+0.25*T25,"")</f>
        <v/>
      </c>
      <c r="V25" s="13" t="n"/>
      <c r="W25" s="11" t="n"/>
      <c r="X25" s="11" t="n"/>
    </row>
    <row r="26" ht="40.05" customHeight="1">
      <c r="A26" s="11" t="n"/>
      <c r="B26" s="11" t="n"/>
      <c r="C26" s="11" t="n"/>
      <c r="D26" s="11" t="n"/>
      <c r="E26" s="12" t="n"/>
      <c r="F26" s="12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9">
        <f>IFERROR(COUNTIF(J26:N26,"Ya")/5,"")</f>
        <v/>
      </c>
      <c r="P26" s="13" t="n"/>
      <c r="Q26" s="13" t="n">
        <v>15</v>
      </c>
      <c r="R26" s="9">
        <f>IFERROR(MIN(1,Q26/P26),"")</f>
        <v/>
      </c>
      <c r="S26" s="13" t="n"/>
      <c r="T26" s="9">
        <f>IFERROR(S26/100,"")</f>
        <v/>
      </c>
      <c r="U26" s="9">
        <f>IFERROR(0.4*O26+0.35*R26+0.25*T26,"")</f>
        <v/>
      </c>
      <c r="V26" s="13" t="n"/>
      <c r="W26" s="11" t="n"/>
      <c r="X26" s="11" t="n"/>
    </row>
    <row r="27" ht="40.05" customHeight="1">
      <c r="A27" s="11" t="n"/>
      <c r="B27" s="11" t="n"/>
      <c r="C27" s="11" t="n"/>
      <c r="D27" s="11" t="n"/>
      <c r="E27" s="12" t="n"/>
      <c r="F27" s="12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9">
        <f>IFERROR(COUNTIF(J27:N27,"Ya")/5,"")</f>
        <v/>
      </c>
      <c r="P27" s="13" t="n"/>
      <c r="Q27" s="13" t="n">
        <v>15</v>
      </c>
      <c r="R27" s="9">
        <f>IFERROR(MIN(1,Q27/P27),"")</f>
        <v/>
      </c>
      <c r="S27" s="13" t="n"/>
      <c r="T27" s="9">
        <f>IFERROR(S27/100,"")</f>
        <v/>
      </c>
      <c r="U27" s="9">
        <f>IFERROR(0.4*O27+0.35*R27+0.25*T27,"")</f>
        <v/>
      </c>
      <c r="V27" s="13" t="n"/>
      <c r="W27" s="11" t="n"/>
      <c r="X27" s="11" t="n"/>
    </row>
    <row r="28" ht="40.05" customHeight="1">
      <c r="A28" s="11" t="n"/>
      <c r="B28" s="11" t="n"/>
      <c r="C28" s="11" t="n"/>
      <c r="D28" s="11" t="n"/>
      <c r="E28" s="12" t="n"/>
      <c r="F28" s="12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9">
        <f>IFERROR(COUNTIF(J28:N28,"Ya")/5,"")</f>
        <v/>
      </c>
      <c r="P28" s="13" t="n"/>
      <c r="Q28" s="13" t="n">
        <v>15</v>
      </c>
      <c r="R28" s="9">
        <f>IFERROR(MIN(1,Q28/P28),"")</f>
        <v/>
      </c>
      <c r="S28" s="13" t="n"/>
      <c r="T28" s="9">
        <f>IFERROR(S28/100,"")</f>
        <v/>
      </c>
      <c r="U28" s="9">
        <f>IFERROR(0.4*O28+0.35*R28+0.25*T28,"")</f>
        <v/>
      </c>
      <c r="V28" s="13" t="n"/>
      <c r="W28" s="11" t="n"/>
      <c r="X28" s="11" t="n"/>
    </row>
    <row r="29" ht="40.05" customHeight="1">
      <c r="A29" s="11" t="n"/>
      <c r="B29" s="11" t="n"/>
      <c r="C29" s="11" t="n"/>
      <c r="D29" s="11" t="n"/>
      <c r="E29" s="12" t="n"/>
      <c r="F29" s="12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9">
        <f>IFERROR(COUNTIF(J29:N29,"Ya")/5,"")</f>
        <v/>
      </c>
      <c r="P29" s="13" t="n"/>
      <c r="Q29" s="13" t="n">
        <v>15</v>
      </c>
      <c r="R29" s="9">
        <f>IFERROR(MIN(1,Q29/P29),"")</f>
        <v/>
      </c>
      <c r="S29" s="13" t="n"/>
      <c r="T29" s="9">
        <f>IFERROR(S29/100,"")</f>
        <v/>
      </c>
      <c r="U29" s="9">
        <f>IFERROR(0.4*O29+0.35*R29+0.25*T29,"")</f>
        <v/>
      </c>
      <c r="V29" s="13" t="n"/>
      <c r="W29" s="11" t="n"/>
      <c r="X29" s="11" t="n"/>
    </row>
    <row r="30" ht="40.05" customHeight="1">
      <c r="A30" s="11" t="n"/>
      <c r="B30" s="11" t="n"/>
      <c r="C30" s="11" t="n"/>
      <c r="D30" s="11" t="n"/>
      <c r="E30" s="12" t="n"/>
      <c r="F30" s="12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9">
        <f>IFERROR(COUNTIF(J30:N30,"Ya")/5,"")</f>
        <v/>
      </c>
      <c r="P30" s="13" t="n"/>
      <c r="Q30" s="13" t="n">
        <v>15</v>
      </c>
      <c r="R30" s="9">
        <f>IFERROR(MIN(1,Q30/P30),"")</f>
        <v/>
      </c>
      <c r="S30" s="13" t="n"/>
      <c r="T30" s="9">
        <f>IFERROR(S30/100,"")</f>
        <v/>
      </c>
      <c r="U30" s="9">
        <f>IFERROR(0.4*O30+0.35*R30+0.25*T30,"")</f>
        <v/>
      </c>
      <c r="V30" s="13" t="n"/>
      <c r="W30" s="11" t="n"/>
      <c r="X30" s="11" t="n"/>
    </row>
    <row r="31" ht="40.05" customHeight="1">
      <c r="A31" s="11" t="n"/>
      <c r="B31" s="11" t="n"/>
      <c r="C31" s="11" t="n"/>
      <c r="D31" s="11" t="n"/>
      <c r="E31" s="12" t="n"/>
      <c r="F31" s="12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9">
        <f>IFERROR(COUNTIF(J31:N31,"Ya")/5,"")</f>
        <v/>
      </c>
      <c r="P31" s="13" t="n"/>
      <c r="Q31" s="13" t="n">
        <v>15</v>
      </c>
      <c r="R31" s="9">
        <f>IFERROR(MIN(1,Q31/P31),"")</f>
        <v/>
      </c>
      <c r="S31" s="13" t="n"/>
      <c r="T31" s="9">
        <f>IFERROR(S31/100,"")</f>
        <v/>
      </c>
      <c r="U31" s="9">
        <f>IFERROR(0.4*O31+0.35*R31+0.25*T31,"")</f>
        <v/>
      </c>
      <c r="V31" s="13" t="n"/>
      <c r="W31" s="11" t="n"/>
      <c r="X31" s="11" t="n"/>
    </row>
    <row r="32" ht="40.05" customHeight="1">
      <c r="A32" s="11" t="n"/>
      <c r="B32" s="11" t="n"/>
      <c r="C32" s="11" t="n"/>
      <c r="D32" s="11" t="n"/>
      <c r="E32" s="12" t="n"/>
      <c r="F32" s="12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9">
        <f>IFERROR(COUNTIF(J32:N32,"Ya")/5,"")</f>
        <v/>
      </c>
      <c r="P32" s="13" t="n"/>
      <c r="Q32" s="13" t="n">
        <v>15</v>
      </c>
      <c r="R32" s="9">
        <f>IFERROR(MIN(1,Q32/P32),"")</f>
        <v/>
      </c>
      <c r="S32" s="13" t="n"/>
      <c r="T32" s="9">
        <f>IFERROR(S32/100,"")</f>
        <v/>
      </c>
      <c r="U32" s="9">
        <f>IFERROR(0.4*O32+0.35*R32+0.25*T32,"")</f>
        <v/>
      </c>
      <c r="V32" s="13" t="n"/>
      <c r="W32" s="11" t="n"/>
      <c r="X32" s="11" t="n"/>
    </row>
    <row r="33" ht="40.05" customHeight="1">
      <c r="A33" s="11" t="n"/>
      <c r="B33" s="11" t="n"/>
      <c r="C33" s="11" t="n"/>
      <c r="D33" s="11" t="n"/>
      <c r="E33" s="12" t="n"/>
      <c r="F33" s="12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9">
        <f>IFERROR(COUNTIF(J33:N33,"Ya")/5,"")</f>
        <v/>
      </c>
      <c r="P33" s="13" t="n"/>
      <c r="Q33" s="13" t="n">
        <v>15</v>
      </c>
      <c r="R33" s="9">
        <f>IFERROR(MIN(1,Q33/P33),"")</f>
        <v/>
      </c>
      <c r="S33" s="13" t="n"/>
      <c r="T33" s="9">
        <f>IFERROR(S33/100,"")</f>
        <v/>
      </c>
      <c r="U33" s="9">
        <f>IFERROR(0.4*O33+0.35*R33+0.25*T33,"")</f>
        <v/>
      </c>
      <c r="V33" s="13" t="n"/>
      <c r="W33" s="11" t="n"/>
      <c r="X33" s="11" t="n"/>
    </row>
    <row r="34" ht="40.05" customHeight="1">
      <c r="A34" s="11" t="n"/>
      <c r="B34" s="11" t="n"/>
      <c r="C34" s="11" t="n"/>
      <c r="D34" s="11" t="n"/>
      <c r="E34" s="12" t="n"/>
      <c r="F34" s="12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9">
        <f>IFERROR(COUNTIF(J34:N34,"Ya")/5,"")</f>
        <v/>
      </c>
      <c r="P34" s="13" t="n"/>
      <c r="Q34" s="13" t="n">
        <v>15</v>
      </c>
      <c r="R34" s="9">
        <f>IFERROR(MIN(1,Q34/P34),"")</f>
        <v/>
      </c>
      <c r="S34" s="13" t="n"/>
      <c r="T34" s="9">
        <f>IFERROR(S34/100,"")</f>
        <v/>
      </c>
      <c r="U34" s="9">
        <f>IFERROR(0.4*O34+0.35*R34+0.25*T34,"")</f>
        <v/>
      </c>
      <c r="V34" s="13" t="n"/>
      <c r="W34" s="11" t="n"/>
      <c r="X34" s="11" t="n"/>
    </row>
    <row r="35" ht="40.05" customHeight="1">
      <c r="A35" s="11" t="n"/>
      <c r="B35" s="11" t="n"/>
      <c r="C35" s="11" t="n"/>
      <c r="D35" s="11" t="n"/>
      <c r="E35" s="12" t="n"/>
      <c r="F35" s="12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9">
        <f>IFERROR(COUNTIF(J35:N35,"Ya")/5,"")</f>
        <v/>
      </c>
      <c r="P35" s="13" t="n"/>
      <c r="Q35" s="13" t="n">
        <v>15</v>
      </c>
      <c r="R35" s="9">
        <f>IFERROR(MIN(1,Q35/P35),"")</f>
        <v/>
      </c>
      <c r="S35" s="13" t="n"/>
      <c r="T35" s="9">
        <f>IFERROR(S35/100,"")</f>
        <v/>
      </c>
      <c r="U35" s="9">
        <f>IFERROR(0.4*O35+0.35*R35+0.25*T35,"")</f>
        <v/>
      </c>
      <c r="V35" s="13" t="n"/>
      <c r="W35" s="11" t="n"/>
      <c r="X35" s="11" t="n"/>
    </row>
    <row r="36" ht="40.05" customHeight="1">
      <c r="A36" s="11" t="n"/>
      <c r="B36" s="11" t="n"/>
      <c r="C36" s="11" t="n"/>
      <c r="D36" s="11" t="n"/>
      <c r="E36" s="12" t="n"/>
      <c r="F36" s="12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9">
        <f>IFERROR(COUNTIF(J36:N36,"Ya")/5,"")</f>
        <v/>
      </c>
      <c r="P36" s="13" t="n"/>
      <c r="Q36" s="13" t="n">
        <v>15</v>
      </c>
      <c r="R36" s="9">
        <f>IFERROR(MIN(1,Q36/P36),"")</f>
        <v/>
      </c>
      <c r="S36" s="13" t="n"/>
      <c r="T36" s="9">
        <f>IFERROR(S36/100,"")</f>
        <v/>
      </c>
      <c r="U36" s="9">
        <f>IFERROR(0.4*O36+0.35*R36+0.25*T36,"")</f>
        <v/>
      </c>
      <c r="V36" s="13" t="n"/>
      <c r="W36" s="11" t="n"/>
      <c r="X36" s="11" t="n"/>
    </row>
    <row r="37" ht="40.05" customHeight="1">
      <c r="A37" s="11" t="n"/>
      <c r="B37" s="11" t="n"/>
      <c r="C37" s="11" t="n"/>
      <c r="D37" s="11" t="n"/>
      <c r="E37" s="12" t="n"/>
      <c r="F37" s="12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9">
        <f>IFERROR(COUNTIF(J37:N37,"Ya")/5,"")</f>
        <v/>
      </c>
      <c r="P37" s="13" t="n"/>
      <c r="Q37" s="13" t="n">
        <v>15</v>
      </c>
      <c r="R37" s="9">
        <f>IFERROR(MIN(1,Q37/P37),"")</f>
        <v/>
      </c>
      <c r="S37" s="13" t="n"/>
      <c r="T37" s="9">
        <f>IFERROR(S37/100,"")</f>
        <v/>
      </c>
      <c r="U37" s="9">
        <f>IFERROR(0.4*O37+0.35*R37+0.25*T37,"")</f>
        <v/>
      </c>
      <c r="V37" s="13" t="n"/>
      <c r="W37" s="11" t="n"/>
      <c r="X37" s="11" t="n"/>
    </row>
    <row r="38" ht="40.05" customHeight="1">
      <c r="A38" s="11" t="n"/>
      <c r="B38" s="11" t="n"/>
      <c r="C38" s="11" t="n"/>
      <c r="D38" s="11" t="n"/>
      <c r="E38" s="12" t="n"/>
      <c r="F38" s="12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9">
        <f>IFERROR(COUNTIF(J38:N38,"Ya")/5,"")</f>
        <v/>
      </c>
      <c r="P38" s="13" t="n"/>
      <c r="Q38" s="13" t="n">
        <v>15</v>
      </c>
      <c r="R38" s="9">
        <f>IFERROR(MIN(1,Q38/P38),"")</f>
        <v/>
      </c>
      <c r="S38" s="13" t="n"/>
      <c r="T38" s="9">
        <f>IFERROR(S38/100,"")</f>
        <v/>
      </c>
      <c r="U38" s="9">
        <f>IFERROR(0.4*O38+0.35*R38+0.25*T38,"")</f>
        <v/>
      </c>
      <c r="V38" s="13" t="n"/>
      <c r="W38" s="11" t="n"/>
      <c r="X38" s="11" t="n"/>
    </row>
    <row r="39" ht="40.05" customHeight="1">
      <c r="A39" s="11" t="n"/>
      <c r="B39" s="11" t="n"/>
      <c r="C39" s="11" t="n"/>
      <c r="D39" s="11" t="n"/>
      <c r="E39" s="12" t="n"/>
      <c r="F39" s="12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9">
        <f>IFERROR(COUNTIF(J39:N39,"Ya")/5,"")</f>
        <v/>
      </c>
      <c r="P39" s="13" t="n"/>
      <c r="Q39" s="13" t="n">
        <v>15</v>
      </c>
      <c r="R39" s="9">
        <f>IFERROR(MIN(1,Q39/P39),"")</f>
        <v/>
      </c>
      <c r="S39" s="13" t="n"/>
      <c r="T39" s="9">
        <f>IFERROR(S39/100,"")</f>
        <v/>
      </c>
      <c r="U39" s="9">
        <f>IFERROR(0.4*O39+0.35*R39+0.25*T39,"")</f>
        <v/>
      </c>
      <c r="V39" s="13" t="n"/>
      <c r="W39" s="11" t="n"/>
      <c r="X39" s="11" t="n"/>
    </row>
  </sheetData>
  <dataValidations count="3">
    <dataValidation sqref="J3:N39" showDropDown="0" showInputMessage="0" showErrorMessage="0" allowBlank="1" type="list">
      <formula1>"Ya,Tidak"</formula1>
      <formula2>0</formula2>
    </dataValidation>
    <dataValidation sqref="I19:I39" showDropDown="0" showInputMessage="0" showErrorMessage="0" allowBlank="1" type="list">
      <formula1>"Pagi,Sore"</formula1>
      <formula2>0</formula2>
    </dataValidation>
    <dataValidation sqref="I3:I18" showDropDown="0" showInputMessage="0" showErrorMessage="0" allowBlank="1" type="list">
      <formula1>"Pagi,Siang,Sore,"</formula1>
    </dataValidation>
  </dataValidations>
  <pageMargins left="0.75" right="0.75" top="1" bottom="1" header="0.511811023622047" footer="0.511811023622047"/>
  <pageSetup orientation="landscape" paperSize="9" scale="40" fitToHeight="0" horizontalDpi="4294967293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zoomScale="64" zoomScaleNormal="100" workbookViewId="0">
      <pane ySplit="3" topLeftCell="A25" activePane="bottomLeft" state="frozen"/>
      <selection pane="bottomLeft" activeCell="N38" sqref="N37:N38"/>
    </sheetView>
  </sheetViews>
  <sheetFormatPr baseColWidth="8" defaultColWidth="8.6640625" defaultRowHeight="14.4"/>
  <cols>
    <col width="10" customWidth="1" min="1" max="1"/>
    <col width="50.77734375" customWidth="1" min="2" max="2"/>
    <col width="14" customWidth="1" min="3" max="4"/>
    <col width="11" customWidth="1" min="5" max="6"/>
    <col width="16" customWidth="1" min="7" max="7"/>
    <col width="12" customWidth="1" min="8" max="9"/>
    <col width="13" customWidth="1" min="10" max="11"/>
    <col width="15" customWidth="1" min="12" max="12"/>
    <col width="12" customWidth="1" min="13" max="13"/>
    <col width="13" customWidth="1" min="14" max="14"/>
    <col width="14" customWidth="1" min="15" max="15"/>
    <col width="12" customWidth="1" min="16" max="16"/>
    <col width="24" customWidth="1" min="17" max="17"/>
  </cols>
  <sheetData>
    <row r="1" ht="52.8" customHeight="1">
      <c r="A1" s="5" t="inlineStr">
        <is>
          <t>ID Titik</t>
        </is>
      </c>
      <c r="B1" s="5" t="inlineStr">
        <is>
          <t>Deskripsi Lokasi</t>
        </is>
      </c>
      <c r="C1" s="5" t="inlineStr">
        <is>
          <t>Kecamatan</t>
        </is>
      </c>
      <c r="D1" s="5" t="inlineStr">
        <is>
          <t>Kelurahan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Nama Surveyor</t>
        </is>
      </c>
      <c r="H1" s="5" t="inlineStr">
        <is>
          <t>Tanggal</t>
        </is>
      </c>
      <c r="I1" s="5" t="inlineStr">
        <is>
          <t>Sesi Waktu</t>
        </is>
      </c>
      <c r="J1" s="5" t="inlineStr">
        <is>
          <t>Jumlah Naik Angkot/Ojek</t>
        </is>
      </c>
      <c r="K1" s="5" t="inlineStr">
        <is>
          <t>Jumlah Turun Angkot/Ojek</t>
        </is>
      </c>
      <c r="L1" s="5" t="inlineStr">
        <is>
          <t>Jumlah Pejalan Kaki ke Arah Transit</t>
        </is>
      </c>
      <c r="M1" s="5" t="inlineStr">
        <is>
          <t>Kondisi Trotoar</t>
        </is>
      </c>
      <c r="N1" s="5" t="inlineStr">
        <is>
          <t>Kondisi Penyeberangan</t>
        </is>
      </c>
      <c r="O1" s="5" t="inlineStr">
        <is>
          <t>Jarak ke Transit Eksisting Terdekat (m)</t>
        </is>
      </c>
      <c r="P1" s="5" t="inlineStr">
        <is>
          <t>Total Aktivitas Teramati</t>
        </is>
      </c>
      <c r="Q1" s="5" t="inlineStr">
        <is>
          <t>Catatan Tambahan</t>
        </is>
      </c>
    </row>
    <row r="2" ht="66" customHeight="1">
      <c r="A2" s="6" t="inlineStr">
        <is>
          <t>Kode unik, mis. KND-001</t>
        </is>
      </c>
      <c r="B2" s="6" t="inlineStr">
        <is>
          <t>Nama jalan/simpang/kawasan</t>
        </is>
      </c>
      <c r="C2" s="6" t="inlineStr">
        <is>
          <t>Sesuai wilayah administratif</t>
        </is>
      </c>
      <c r="D2" s="6" t="inlineStr">
        <is>
          <t>Sesuai wilayah administratif</t>
        </is>
      </c>
      <c r="E2" s="6" t="inlineStr">
        <is>
          <t>Format desimal, dari GPS MAPID Apps</t>
        </is>
      </c>
      <c r="F2" s="6" t="inlineStr">
        <is>
          <t>Format desimal, dari GPS MAPID Apps</t>
        </is>
      </c>
      <c r="G2" s="6" t="inlineStr">
        <is>
          <t>Nama anggota tim yang survei</t>
        </is>
      </c>
      <c r="H2" s="6" t="inlineStr">
        <is>
          <t>Format DD/MM/YYYY</t>
        </is>
      </c>
      <c r="I2" s="6" t="inlineStr">
        <is>
          <t>Pagi 06.00-08.00 / Sore 16.00-18.00</t>
        </is>
      </c>
      <c r="J2" s="6" t="inlineStr">
        <is>
          <t>Dihitung selama 1 sesi observasi (2 jam)</t>
        </is>
      </c>
      <c r="K2" s="6" t="inlineStr">
        <is>
          <t>Dihitung selama 1 sesi observasi (2 jam)</t>
        </is>
      </c>
      <c r="L2" s="6" t="inlineStr">
        <is>
          <t>Dihitung selama 1 sesi observasi (2 jam)</t>
        </is>
      </c>
      <c r="M2" s="6" t="inlineStr">
        <is>
          <t>Isi Baik/Sedang/Buruk/Tidak Ada</t>
        </is>
      </c>
      <c r="N2" s="6" t="inlineStr">
        <is>
          <t>Isi Ada/Tidak Ada</t>
        </is>
      </c>
      <c r="O2" s="6" t="inlineStr">
        <is>
          <t>Estimasi/GPS ke halte atau stasiun terdekat</t>
        </is>
      </c>
      <c r="P2" s="6" t="inlineStr">
        <is>
          <t>Otomatis = jumlah naik + turun + pejalan kaki</t>
        </is>
      </c>
      <c r="Q2" s="6" t="inlineStr">
        <is>
          <t>Kondisi lain yang relevan, mis. dekat sekolah/pasar</t>
        </is>
      </c>
    </row>
    <row r="3" ht="39.6" customHeight="1">
      <c r="A3" s="7" t="inlineStr">
        <is>
          <t>KND-001</t>
        </is>
      </c>
      <c r="B3" s="7" t="inlineStr">
        <is>
          <t>Simpang Jl. Chairil Anwar - Jl. Kartini</t>
        </is>
      </c>
      <c r="C3" s="7" t="inlineStr">
        <is>
          <t>Bekasi Timur</t>
        </is>
      </c>
      <c r="D3" s="7" t="inlineStr">
        <is>
          <t>Duren Jaya</t>
        </is>
      </c>
      <c r="E3" s="8" t="n">
        <v>-6.234</v>
      </c>
      <c r="F3" s="8" t="n">
        <v>107.0192</v>
      </c>
      <c r="G3" s="7" t="inlineStr">
        <is>
          <t>Galuh Eka Permana</t>
        </is>
      </c>
      <c r="H3" s="7" t="inlineStr">
        <is>
          <t>11/08/2026</t>
        </is>
      </c>
      <c r="I3" s="7" t="inlineStr">
        <is>
          <t>Sore</t>
        </is>
      </c>
      <c r="J3" s="10" t="n">
        <v>24</v>
      </c>
      <c r="K3" s="10" t="n">
        <v>31</v>
      </c>
      <c r="L3" s="10" t="n">
        <v>40</v>
      </c>
      <c r="M3" s="7" t="inlineStr">
        <is>
          <t>Sedang</t>
        </is>
      </c>
      <c r="N3" s="7" t="inlineStr">
        <is>
          <t>Tidak Ada</t>
        </is>
      </c>
      <c r="O3" s="10" t="n">
        <v>650</v>
      </c>
      <c r="P3" s="9">
        <f>IFERROR(SUM(J3:L3),"")</f>
        <v/>
      </c>
      <c r="Q3" s="7" t="inlineStr">
        <is>
          <t>Banyak pejalan kaki menuju Stasiun Bekasi Timur</t>
        </is>
      </c>
    </row>
    <row r="4" ht="40.05" customHeight="1">
      <c r="A4" s="11" t="n"/>
      <c r="B4" s="11" t="n"/>
      <c r="C4" s="11" t="n"/>
      <c r="D4" s="11" t="n"/>
      <c r="E4" s="12" t="n"/>
      <c r="F4" s="12" t="n"/>
      <c r="G4" s="11" t="n"/>
      <c r="H4" s="11" t="n"/>
      <c r="I4" s="11" t="n"/>
      <c r="J4" s="13" t="n"/>
      <c r="K4" s="13" t="n"/>
      <c r="L4" s="13" t="n"/>
      <c r="M4" s="11" t="n"/>
      <c r="N4" s="11" t="n"/>
      <c r="O4" s="13" t="n"/>
      <c r="P4" s="9">
        <f>IFERROR(SUM(J4:L4),"")</f>
        <v/>
      </c>
      <c r="Q4" s="11" t="n"/>
    </row>
    <row r="5" ht="40.05" customHeight="1">
      <c r="A5" s="11" t="n"/>
      <c r="B5" s="11" t="n"/>
      <c r="C5" s="11" t="n"/>
      <c r="D5" s="11" t="n"/>
      <c r="E5" s="12" t="n"/>
      <c r="F5" s="12" t="n"/>
      <c r="G5" s="11" t="n"/>
      <c r="H5" s="11" t="n"/>
      <c r="I5" s="11" t="n"/>
      <c r="J5" s="13" t="n"/>
      <c r="K5" s="13" t="n"/>
      <c r="L5" s="13" t="n"/>
      <c r="M5" s="11" t="n"/>
      <c r="N5" s="11" t="n"/>
      <c r="O5" s="13" t="n"/>
      <c r="P5" s="9">
        <f>IFERROR(SUM(J5:L5),"")</f>
        <v/>
      </c>
      <c r="Q5" s="11" t="n"/>
    </row>
    <row r="6" ht="40.05" customHeight="1">
      <c r="A6" s="11" t="n"/>
      <c r="B6" s="11" t="n"/>
      <c r="C6" s="11" t="n"/>
      <c r="D6" s="11" t="n"/>
      <c r="E6" s="12" t="n"/>
      <c r="F6" s="12" t="n"/>
      <c r="G6" s="11" t="n"/>
      <c r="H6" s="11" t="n"/>
      <c r="I6" s="11" t="n"/>
      <c r="J6" s="13" t="n"/>
      <c r="K6" s="13" t="n"/>
      <c r="L6" s="13" t="n"/>
      <c r="M6" s="11" t="n"/>
      <c r="N6" s="11" t="n"/>
      <c r="O6" s="13" t="n"/>
      <c r="P6" s="9">
        <f>IFERROR(SUM(J6:L6),"")</f>
        <v/>
      </c>
      <c r="Q6" s="11" t="n"/>
    </row>
    <row r="7" ht="40.05" customHeight="1">
      <c r="A7" s="11" t="n"/>
      <c r="B7" s="11" t="n"/>
      <c r="C7" s="11" t="n"/>
      <c r="D7" s="11" t="n"/>
      <c r="E7" s="12" t="n"/>
      <c r="F7" s="12" t="n"/>
      <c r="G7" s="11" t="n"/>
      <c r="H7" s="11" t="n"/>
      <c r="I7" s="11" t="n"/>
      <c r="J7" s="13" t="n"/>
      <c r="K7" s="13" t="n"/>
      <c r="L7" s="13" t="n"/>
      <c r="M7" s="11" t="n"/>
      <c r="N7" s="11" t="n"/>
      <c r="O7" s="13" t="n"/>
      <c r="P7" s="9">
        <f>IFERROR(SUM(J7:L7),"")</f>
        <v/>
      </c>
      <c r="Q7" s="11" t="n"/>
    </row>
    <row r="8" ht="40.05" customHeight="1">
      <c r="A8" s="11" t="n"/>
      <c r="B8" s="11" t="n"/>
      <c r="C8" s="11" t="n"/>
      <c r="D8" s="11" t="n"/>
      <c r="E8" s="12" t="n"/>
      <c r="F8" s="12" t="n"/>
      <c r="G8" s="11" t="n"/>
      <c r="H8" s="11" t="n"/>
      <c r="I8" s="11" t="n"/>
      <c r="J8" s="13" t="n"/>
      <c r="K8" s="13" t="n"/>
      <c r="L8" s="13" t="n"/>
      <c r="M8" s="11" t="n"/>
      <c r="N8" s="11" t="n"/>
      <c r="O8" s="13" t="n"/>
      <c r="P8" s="9">
        <f>IFERROR(SUM(J8:L8),"")</f>
        <v/>
      </c>
      <c r="Q8" s="11" t="n"/>
    </row>
    <row r="9" ht="40.05" customHeight="1">
      <c r="A9" s="11" t="n"/>
      <c r="B9" s="11" t="n"/>
      <c r="C9" s="11" t="n"/>
      <c r="D9" s="11" t="n"/>
      <c r="E9" s="12" t="n"/>
      <c r="F9" s="12" t="n"/>
      <c r="G9" s="11" t="n"/>
      <c r="H9" s="11" t="n"/>
      <c r="I9" s="11" t="n"/>
      <c r="J9" s="13" t="n"/>
      <c r="K9" s="13" t="n"/>
      <c r="L9" s="13" t="n"/>
      <c r="M9" s="11" t="n"/>
      <c r="N9" s="11" t="n"/>
      <c r="O9" s="13" t="n"/>
      <c r="P9" s="9">
        <f>IFERROR(SUM(J9:L9),"")</f>
        <v/>
      </c>
      <c r="Q9" s="11" t="n"/>
    </row>
    <row r="10" ht="40.05" customHeight="1">
      <c r="A10" s="11" t="n"/>
      <c r="B10" s="11" t="n"/>
      <c r="C10" s="11" t="n"/>
      <c r="D10" s="11" t="n"/>
      <c r="E10" s="12" t="n"/>
      <c r="F10" s="12" t="n"/>
      <c r="G10" s="11" t="n"/>
      <c r="H10" s="11" t="n"/>
      <c r="I10" s="11" t="n"/>
      <c r="J10" s="13" t="n"/>
      <c r="K10" s="13" t="n"/>
      <c r="L10" s="13" t="n"/>
      <c r="M10" s="11" t="n"/>
      <c r="N10" s="11" t="n"/>
      <c r="O10" s="13" t="n"/>
      <c r="P10" s="9">
        <f>IFERROR(SUM(J10:L10),"")</f>
        <v/>
      </c>
      <c r="Q10" s="11" t="n"/>
    </row>
    <row r="11" ht="40.05" customHeight="1">
      <c r="A11" s="11" t="n"/>
      <c r="B11" s="11" t="n"/>
      <c r="C11" s="11" t="n"/>
      <c r="D11" s="11" t="n"/>
      <c r="E11" s="12" t="n"/>
      <c r="F11" s="12" t="n"/>
      <c r="G11" s="11" t="n"/>
      <c r="H11" s="11" t="n"/>
      <c r="I11" s="11" t="n"/>
      <c r="J11" s="13" t="n"/>
      <c r="K11" s="13" t="n"/>
      <c r="L11" s="13" t="n"/>
      <c r="M11" s="11" t="n"/>
      <c r="N11" s="11" t="n"/>
      <c r="O11" s="13" t="n"/>
      <c r="P11" s="9">
        <f>IFERROR(SUM(J11:L11),"")</f>
        <v/>
      </c>
      <c r="Q11" s="11" t="n"/>
    </row>
    <row r="12" ht="40.05" customHeight="1">
      <c r="A12" s="11" t="n"/>
      <c r="B12" s="11" t="n"/>
      <c r="C12" s="11" t="n"/>
      <c r="D12" s="11" t="n"/>
      <c r="E12" s="12" t="n"/>
      <c r="F12" s="12" t="n"/>
      <c r="G12" s="11" t="n"/>
      <c r="H12" s="11" t="n"/>
      <c r="I12" s="11" t="n"/>
      <c r="J12" s="13" t="n"/>
      <c r="K12" s="13" t="n"/>
      <c r="L12" s="13" t="n"/>
      <c r="M12" s="11" t="n"/>
      <c r="N12" s="11" t="n"/>
      <c r="O12" s="13" t="n"/>
      <c r="P12" s="9">
        <f>IFERROR(SUM(J12:L12),"")</f>
        <v/>
      </c>
      <c r="Q12" s="11" t="n"/>
    </row>
    <row r="13" ht="40.05" customHeight="1">
      <c r="A13" s="11" t="n"/>
      <c r="B13" s="11" t="n"/>
      <c r="C13" s="11" t="n"/>
      <c r="D13" s="11" t="n"/>
      <c r="E13" s="12" t="n"/>
      <c r="F13" s="12" t="n"/>
      <c r="G13" s="11" t="n"/>
      <c r="H13" s="11" t="n"/>
      <c r="I13" s="11" t="n"/>
      <c r="J13" s="13" t="n"/>
      <c r="K13" s="13" t="n"/>
      <c r="L13" s="13" t="n"/>
      <c r="M13" s="11" t="n"/>
      <c r="N13" s="11" t="n"/>
      <c r="O13" s="13" t="n"/>
      <c r="P13" s="9">
        <f>IFERROR(SUM(J13:L13),"")</f>
        <v/>
      </c>
      <c r="Q13" s="11" t="n"/>
    </row>
    <row r="14" ht="40.05" customHeight="1">
      <c r="A14" s="11" t="n"/>
      <c r="B14" s="11" t="n"/>
      <c r="C14" s="11" t="n"/>
      <c r="D14" s="11" t="n"/>
      <c r="E14" s="12" t="n"/>
      <c r="F14" s="12" t="n"/>
      <c r="G14" s="11" t="n"/>
      <c r="H14" s="11" t="n"/>
      <c r="I14" s="11" t="n"/>
      <c r="J14" s="13" t="n"/>
      <c r="K14" s="13" t="n"/>
      <c r="L14" s="13" t="n"/>
      <c r="M14" s="11" t="n"/>
      <c r="N14" s="11" t="n"/>
      <c r="O14" s="13" t="n"/>
      <c r="P14" s="9">
        <f>IFERROR(SUM(J14:L14),"")</f>
        <v/>
      </c>
      <c r="Q14" s="11" t="n"/>
    </row>
    <row r="15" ht="40.05" customHeight="1">
      <c r="A15" s="11" t="n"/>
      <c r="B15" s="11" t="n"/>
      <c r="C15" s="11" t="n"/>
      <c r="D15" s="11" t="n"/>
      <c r="E15" s="12" t="n"/>
      <c r="F15" s="12" t="n"/>
      <c r="G15" s="11" t="n"/>
      <c r="H15" s="11" t="n"/>
      <c r="I15" s="11" t="n"/>
      <c r="J15" s="13" t="n"/>
      <c r="K15" s="13" t="n"/>
      <c r="L15" s="13" t="n"/>
      <c r="M15" s="11" t="n"/>
      <c r="N15" s="11" t="n"/>
      <c r="O15" s="13" t="n"/>
      <c r="P15" s="9">
        <f>IFERROR(SUM(J15:L15),"")</f>
        <v/>
      </c>
      <c r="Q15" s="11" t="n"/>
    </row>
    <row r="16" ht="40.05" customHeight="1">
      <c r="A16" s="11" t="n"/>
      <c r="B16" s="11" t="n"/>
      <c r="C16" s="11" t="n"/>
      <c r="D16" s="11" t="n"/>
      <c r="E16" s="12" t="n"/>
      <c r="F16" s="12" t="n"/>
      <c r="G16" s="11" t="n"/>
      <c r="H16" s="11" t="n"/>
      <c r="I16" s="11" t="n"/>
      <c r="J16" s="13" t="n"/>
      <c r="K16" s="13" t="n"/>
      <c r="L16" s="13" t="n"/>
      <c r="M16" s="11" t="n"/>
      <c r="N16" s="11" t="n"/>
      <c r="O16" s="13" t="n"/>
      <c r="P16" s="9">
        <f>IFERROR(SUM(J16:L16),"")</f>
        <v/>
      </c>
      <c r="Q16" s="11" t="n"/>
    </row>
    <row r="17" ht="40.05" customHeight="1">
      <c r="A17" s="11" t="n"/>
      <c r="B17" s="11" t="n"/>
      <c r="C17" s="11" t="n"/>
      <c r="D17" s="11" t="n"/>
      <c r="E17" s="12" t="n"/>
      <c r="F17" s="12" t="n"/>
      <c r="G17" s="11" t="n"/>
      <c r="H17" s="11" t="n"/>
      <c r="I17" s="11" t="n"/>
      <c r="J17" s="13" t="n"/>
      <c r="K17" s="13" t="n"/>
      <c r="L17" s="13" t="n"/>
      <c r="M17" s="11" t="n"/>
      <c r="N17" s="11" t="n"/>
      <c r="O17" s="13" t="n"/>
      <c r="P17" s="9">
        <f>IFERROR(SUM(J17:L17),"")</f>
        <v/>
      </c>
      <c r="Q17" s="11" t="n"/>
    </row>
    <row r="18" ht="40.05" customHeight="1">
      <c r="A18" s="11" t="n"/>
      <c r="B18" s="11" t="n"/>
      <c r="C18" s="11" t="n"/>
      <c r="D18" s="11" t="n"/>
      <c r="E18" s="12" t="n"/>
      <c r="F18" s="12" t="n"/>
      <c r="G18" s="11" t="n"/>
      <c r="H18" s="11" t="n"/>
      <c r="I18" s="11" t="n"/>
      <c r="J18" s="13" t="n"/>
      <c r="K18" s="13" t="n"/>
      <c r="L18" s="13" t="n"/>
      <c r="M18" s="11" t="n"/>
      <c r="N18" s="11" t="n"/>
      <c r="O18" s="13" t="n"/>
      <c r="P18" s="9">
        <f>IFERROR(SUM(J18:L18),"")</f>
        <v/>
      </c>
      <c r="Q18" s="11" t="n"/>
    </row>
    <row r="19" ht="40.05" customHeight="1">
      <c r="A19" s="11" t="n"/>
      <c r="B19" s="11" t="n"/>
      <c r="C19" s="11" t="n"/>
      <c r="D19" s="11" t="n"/>
      <c r="E19" s="12" t="n"/>
      <c r="F19" s="12" t="n"/>
      <c r="G19" s="11" t="n"/>
      <c r="H19" s="11" t="n"/>
      <c r="I19" s="11" t="n"/>
      <c r="J19" s="13" t="n"/>
      <c r="K19" s="13" t="n"/>
      <c r="L19" s="13" t="n"/>
      <c r="M19" s="11" t="n"/>
      <c r="N19" s="11" t="n"/>
      <c r="O19" s="13" t="n"/>
      <c r="P19" s="9">
        <f>IFERROR(SUM(J19:L19),"")</f>
        <v/>
      </c>
      <c r="Q19" s="11" t="n"/>
    </row>
    <row r="20" ht="40.05" customHeight="1">
      <c r="A20" s="11" t="n"/>
      <c r="B20" s="11" t="n"/>
      <c r="C20" s="11" t="n"/>
      <c r="D20" s="11" t="n"/>
      <c r="E20" s="12" t="n"/>
      <c r="F20" s="12" t="n"/>
      <c r="G20" s="11" t="n"/>
      <c r="H20" s="11" t="n"/>
      <c r="I20" s="11" t="n"/>
      <c r="J20" s="13" t="n"/>
      <c r="K20" s="13" t="n"/>
      <c r="L20" s="13" t="n"/>
      <c r="M20" s="11" t="n"/>
      <c r="N20" s="11" t="n"/>
      <c r="O20" s="13" t="n"/>
      <c r="P20" s="9">
        <f>IFERROR(SUM(J20:L20),"")</f>
        <v/>
      </c>
      <c r="Q20" s="11" t="n"/>
    </row>
    <row r="21" ht="40.05" customHeight="1">
      <c r="A21" s="11" t="n"/>
      <c r="B21" s="11" t="n"/>
      <c r="C21" s="11" t="n"/>
      <c r="D21" s="11" t="n"/>
      <c r="E21" s="12" t="n"/>
      <c r="F21" s="12" t="n"/>
      <c r="G21" s="11" t="n"/>
      <c r="H21" s="11" t="n"/>
      <c r="I21" s="11" t="n"/>
      <c r="J21" s="13" t="n"/>
      <c r="K21" s="13" t="n"/>
      <c r="L21" s="13" t="n"/>
      <c r="M21" s="11" t="n"/>
      <c r="N21" s="11" t="n"/>
      <c r="O21" s="13" t="n"/>
      <c r="P21" s="9">
        <f>IFERROR(SUM(J21:L21),"")</f>
        <v/>
      </c>
      <c r="Q21" s="11" t="n"/>
    </row>
    <row r="22" ht="40.05" customHeight="1">
      <c r="A22" s="11" t="n"/>
      <c r="B22" s="11" t="n"/>
      <c r="C22" s="11" t="n"/>
      <c r="D22" s="11" t="n"/>
      <c r="E22" s="12" t="n"/>
      <c r="F22" s="12" t="n"/>
      <c r="G22" s="11" t="n"/>
      <c r="H22" s="11" t="n"/>
      <c r="I22" s="11" t="n"/>
      <c r="J22" s="13" t="n"/>
      <c r="K22" s="13" t="n"/>
      <c r="L22" s="13" t="n"/>
      <c r="M22" s="11" t="n"/>
      <c r="N22" s="11" t="n"/>
      <c r="O22" s="13" t="n"/>
      <c r="P22" s="9">
        <f>IFERROR(SUM(J22:L22),"")</f>
        <v/>
      </c>
      <c r="Q22" s="11" t="n"/>
    </row>
    <row r="23" ht="40.05" customHeight="1">
      <c r="A23" s="11" t="n"/>
      <c r="B23" s="11" t="n"/>
      <c r="C23" s="11" t="n"/>
      <c r="D23" s="11" t="n"/>
      <c r="E23" s="12" t="n"/>
      <c r="F23" s="12" t="n"/>
      <c r="G23" s="11" t="n"/>
      <c r="H23" s="11" t="n"/>
      <c r="I23" s="11" t="n"/>
      <c r="J23" s="13" t="n"/>
      <c r="K23" s="13" t="n"/>
      <c r="L23" s="13" t="n"/>
      <c r="M23" s="11" t="n"/>
      <c r="N23" s="11" t="n"/>
      <c r="O23" s="13" t="n"/>
      <c r="P23" s="9">
        <f>IFERROR(SUM(J23:L23),"")</f>
        <v/>
      </c>
      <c r="Q23" s="11" t="n"/>
    </row>
    <row r="24" ht="40.05" customHeight="1">
      <c r="A24" s="11" t="n"/>
      <c r="B24" s="11" t="n"/>
      <c r="C24" s="11" t="n"/>
      <c r="D24" s="11" t="n"/>
      <c r="E24" s="12" t="n"/>
      <c r="F24" s="12" t="n"/>
      <c r="G24" s="11" t="n"/>
      <c r="H24" s="11" t="n"/>
      <c r="I24" s="11" t="n"/>
      <c r="J24" s="13" t="n"/>
      <c r="K24" s="13" t="n"/>
      <c r="L24" s="13" t="n"/>
      <c r="M24" s="11" t="n"/>
      <c r="N24" s="11" t="n"/>
      <c r="O24" s="13" t="n"/>
      <c r="P24" s="9">
        <f>IFERROR(SUM(J24:L24),"")</f>
        <v/>
      </c>
      <c r="Q24" s="11" t="n"/>
    </row>
    <row r="25" ht="40.05" customHeight="1">
      <c r="A25" s="11" t="n"/>
      <c r="B25" s="11" t="n"/>
      <c r="C25" s="11" t="n"/>
      <c r="D25" s="11" t="n"/>
      <c r="E25" s="12" t="n"/>
      <c r="F25" s="12" t="n"/>
      <c r="G25" s="11" t="n"/>
      <c r="H25" s="11" t="n"/>
      <c r="I25" s="11" t="n"/>
      <c r="J25" s="13" t="n"/>
      <c r="K25" s="13" t="n"/>
      <c r="L25" s="13" t="n"/>
      <c r="M25" s="11" t="n"/>
      <c r="N25" s="11" t="n"/>
      <c r="O25" s="13" t="n"/>
      <c r="P25" s="9">
        <f>IFERROR(SUM(J25:L25),"")</f>
        <v/>
      </c>
      <c r="Q25" s="11" t="n"/>
    </row>
    <row r="26" ht="40.05" customHeight="1">
      <c r="A26" s="11" t="n"/>
      <c r="B26" s="11" t="n"/>
      <c r="C26" s="11" t="n"/>
      <c r="D26" s="11" t="n"/>
      <c r="E26" s="12" t="n"/>
      <c r="F26" s="12" t="n"/>
      <c r="G26" s="11" t="n"/>
      <c r="H26" s="11" t="n"/>
      <c r="I26" s="11" t="n"/>
      <c r="J26" s="13" t="n"/>
      <c r="K26" s="13" t="n"/>
      <c r="L26" s="13" t="n"/>
      <c r="M26" s="11" t="n"/>
      <c r="N26" s="11" t="n"/>
      <c r="O26" s="13" t="n"/>
      <c r="P26" s="9">
        <f>IFERROR(SUM(J26:L26),"")</f>
        <v/>
      </c>
      <c r="Q26" s="11" t="n"/>
    </row>
    <row r="27" ht="40.05" customHeight="1">
      <c r="A27" s="11" t="n"/>
      <c r="B27" s="11" t="n"/>
      <c r="C27" s="11" t="n"/>
      <c r="D27" s="11" t="n"/>
      <c r="E27" s="12" t="n"/>
      <c r="F27" s="12" t="n"/>
      <c r="G27" s="11" t="n"/>
      <c r="H27" s="11" t="n"/>
      <c r="I27" s="11" t="n"/>
      <c r="J27" s="13" t="n"/>
      <c r="K27" s="13" t="n"/>
      <c r="L27" s="13" t="n"/>
      <c r="M27" s="11" t="n"/>
      <c r="N27" s="11" t="n"/>
      <c r="O27" s="13" t="n"/>
      <c r="P27" s="9">
        <f>IFERROR(SUM(J27:L27),"")</f>
        <v/>
      </c>
      <c r="Q27" s="11" t="n"/>
    </row>
    <row r="28" ht="40.05" customHeight="1">
      <c r="A28" s="11" t="n"/>
      <c r="B28" s="11" t="n"/>
      <c r="C28" s="11" t="n"/>
      <c r="D28" s="11" t="n"/>
      <c r="E28" s="12" t="n"/>
      <c r="F28" s="12" t="n"/>
      <c r="G28" s="11" t="n"/>
      <c r="H28" s="11" t="n"/>
      <c r="I28" s="11" t="n"/>
      <c r="J28" s="13" t="n"/>
      <c r="K28" s="13" t="n"/>
      <c r="L28" s="13" t="n"/>
      <c r="M28" s="11" t="n"/>
      <c r="N28" s="11" t="n"/>
      <c r="O28" s="13" t="n"/>
      <c r="P28" s="9">
        <f>IFERROR(SUM(J28:L28),"")</f>
        <v/>
      </c>
      <c r="Q28" s="11" t="n"/>
    </row>
    <row r="29" ht="40.05" customHeight="1">
      <c r="A29" s="11" t="n"/>
      <c r="B29" s="11" t="n"/>
      <c r="C29" s="11" t="n"/>
      <c r="D29" s="11" t="n"/>
      <c r="E29" s="12" t="n"/>
      <c r="F29" s="12" t="n"/>
      <c r="G29" s="11" t="n"/>
      <c r="H29" s="11" t="n"/>
      <c r="I29" s="11" t="n"/>
      <c r="J29" s="13" t="n"/>
      <c r="K29" s="13" t="n"/>
      <c r="L29" s="13" t="n"/>
      <c r="M29" s="11" t="n"/>
      <c r="N29" s="11" t="n"/>
      <c r="O29" s="13" t="n"/>
      <c r="P29" s="9">
        <f>IFERROR(SUM(J29:L29),"")</f>
        <v/>
      </c>
      <c r="Q29" s="11" t="n"/>
    </row>
    <row r="30" ht="40.05" customHeight="1">
      <c r="A30" s="11" t="n"/>
      <c r="B30" s="11" t="n"/>
      <c r="C30" s="11" t="n"/>
      <c r="D30" s="11" t="n"/>
      <c r="E30" s="12" t="n"/>
      <c r="F30" s="12" t="n"/>
      <c r="G30" s="11" t="n"/>
      <c r="H30" s="11" t="n"/>
      <c r="I30" s="11" t="n"/>
      <c r="J30" s="13" t="n"/>
      <c r="K30" s="13" t="n"/>
      <c r="L30" s="13" t="n"/>
      <c r="M30" s="11" t="n"/>
      <c r="N30" s="11" t="n"/>
      <c r="O30" s="13" t="n"/>
      <c r="P30" s="9">
        <f>IFERROR(SUM(J30:L30),"")</f>
        <v/>
      </c>
      <c r="Q30" s="11" t="n"/>
    </row>
    <row r="31" ht="40.05" customHeight="1">
      <c r="A31" s="11" t="n"/>
      <c r="B31" s="11" t="n"/>
      <c r="C31" s="11" t="n"/>
      <c r="D31" s="11" t="n"/>
      <c r="E31" s="12" t="n"/>
      <c r="F31" s="12" t="n"/>
      <c r="G31" s="11" t="n"/>
      <c r="H31" s="11" t="n"/>
      <c r="I31" s="11" t="n"/>
      <c r="J31" s="13" t="n"/>
      <c r="K31" s="13" t="n"/>
      <c r="L31" s="13" t="n"/>
      <c r="M31" s="11" t="n"/>
      <c r="N31" s="11" t="n"/>
      <c r="O31" s="13" t="n"/>
      <c r="P31" s="9">
        <f>IFERROR(SUM(J31:L31),"")</f>
        <v/>
      </c>
      <c r="Q31" s="11" t="n"/>
    </row>
    <row r="32" ht="40.05" customHeight="1">
      <c r="A32" s="11" t="n"/>
      <c r="B32" s="11" t="n"/>
      <c r="C32" s="11" t="n"/>
      <c r="D32" s="11" t="n"/>
      <c r="E32" s="12" t="n"/>
      <c r="F32" s="12" t="n"/>
      <c r="G32" s="11" t="n"/>
      <c r="H32" s="11" t="n"/>
      <c r="I32" s="11" t="n"/>
      <c r="J32" s="13" t="n"/>
      <c r="K32" s="13" t="n"/>
      <c r="L32" s="13" t="n"/>
      <c r="M32" s="11" t="n"/>
      <c r="N32" s="11" t="n"/>
      <c r="O32" s="13" t="n"/>
      <c r="P32" s="9">
        <f>IFERROR(SUM(J32:L32),"")</f>
        <v/>
      </c>
      <c r="Q32" s="11" t="n"/>
    </row>
    <row r="33" ht="40.05" customHeight="1">
      <c r="A33" s="11" t="n"/>
      <c r="B33" s="11" t="n"/>
      <c r="C33" s="11" t="n"/>
      <c r="D33" s="11" t="n"/>
      <c r="E33" s="12" t="n"/>
      <c r="F33" s="12" t="n"/>
      <c r="G33" s="11" t="n"/>
      <c r="H33" s="11" t="n"/>
      <c r="I33" s="11" t="n"/>
      <c r="J33" s="13" t="n"/>
      <c r="K33" s="13" t="n"/>
      <c r="L33" s="13" t="n"/>
      <c r="M33" s="11" t="n"/>
      <c r="N33" s="11" t="n"/>
      <c r="O33" s="13" t="n"/>
      <c r="P33" s="9">
        <f>IFERROR(SUM(J33:L33),"")</f>
        <v/>
      </c>
      <c r="Q33" s="11" t="n"/>
    </row>
  </sheetData>
  <dataValidations count="3">
    <dataValidation sqref="M3:M33" showDropDown="0" showInputMessage="0" showErrorMessage="0" allowBlank="1" type="list">
      <formula1>"Baik,Sedang,Buruk,Tidak Ada"</formula1>
      <formula2>0</formula2>
    </dataValidation>
    <dataValidation sqref="N3:N33" showDropDown="0" showInputMessage="0" showErrorMessage="0" allowBlank="1" type="list">
      <formula1>"Ada,Tidak Ada"</formula1>
      <formula2>0</formula2>
    </dataValidation>
    <dataValidation sqref="I3:I33" showDropDown="0" showInputMessage="0" showErrorMessage="0" allowBlank="1" type="list">
      <formula1>"Pagi,Sore"</formula1>
      <formula2>0</formula2>
    </dataValidation>
  </dataValidations>
  <pageMargins left="0.75" right="0.75" top="1" bottom="1" header="0.511811023622047" footer="0.511811023622047"/>
  <pageSetup orientation="landscape" paperSize="9" scale="48" fitToHeight="0" horizontalDpi="4294967293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2026-08-10T08:40:51Z</dcterms:created>
  <dcterms:modified xsi:type="dcterms:W3CDTF">2026-08-26T11:07:53Z</dcterms:modified>
  <cp:lastModifiedBy>Samuel Alfa Edison</cp:lastModifiedBy>
  <cp:revision>0</cp:revision>
  <cp:lastPrinted>2026-08-16T11:50:35Z</cp:lastPrinted>
</cp:coreProperties>
</file>