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uhfe\Downloads\"/>
    </mc:Choice>
  </mc:AlternateContent>
  <xr:revisionPtr revIDLastSave="0" documentId="8_{9EC11B79-7BD6-4963-B0AC-BCC164821D5D}" xr6:coauthVersionLast="47" xr6:coauthVersionMax="47" xr10:uidLastSave="{00000000-0000-0000-0000-000000000000}"/>
  <bookViews>
    <workbookView xWindow="-108" yWindow="-108" windowWidth="23256" windowHeight="12456" activeTab="2" xr2:uid="{00000000-000D-0000-FFFF-FFFF00000000}"/>
  </bookViews>
  <sheets>
    <sheet name="Petunjuk" sheetId="1" r:id="rId1"/>
    <sheet name="Form Kondisi Halte" sheetId="2" r:id="rId2"/>
    <sheet name="Form Traffic Counting" sheetId="3" r:id="rId3"/>
  </sheet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3" i="3" l="1"/>
  <c r="P32" i="3"/>
  <c r="P31" i="3"/>
  <c r="P30" i="3"/>
  <c r="P29" i="3"/>
  <c r="P28" i="3"/>
  <c r="P27" i="3"/>
  <c r="P26" i="3"/>
  <c r="P25" i="3"/>
  <c r="P24" i="3"/>
  <c r="P23" i="3"/>
  <c r="P22" i="3"/>
  <c r="P21" i="3"/>
  <c r="P20" i="3"/>
  <c r="P19" i="3"/>
  <c r="P18" i="3"/>
  <c r="P17" i="3"/>
  <c r="P16" i="3"/>
  <c r="P15" i="3"/>
  <c r="P14" i="3"/>
  <c r="P12" i="3"/>
  <c r="P11" i="3"/>
  <c r="P10" i="3"/>
  <c r="P9" i="3"/>
  <c r="P8" i="3"/>
  <c r="P7" i="3"/>
  <c r="P6" i="3"/>
  <c r="P5" i="3"/>
  <c r="P4" i="3"/>
  <c r="P3" i="3"/>
  <c r="T39" i="2"/>
  <c r="R39" i="2"/>
  <c r="O39" i="2"/>
  <c r="U39" i="2" s="1"/>
  <c r="T38" i="2"/>
  <c r="R38" i="2"/>
  <c r="O38" i="2"/>
  <c r="U38" i="2" s="1"/>
  <c r="T37" i="2"/>
  <c r="R37" i="2"/>
  <c r="O37" i="2"/>
  <c r="U37" i="2" s="1"/>
  <c r="T36" i="2"/>
  <c r="R36" i="2"/>
  <c r="O36" i="2"/>
  <c r="U36" i="2" s="1"/>
  <c r="T35" i="2"/>
  <c r="R35" i="2"/>
  <c r="O35" i="2"/>
  <c r="U35" i="2" s="1"/>
  <c r="T34" i="2"/>
  <c r="R34" i="2"/>
  <c r="O34" i="2"/>
  <c r="U34" i="2" s="1"/>
  <c r="T33" i="2"/>
  <c r="R33" i="2"/>
  <c r="O33" i="2"/>
  <c r="U33" i="2" s="1"/>
  <c r="T32" i="2"/>
  <c r="R32" i="2"/>
  <c r="O32" i="2"/>
  <c r="U32" i="2" s="1"/>
  <c r="T31" i="2"/>
  <c r="R31" i="2"/>
  <c r="O31" i="2"/>
  <c r="U31" i="2" s="1"/>
  <c r="T30" i="2"/>
  <c r="R30" i="2"/>
  <c r="O30" i="2"/>
  <c r="U30" i="2" s="1"/>
  <c r="T29" i="2"/>
  <c r="R29" i="2"/>
  <c r="O29" i="2"/>
  <c r="U29" i="2" s="1"/>
  <c r="T28" i="2"/>
  <c r="R28" i="2"/>
  <c r="O28" i="2"/>
  <c r="U28" i="2" s="1"/>
  <c r="T27" i="2"/>
  <c r="R27" i="2"/>
  <c r="O27" i="2"/>
  <c r="U27" i="2" s="1"/>
  <c r="U26" i="2"/>
  <c r="T26" i="2"/>
  <c r="R26" i="2"/>
  <c r="O26" i="2"/>
  <c r="T25" i="2"/>
  <c r="R25" i="2"/>
  <c r="O25" i="2"/>
  <c r="U25" i="2" s="1"/>
  <c r="T24" i="2"/>
  <c r="R24" i="2"/>
  <c r="O24" i="2"/>
  <c r="U24" i="2" s="1"/>
  <c r="T23" i="2"/>
  <c r="R23" i="2"/>
  <c r="O23" i="2"/>
  <c r="U23" i="2" s="1"/>
  <c r="T22" i="2"/>
  <c r="R22" i="2"/>
  <c r="O22" i="2"/>
  <c r="U22" i="2" s="1"/>
  <c r="T21" i="2"/>
  <c r="R21" i="2"/>
  <c r="O21" i="2"/>
  <c r="U21" i="2" s="1"/>
  <c r="T20" i="2"/>
  <c r="R20" i="2"/>
  <c r="O20" i="2"/>
  <c r="U20" i="2" s="1"/>
  <c r="T19" i="2"/>
  <c r="R19" i="2"/>
  <c r="O19" i="2"/>
  <c r="U19" i="2" s="1"/>
  <c r="T18" i="2"/>
  <c r="R18" i="2"/>
  <c r="O18" i="2"/>
  <c r="U18" i="2" s="1"/>
  <c r="T17" i="2"/>
  <c r="R17" i="2"/>
  <c r="O17" i="2"/>
  <c r="U17" i="2" s="1"/>
  <c r="T16" i="2"/>
  <c r="R16" i="2"/>
  <c r="O16" i="2"/>
  <c r="U16" i="2" s="1"/>
  <c r="T15" i="2"/>
  <c r="R15" i="2"/>
  <c r="O15" i="2"/>
  <c r="U15" i="2" s="1"/>
  <c r="T14" i="2"/>
  <c r="R14" i="2"/>
  <c r="O14" i="2"/>
  <c r="U14" i="2" s="1"/>
  <c r="T13" i="2"/>
  <c r="R13" i="2"/>
  <c r="O13" i="2"/>
  <c r="U13" i="2" s="1"/>
  <c r="T12" i="2"/>
  <c r="R12" i="2"/>
  <c r="O12" i="2"/>
  <c r="U12" i="2" s="1"/>
  <c r="T11" i="2"/>
  <c r="R11" i="2"/>
  <c r="O11" i="2"/>
  <c r="U11" i="2" s="1"/>
  <c r="T10" i="2"/>
  <c r="R10" i="2"/>
  <c r="O10" i="2"/>
  <c r="U10" i="2" s="1"/>
  <c r="T9" i="2"/>
  <c r="R9" i="2"/>
  <c r="O9" i="2"/>
  <c r="U9" i="2" s="1"/>
  <c r="T8" i="2"/>
  <c r="R8" i="2"/>
  <c r="O8" i="2"/>
  <c r="U8" i="2" s="1"/>
  <c r="T7" i="2"/>
  <c r="R7" i="2"/>
  <c r="O7" i="2"/>
  <c r="U7" i="2" s="1"/>
  <c r="T6" i="2"/>
  <c r="R6" i="2"/>
  <c r="O6" i="2"/>
  <c r="U6" i="2" s="1"/>
  <c r="T5" i="2"/>
  <c r="R5" i="2"/>
  <c r="O5" i="2"/>
  <c r="U5" i="2" s="1"/>
  <c r="T4" i="2"/>
  <c r="R4" i="2"/>
  <c r="O4" i="2"/>
  <c r="U4" i="2" s="1"/>
  <c r="T3" i="2"/>
  <c r="R3" i="2"/>
  <c r="O3" i="2"/>
  <c r="U3" i="2" s="1"/>
</calcChain>
</file>

<file path=xl/sharedStrings.xml><?xml version="1.0" encoding="utf-8"?>
<sst xmlns="http://schemas.openxmlformats.org/spreadsheetml/2006/main" count="371" uniqueCount="179">
  <si>
    <t>GeoTransit Insight — Instrumen Survei Lapangan</t>
  </si>
  <si>
    <t>Tim MBG (MassTransit Based Geoinsight) — MAPID WebGIS Competition 2026</t>
  </si>
  <si>
    <t>Tujuan Dokumen</t>
  </si>
  <si>
    <t>Spreadsheet ini adalah instrumen kerja untuk mengumpulkan data survei lapangan yang menjadi input Skor Survei Lapangan (S_survei) pada Composite Accessibility Index — sesuai metodologi di Bab 7a proposal GeoTransit Insight. Gunakan sebagai acuan saat membuat form digital di MAPID Apps, atau sebagai pencatatan cadangan di lapangan.</t>
  </si>
  <si>
    <t>Dua Sheet Kerja</t>
  </si>
  <si>
    <t>1. Form Kondisi Halte Eksisting — untuk titik yang SUDAH punya infrastruktur transit (menilai kualitas fungsional: kelengkapan fisik, headway aktual, okupansi).</t>
  </si>
  <si>
    <t>2. Form Traffic Counting - Titik Kandidat — untuk titik yang BELUM punya halte resmi (menilai demand tersembunyi lewat penghitungan aktivitas naik-turun dan pejalan kaki).</t>
  </si>
  <si>
    <t>Cara Pakai</t>
  </si>
  <si>
    <t>- Baris berwarna oranye (baris 2) adalah petunjuk pengisian tiap kolom — jangan dihapus.</t>
  </si>
  <si>
    <t>- Baris berwarna biru muda (baris 3) adalah CONTOH pengisian — boleh dihapus/ditimpa saat mulai input data.</t>
  </si>
  <si>
    <t>- Kolom dengan latar kuning adalah kolom formula (skor) — terisi otomatis, jangan diedit manual.</t>
  </si>
  <si>
    <t>- Isi satu baris per titik yang disurvei. Sertakan foto dengan menuliskan nama file/link Google Drive pada kolom Foto.</t>
  </si>
  <si>
    <t>- Ambil koordinat GPS langsung dari MAPID Apps saat berada di lokasi untuk akurasi terbaik.</t>
  </si>
  <si>
    <t>Referensi Formula</t>
  </si>
  <si>
    <t>Skor Survei Gabungan (halte eksisting) = 0,4 x Skor Kelengkapan Fisik + 0,35 x Skor Kinerja Headway + 0,25 x Skor Okupansi</t>
  </si>
  <si>
    <t>Skor Demand (titik kandidat) = Total Aktivitas Teramati, dinormalisasi terhadap titik tersibuk saat pengolahan data di QGIS/Python.</t>
  </si>
  <si>
    <t>ID Halte</t>
  </si>
  <si>
    <t>Nama Halte / Titik</t>
  </si>
  <si>
    <t>Kecamatan</t>
  </si>
  <si>
    <t>Kelurahan</t>
  </si>
  <si>
    <t>Latitude</t>
  </si>
  <si>
    <t>Longitude</t>
  </si>
  <si>
    <t>Nama Surveyor</t>
  </si>
  <si>
    <t>Tanggal Survei</t>
  </si>
  <si>
    <t>Sesi (Pagi/Sore)</t>
  </si>
  <si>
    <t>Papan Nama (Ya/Tidak)</t>
  </si>
  <si>
    <t>Atap/Naungan (Ya/Tidak)</t>
  </si>
  <si>
    <t>Tempat Duduk (Ya/Tidak)</t>
  </si>
  <si>
    <t>Akses Difabel (Ya/Tidak)</t>
  </si>
  <si>
    <t>Penerangan (Ya/Tidak)</t>
  </si>
  <si>
    <t>Skor Kelengkapan Fisik</t>
  </si>
  <si>
    <t>Headway Aktual (menit)</t>
  </si>
  <si>
    <t>Headway Ideal (menit)</t>
  </si>
  <si>
    <t>Skor Kinerja Headway</t>
  </si>
  <si>
    <t>Okupansi Rata-rata (%)</t>
  </si>
  <si>
    <t>Skor Okupansi</t>
  </si>
  <si>
    <t>Skor Survei Gabungan</t>
  </si>
  <si>
    <t>Jumlah Armada Teramati</t>
  </si>
  <si>
    <t>Foto (nama file/link)</t>
  </si>
  <si>
    <t>Catatan Tambahan</t>
  </si>
  <si>
    <t>Kode unik, mis. HLT-001</t>
  </si>
  <si>
    <t>Nama resmi/sebutan lokal titik</t>
  </si>
  <si>
    <t>Sesuai wilayah administratif</t>
  </si>
  <si>
    <t>Format desimal, dari GPS MAPID Apps</t>
  </si>
  <si>
    <t>Nama anggota tim yang survei</t>
  </si>
  <si>
    <t>Format DD/MM/YYYY</t>
  </si>
  <si>
    <t>Pagi 05.30-07.30 /Siang 09:00-12:00/ Sore 16.00-18.00</t>
  </si>
  <si>
    <t>Isi Ya/Tidak</t>
  </si>
  <si>
    <t>Otomatis = jumlah Ya / 5</t>
  </si>
  <si>
    <t>Rata-rata interval kedatangan kendaraan selama observasi</t>
  </si>
  <si>
    <t>Target standar, default 15 menit</t>
  </si>
  <si>
    <t>Otomatis = min(1, ideal/aktual)</t>
  </si>
  <si>
    <t>Estimasi visual rata-rata dari beberapa armada</t>
  </si>
  <si>
    <t>Otomatis = Okupansi/100</t>
  </si>
  <si>
    <t>Otomatis = 0,4xFisik + 0,35xHeadway + 0,25xOkupansi</t>
  </si>
  <si>
    <t>Jumlah kendaraan lewat selama observasi</t>
  </si>
  <si>
    <t>Nama file foto atau link Drive</t>
  </si>
  <si>
    <t>Kondisi lain yang relevan</t>
  </si>
  <si>
    <t>HLT-001</t>
  </si>
  <si>
    <t>Halte Summarecon Bekasi</t>
  </si>
  <si>
    <t>Bekasi Utara</t>
  </si>
  <si>
    <t>Marga Mulya</t>
  </si>
  <si>
    <t>Rafael Williem</t>
  </si>
  <si>
    <t>10/08/2026</t>
  </si>
  <si>
    <t>Pagi</t>
  </si>
  <si>
    <t>Ya</t>
  </si>
  <si>
    <t>Tidak</t>
  </si>
  <si>
    <t>IMG_HLT001.jpg</t>
  </si>
  <si>
    <t>Ramai jam berangkat kerja</t>
  </si>
  <si>
    <t>Halte Simpang Pekayon</t>
  </si>
  <si>
    <t>Bekasi Selatan</t>
  </si>
  <si>
    <t>Marga Jaya</t>
  </si>
  <si>
    <t>Samuel Alfa Edison</t>
  </si>
  <si>
    <t>Ramai Jam istirahat siang</t>
  </si>
  <si>
    <t>HLT-002</t>
  </si>
  <si>
    <t>Halte Revo Mall</t>
  </si>
  <si>
    <t>Pekayon Jaya</t>
  </si>
  <si>
    <t>Siang</t>
  </si>
  <si>
    <t>HLT-003</t>
  </si>
  <si>
    <t>Halte Rs. Elisabeth</t>
  </si>
  <si>
    <t>Rawa Lumbu</t>
  </si>
  <si>
    <t>Bojong Rawalumbu</t>
  </si>
  <si>
    <t>Penumpang yang paling sering menunggu adalah murid dari sekolah SMA Marsudirini</t>
  </si>
  <si>
    <t>HLT-004</t>
  </si>
  <si>
    <t>Halte Pesona Metroprolitan Bekasi 1</t>
  </si>
  <si>
    <t>HLT-005</t>
  </si>
  <si>
    <t>Halte Pesona Metroprolitan Bekasi 2</t>
  </si>
  <si>
    <t>HLT-006</t>
  </si>
  <si>
    <t>Halte STISIP Bekasi 1</t>
  </si>
  <si>
    <t>Bantar Gebang</t>
  </si>
  <si>
    <t>HLT-007</t>
  </si>
  <si>
    <t>Halte STISIP Bekasi 2</t>
  </si>
  <si>
    <t>HLT-008</t>
  </si>
  <si>
    <t>Halte Simpang Sawo</t>
  </si>
  <si>
    <t>HLT-009</t>
  </si>
  <si>
    <t>Halte Simpang Sawo 2</t>
  </si>
  <si>
    <t>HLT-010</t>
  </si>
  <si>
    <t>Halte Perum Sapta Taruna III</t>
  </si>
  <si>
    <t>Rawalumbu</t>
  </si>
  <si>
    <t>HLT-011</t>
  </si>
  <si>
    <t>Masjid At-Taqwa 2</t>
  </si>
  <si>
    <t>Bojong Menteng</t>
  </si>
  <si>
    <t>HLT-012</t>
  </si>
  <si>
    <t>Masjid At-Taqwa 1</t>
  </si>
  <si>
    <t>HLT-013</t>
  </si>
  <si>
    <t>Halte Universitas Trisakti 2</t>
  </si>
  <si>
    <t>Sepanjang Jaya</t>
  </si>
  <si>
    <t>HLT-014</t>
  </si>
  <si>
    <t>Halte Universitas Trisakti 1</t>
  </si>
  <si>
    <t>HLT-015</t>
  </si>
  <si>
    <t>Halte Pekayon</t>
  </si>
  <si>
    <t>ID Titik</t>
  </si>
  <si>
    <t>Deskripsi Lokasi</t>
  </si>
  <si>
    <t>Tanggal</t>
  </si>
  <si>
    <t>Sesi Waktu</t>
  </si>
  <si>
    <t>Jumlah Naik Angkot/Ojek</t>
  </si>
  <si>
    <t>Jumlah Turun Angkot/Ojek</t>
  </si>
  <si>
    <t>Jumlah Pejalan Kaki ke Arah Transit</t>
  </si>
  <si>
    <t>Kondisi Trotoar</t>
  </si>
  <si>
    <t>Kondisi Penyeberangan</t>
  </si>
  <si>
    <t>Jarak ke Transit Eksisting Terdekat (m)</t>
  </si>
  <si>
    <t>Total Aktivitas Teramati</t>
  </si>
  <si>
    <t>Kode unik, mis. KND-001</t>
  </si>
  <si>
    <t>Nama jalan/simpang/kawasan</t>
  </si>
  <si>
    <t>Pagi 06.00-08.00 / Sore 16.00-18.00</t>
  </si>
  <si>
    <t>Dihitung selama 1 sesi observasi (2 jam)</t>
  </si>
  <si>
    <t>Isi Baik/Sedang/Buruk/Tidak Ada</t>
  </si>
  <si>
    <t>Isi Ada/Tidak Ada</t>
  </si>
  <si>
    <t>Estimasi/GPS ke halte atau stasiun terdekat</t>
  </si>
  <si>
    <t>Otomatis = jumlah naik + turun + pejalan kaki</t>
  </si>
  <si>
    <t>Kondisi lain yang relevan, mis. dekat sekolah/pasar</t>
  </si>
  <si>
    <t>KND-001</t>
  </si>
  <si>
    <t>Simpang Jl. Chairil Anwar - Jl. Kartini</t>
  </si>
  <si>
    <t>Bekasi Timur</t>
  </si>
  <si>
    <t>Duren Jaya</t>
  </si>
  <si>
    <t>Galuh Eka Permana</t>
  </si>
  <si>
    <t>11/08/2026</t>
  </si>
  <si>
    <t>Sore</t>
  </si>
  <si>
    <t>Sedang</t>
  </si>
  <si>
    <t>Tidak Ada</t>
  </si>
  <si>
    <t>Banyak pejalan kaki menuju Stasiun Bekasi Timur</t>
  </si>
  <si>
    <t>KND-002</t>
  </si>
  <si>
    <t>Area Parkir Stasiun Bekasi Timur</t>
  </si>
  <si>
    <t>Muhamad Febrian</t>
  </si>
  <si>
    <t>17/08/2026</t>
  </si>
  <si>
    <t>Pagi (09:52 WIB)</t>
  </si>
  <si>
    <t>Ada</t>
  </si>
  <si>
    <t>[ESTIMASI 2 JAM - REVISI] Total aktivitas sekitar 70 orang. Dibuat relatif ramai karena area parkir Stasiun Bekasi Timur merupakan simpul perjalanan dan perpindahan penumpang. Potensi traffic jam terkait kepadatan parkir dan konflik kendaraan masuk-keluar.</t>
  </si>
  <si>
    <t>KND-003</t>
  </si>
  <si>
    <t>Akses Masuk Stasiun Bekasi</t>
  </si>
  <si>
    <t>Siang (10:15 WIB)</t>
  </si>
  <si>
    <t>[ESTIMASI 2 JAM - REVISI] Total aktivitas sekitar 80 orang. Dibuat paling ramai karena titik berada pada akses Stasiun Bekasi, dengan aktivitas antar-jemput, ojol, pejalan kaki, parkir, dan tundaan perlintasan kereta.</t>
  </si>
  <si>
    <t>KND-004</t>
  </si>
  <si>
    <t>Area Luar Transpark Mall Juanda Bekasi / Transmart Juanda Bekasi</t>
  </si>
  <si>
    <t>Margahayu</t>
  </si>
  <si>
    <t>Siang (10:49 WIB)</t>
  </si>
  <si>
    <t>[ESTIMASI 2 JAM - REVISI] Total aktivitas sekitar 20 orang. Aktivitas sedang-rendah di luar Transpark/Transmart Juanda. Isu utama berupa parkir di bahu jalan/jalur sepeda yang dapat mempersempit ruang lalu lintas.</t>
  </si>
  <si>
    <t>KND-005</t>
  </si>
  <si>
    <t>Sekitar Honda Merdeka Motor Bekasi (Jl. Ir. H. Juanda)</t>
  </si>
  <si>
    <t>Siang (11:00 WIB)</t>
  </si>
  <si>
    <t>Buruk</t>
  </si>
  <si>
    <t>[ESTIMASI 2 JAM - REVISI] Total aktivitas sekitar 12 orang. Aktivitas relatif rendah di sekitar Honda Merdeka Motor. Hambatan lebih dominan berasal dari pekerjaan/perbaikan jalan dan pedestrian daripada jumlah pengguna transit.</t>
  </si>
  <si>
    <t>KND-006</t>
  </si>
  <si>
    <t>Pasar Baru Bekasi (Jl. Ir. H. Juanda)</t>
  </si>
  <si>
    <t>Siang (11:07 WIB)</t>
  </si>
  <si>
    <t>[ESTIMASI 2 JAM - REVISI] Total aktivitas sekitar 50 orang. Kawasan Pasar Baru dibuat ramai karena aktivitas perdagangan, kendaraan berhenti, bongkar-muat, pembeli, dan pejalan kaki.</t>
  </si>
  <si>
    <t>KND-007</t>
  </si>
  <si>
    <t>Terminal Bekasi</t>
  </si>
  <si>
    <t>Siang (11:16 WIB)</t>
  </si>
  <si>
    <t>[ESTIMASI 2 JAM - REVISI] Total aktivitas sekitar 52 orang. Terminal Bekasi dibuat ramai karena pergerakan bus, angkot, kendaraan pribadi, penumpang, dan konflik sirkulasi di area terminal.</t>
  </si>
  <si>
    <t>KND-008</t>
  </si>
  <si>
    <t>Taman Cut Mutia Bekasi</t>
  </si>
  <si>
    <t>Siang (11:24 WIB)</t>
  </si>
  <si>
    <t>[ESTIMASI 2 JAM - REVISI] Total aktivitas sekitar 18 orang. Taman Cut Mutia diasumsikan memiliki aktivitas rendah-menengah. Isu utama berupa parkir tidak tertata dan kondisi pedestrian yang kurang baik.</t>
  </si>
  <si>
    <t>KND-009</t>
  </si>
  <si>
    <t>Rumah Sakit Bella Bekasi</t>
  </si>
  <si>
    <t>Siang (11:32 WIB, estimasi)</t>
  </si>
  <si>
    <t>[ESTIMASI 2 JAM - REVISI] Total aktivitas sekitar 10 orang. RS Bella Bekasi dibuat relatif rendah untuk observasi singkat. Potensi gangguan lalu lintas lebih terkait drop-off/pick-up, kendaraan keluar-masuk, dan parkir tepi jalan.</t>
  </si>
  <si>
    <t>CATATAN ESTIMASI REVISI: Jumlah aktivitas KND-002 s.d. KND-009 disesuaikan berdasarkan arahan PIC. Target total aktivitas per 2 jam dibuat sekitar 70 (Stasiun Bekasi Timur), 80 (Stasiun Bekasi), 20 (Mall Juanda), 12 (Honda Merdeka Motor), 50 (Pasar Baru Bekasi), 52 (Terminal Bekasi), 18 (Taman Cut Mutia), dan 10 (RS Bella Bekasi). Angka dibagi ke kategori naik, turun, dan pejalan kaki sebagai estimasi awal, bukan hasil traffic counting aktual.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</si>
</sst>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2" formatCode="_-&quot;Rp&quot;* #,##0_-;\-&quot;Rp&quot;* #,##0_-;_-&quot;Rp&quot;* &quot;-&quot;_-;_-@_-"/>
    <numFmt numFmtId="41" formatCode="_-* #,##0_-;\-* #,##0_-;_-* &quot;-&quot;_-;_-@_-"/>
    <numFmt numFmtId="44" formatCode="_-&quot;Rp&quot;* #,##0.00_-;\-&quot;Rp&quot;* #,##0.00_-;_-&quot;Rp&quot;* &quot;-&quot;??_-;_-@_-"/>
    <numFmt numFmtId="43" formatCode="_-* #,##0.00_-;\-* #,##0.00_-;_-* &quot;-&quot;??_-;_-@_-"/>
    <numFmt numFmtId="164" formatCode="0.0000"/>
    <numFmt numFmtId="166" formatCode="0.0000000"/>
  </numFmts>
  <fonts count="9" x14ac:knownFonts="1">
    <font>
      <sz val="11"/>
      <color theme="1"/>
      <name val="Calibri"/>
    </font>
    <font>
      <sz val="10"/>
      <name val="Arial"/>
    </font>
    <font>
      <b/>
      <sz val="14"/>
      <color rgb="FF1B659D"/>
      <name val="Arial"/>
    </font>
    <font>
      <sz val="11"/>
      <color rgb="FF000000"/>
      <name val="Arial"/>
    </font>
    <font>
      <sz val="10"/>
      <color rgb="FF000000"/>
      <name val="Arial"/>
    </font>
    <font>
      <b/>
      <sz val="12"/>
      <color rgb="FF1B659D"/>
      <name val="Arial"/>
    </font>
    <font>
      <b/>
      <sz val="10"/>
      <color rgb="FFFFFFFF"/>
      <name val="Arial"/>
    </font>
    <font>
      <sz val="10"/>
      <name val="Arial"/>
    </font>
    <font>
      <i/>
      <sz val="10"/>
      <color rgb="FF1B659D"/>
      <name val="Arial"/>
    </font>
  </fonts>
  <fills count="6">
    <fill>
      <patternFill patternType="none"/>
    </fill>
    <fill>
      <patternFill patternType="gray125"/>
    </fill>
    <fill>
      <patternFill patternType="solid">
        <fgColor rgb="FF1B659D"/>
      </patternFill>
    </fill>
    <fill>
      <patternFill patternType="solid">
        <fgColor rgb="FFFCEEDC"/>
      </patternFill>
    </fill>
    <fill>
      <patternFill patternType="solid">
        <fgColor rgb="FFDCE9F2"/>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24">
    <xf numFmtId="0" fontId="0" fillId="0" borderId="0" xfId="0"/>
    <xf numFmtId="0" fontId="7" fillId="5" borderId="1" xfId="0" applyFont="1" applyFill="1" applyBorder="1" applyAlignment="1">
      <alignment vertical="center" wrapText="1"/>
    </xf>
    <xf numFmtId="1" fontId="7" fillId="0" borderId="1" xfId="0" applyNumberFormat="1" applyFont="1" applyBorder="1" applyAlignment="1">
      <alignment vertical="center" wrapText="1"/>
    </xf>
    <xf numFmtId="166" fontId="1" fillId="0" borderId="1" xfId="0" applyNumberFormat="1" applyFont="1" applyBorder="1" applyAlignment="1">
      <alignment vertical="center" wrapText="1"/>
    </xf>
    <xf numFmtId="0" fontId="7" fillId="0" borderId="1" xfId="0" applyFont="1" applyBorder="1" applyAlignment="1">
      <alignment vertical="center" wrapText="1"/>
    </xf>
    <xf numFmtId="0" fontId="1" fillId="0" borderId="1" xfId="0" applyFont="1" applyBorder="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applyAlignment="1">
      <alignment vertical="center" wrapText="1"/>
    </xf>
    <xf numFmtId="0" fontId="6" fillId="2" borderId="1" xfId="0" applyFont="1" applyFill="1" applyBorder="1" applyAlignment="1">
      <alignment horizontal="center" vertical="center" wrapText="1"/>
    </xf>
    <xf numFmtId="0" fontId="7" fillId="3" borderId="1" xfId="0" applyFont="1" applyFill="1" applyBorder="1" applyAlignment="1">
      <alignment vertical="center" wrapText="1"/>
    </xf>
    <xf numFmtId="0" fontId="8" fillId="4" borderId="1" xfId="0" applyFont="1" applyFill="1" applyBorder="1" applyAlignment="1">
      <alignment vertical="center" wrapText="1"/>
    </xf>
    <xf numFmtId="164" fontId="8" fillId="4" borderId="1" xfId="0" applyNumberFormat="1" applyFont="1" applyFill="1" applyBorder="1" applyAlignment="1">
      <alignment vertical="center" wrapText="1"/>
    </xf>
    <xf numFmtId="0" fontId="7" fillId="5" borderId="1" xfId="0" applyFont="1" applyFill="1" applyBorder="1" applyAlignment="1">
      <alignment vertical="center" wrapText="1"/>
    </xf>
    <xf numFmtId="1" fontId="8" fillId="4" borderId="1" xfId="0" applyNumberFormat="1" applyFont="1" applyFill="1" applyBorder="1" applyAlignment="1">
      <alignment vertical="center" wrapText="1"/>
    </xf>
    <xf numFmtId="0" fontId="7" fillId="0" borderId="1" xfId="0" applyFont="1" applyBorder="1" applyAlignment="1">
      <alignment vertical="center" wrapText="1"/>
    </xf>
    <xf numFmtId="164" fontId="7" fillId="0" borderId="1" xfId="0" applyNumberFormat="1" applyFont="1" applyBorder="1" applyAlignment="1">
      <alignment vertical="center" wrapText="1"/>
    </xf>
    <xf numFmtId="1" fontId="7" fillId="0" borderId="1" xfId="0" applyNumberFormat="1" applyFont="1" applyBorder="1" applyAlignment="1">
      <alignment vertical="center" wrapText="1"/>
    </xf>
    <xf numFmtId="0" fontId="1" fillId="0" borderId="1" xfId="0" applyFont="1" applyBorder="1" applyAlignment="1">
      <alignment vertical="center" wrapText="1"/>
    </xf>
    <xf numFmtId="1" fontId="1" fillId="0" borderId="1" xfId="0" applyNumberFormat="1" applyFont="1" applyBorder="1" applyAlignment="1">
      <alignment vertical="center" wrapText="1"/>
    </xf>
    <xf numFmtId="166" fontId="8" fillId="4" borderId="1" xfId="0" applyNumberFormat="1" applyFont="1" applyFill="1" applyBorder="1" applyAlignment="1">
      <alignment vertical="center" wrapText="1"/>
    </xf>
    <xf numFmtId="166" fontId="1" fillId="0" borderId="1" xfId="0" applyNumberFormat="1" applyFont="1" applyBorder="1" applyAlignment="1">
      <alignment vertical="center" wrapText="1"/>
    </xf>
    <xf numFmtId="1" fontId="1" fillId="5" borderId="1" xfId="0" applyNumberFormat="1" applyFont="1" applyFill="1" applyBorder="1" applyAlignment="1">
      <alignment vertical="center" wrapText="1"/>
    </xf>
  </cellXfs>
  <cellStyles count="6">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9F2"/>
      <rgbColor rgb="FF660066"/>
      <rgbColor rgb="FFFF8080"/>
      <rgbColor rgb="FF1B659D"/>
      <rgbColor rgb="FFCCCCFF"/>
      <rgbColor rgb="FF000080"/>
      <rgbColor rgb="FFFF00FF"/>
      <rgbColor rgb="FFFFFF00"/>
      <rgbColor rgb="FF00FFFF"/>
      <rgbColor rgb="FF800080"/>
      <rgbColor rgb="FF800000"/>
      <rgbColor rgb="FF008080"/>
      <rgbColor rgb="FF0000FF"/>
      <rgbColor rgb="FF00CCFF"/>
      <rgbColor rgb="FFCCFFFF"/>
      <rgbColor rgb="FFCCFFCC"/>
      <rgbColor rgb="FFFCEED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showGridLines="0" workbookViewId="0"/>
  </sheetViews>
  <sheetFormatPr defaultColWidth="8.6640625" defaultRowHeight="14.4" x14ac:dyDescent="0.3"/>
  <cols>
    <col min="1" max="1" width="100" customWidth="1"/>
  </cols>
  <sheetData>
    <row r="1" spans="1:1" ht="30" customHeight="1" x14ac:dyDescent="0.3">
      <c r="A1" s="6" t="s">
        <v>0</v>
      </c>
    </row>
    <row r="2" spans="1:1" ht="19.5" customHeight="1" x14ac:dyDescent="0.3">
      <c r="A2" s="7" t="s">
        <v>1</v>
      </c>
    </row>
    <row r="3" spans="1:1" ht="19.5" customHeight="1" x14ac:dyDescent="0.3">
      <c r="A3" s="8"/>
    </row>
    <row r="4" spans="1:1" ht="30" customHeight="1" x14ac:dyDescent="0.3">
      <c r="A4" s="9" t="s">
        <v>2</v>
      </c>
    </row>
    <row r="5" spans="1:1" ht="72" customHeight="1" x14ac:dyDescent="0.3">
      <c r="A5" s="8" t="s">
        <v>3</v>
      </c>
    </row>
    <row r="6" spans="1:1" ht="19.5" customHeight="1" x14ac:dyDescent="0.3">
      <c r="A6" s="8"/>
    </row>
    <row r="7" spans="1:1" ht="30" customHeight="1" x14ac:dyDescent="0.3">
      <c r="A7" s="9" t="s">
        <v>4</v>
      </c>
    </row>
    <row r="8" spans="1:1" ht="36" customHeight="1" x14ac:dyDescent="0.3">
      <c r="A8" s="8" t="s">
        <v>5</v>
      </c>
    </row>
    <row r="9" spans="1:1" ht="36" customHeight="1" x14ac:dyDescent="0.3">
      <c r="A9" s="8" t="s">
        <v>6</v>
      </c>
    </row>
    <row r="10" spans="1:1" ht="19.5" customHeight="1" x14ac:dyDescent="0.3">
      <c r="A10" s="8"/>
    </row>
    <row r="11" spans="1:1" ht="30" customHeight="1" x14ac:dyDescent="0.3">
      <c r="A11" s="9" t="s">
        <v>7</v>
      </c>
    </row>
    <row r="12" spans="1:1" ht="19.5" customHeight="1" x14ac:dyDescent="0.3">
      <c r="A12" s="8" t="s">
        <v>8</v>
      </c>
    </row>
    <row r="13" spans="1:1" ht="36" customHeight="1" x14ac:dyDescent="0.3">
      <c r="A13" s="8" t="s">
        <v>9</v>
      </c>
    </row>
    <row r="14" spans="1:1" ht="36" customHeight="1" x14ac:dyDescent="0.3">
      <c r="A14" s="8" t="s">
        <v>10</v>
      </c>
    </row>
    <row r="15" spans="1:1" ht="36" customHeight="1" x14ac:dyDescent="0.3">
      <c r="A15" s="8" t="s">
        <v>11</v>
      </c>
    </row>
    <row r="16" spans="1:1" ht="19.5" customHeight="1" x14ac:dyDescent="0.3">
      <c r="A16" s="8" t="s">
        <v>12</v>
      </c>
    </row>
    <row r="17" spans="1:1" ht="19.5" customHeight="1" x14ac:dyDescent="0.3">
      <c r="A17" s="8"/>
    </row>
    <row r="18" spans="1:1" ht="30" customHeight="1" x14ac:dyDescent="0.3">
      <c r="A18" s="9" t="s">
        <v>13</v>
      </c>
    </row>
    <row r="19" spans="1:1" ht="36" customHeight="1" x14ac:dyDescent="0.3">
      <c r="A19" s="8" t="s">
        <v>14</v>
      </c>
    </row>
    <row r="20" spans="1:1" ht="36" customHeight="1" x14ac:dyDescent="0.3">
      <c r="A20" s="8" t="s">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39"/>
  <sheetViews>
    <sheetView workbookViewId="0"/>
  </sheetViews>
  <sheetFormatPr defaultColWidth="8.6640625" defaultRowHeight="14.4" x14ac:dyDescent="0.3"/>
  <cols>
    <col min="1" max="1" width="10" customWidth="1"/>
    <col min="2" max="2" width="22" customWidth="1"/>
    <col min="3" max="4" width="14" customWidth="1"/>
    <col min="5" max="6" width="11" customWidth="1"/>
    <col min="7" max="7" width="16" customWidth="1"/>
    <col min="8" max="8" width="13" customWidth="1"/>
    <col min="9" max="9" width="12" customWidth="1"/>
    <col min="10" max="11" width="14" customWidth="1"/>
    <col min="12" max="13" width="13" customWidth="1"/>
    <col min="14" max="17" width="12" customWidth="1"/>
    <col min="18" max="18" width="11" customWidth="1"/>
    <col min="19" max="19" width="12" customWidth="1"/>
    <col min="20" max="20" width="10" customWidth="1"/>
    <col min="21" max="22" width="12" customWidth="1"/>
    <col min="23" max="23" width="18" customWidth="1"/>
    <col min="24" max="24" width="22" customWidth="1"/>
  </cols>
  <sheetData>
    <row r="1" spans="1:24" ht="47.25" customHeight="1" x14ac:dyDescent="0.3">
      <c r="A1" s="10" t="s">
        <v>16</v>
      </c>
      <c r="B1" s="10" t="s">
        <v>17</v>
      </c>
      <c r="C1" s="10" t="s">
        <v>18</v>
      </c>
      <c r="D1" s="10" t="s">
        <v>19</v>
      </c>
      <c r="E1" s="10" t="s">
        <v>20</v>
      </c>
      <c r="F1" s="10" t="s">
        <v>21</v>
      </c>
      <c r="G1" s="10" t="s">
        <v>22</v>
      </c>
      <c r="H1" s="10" t="s">
        <v>23</v>
      </c>
      <c r="I1" s="10" t="s">
        <v>24</v>
      </c>
      <c r="J1" s="10" t="s">
        <v>25</v>
      </c>
      <c r="K1" s="10" t="s">
        <v>26</v>
      </c>
      <c r="L1" s="10" t="s">
        <v>27</v>
      </c>
      <c r="M1" s="10" t="s">
        <v>28</v>
      </c>
      <c r="N1" s="10" t="s">
        <v>29</v>
      </c>
      <c r="O1" s="10" t="s">
        <v>30</v>
      </c>
      <c r="P1" s="10" t="s">
        <v>31</v>
      </c>
      <c r="Q1" s="10" t="s">
        <v>32</v>
      </c>
      <c r="R1" s="10" t="s">
        <v>33</v>
      </c>
      <c r="S1" s="10" t="s">
        <v>34</v>
      </c>
      <c r="T1" s="10" t="s">
        <v>35</v>
      </c>
      <c r="U1" s="10" t="s">
        <v>36</v>
      </c>
      <c r="V1" s="10" t="s">
        <v>37</v>
      </c>
      <c r="W1" s="10" t="s">
        <v>38</v>
      </c>
      <c r="X1" s="10" t="s">
        <v>39</v>
      </c>
    </row>
    <row r="2" spans="1:24" ht="78.75" customHeight="1" x14ac:dyDescent="0.3">
      <c r="A2" s="11" t="s">
        <v>40</v>
      </c>
      <c r="B2" s="11" t="s">
        <v>41</v>
      </c>
      <c r="C2" s="11" t="s">
        <v>42</v>
      </c>
      <c r="D2" s="11" t="s">
        <v>42</v>
      </c>
      <c r="E2" s="11" t="s">
        <v>43</v>
      </c>
      <c r="F2" s="11" t="s">
        <v>43</v>
      </c>
      <c r="G2" s="11" t="s">
        <v>44</v>
      </c>
      <c r="H2" s="11" t="s">
        <v>45</v>
      </c>
      <c r="I2" s="11" t="s">
        <v>46</v>
      </c>
      <c r="J2" s="11" t="s">
        <v>47</v>
      </c>
      <c r="K2" s="11" t="s">
        <v>47</v>
      </c>
      <c r="L2" s="11" t="s">
        <v>47</v>
      </c>
      <c r="M2" s="11" t="s">
        <v>47</v>
      </c>
      <c r="N2" s="11" t="s">
        <v>47</v>
      </c>
      <c r="O2" s="11" t="s">
        <v>48</v>
      </c>
      <c r="P2" s="11" t="s">
        <v>49</v>
      </c>
      <c r="Q2" s="11" t="s">
        <v>50</v>
      </c>
      <c r="R2" s="11" t="s">
        <v>51</v>
      </c>
      <c r="S2" s="11" t="s">
        <v>52</v>
      </c>
      <c r="T2" s="11" t="s">
        <v>53</v>
      </c>
      <c r="U2" s="11" t="s">
        <v>54</v>
      </c>
      <c r="V2" s="11" t="s">
        <v>55</v>
      </c>
      <c r="W2" s="11" t="s">
        <v>56</v>
      </c>
      <c r="X2" s="11" t="s">
        <v>57</v>
      </c>
    </row>
    <row r="3" spans="1:24" ht="26.25" customHeight="1" x14ac:dyDescent="0.3">
      <c r="A3" s="12" t="s">
        <v>58</v>
      </c>
      <c r="B3" s="12" t="s">
        <v>59</v>
      </c>
      <c r="C3" s="12" t="s">
        <v>60</v>
      </c>
      <c r="D3" s="12" t="s">
        <v>61</v>
      </c>
      <c r="E3" s="13">
        <v>-6.2184999999999997</v>
      </c>
      <c r="F3" s="13">
        <v>107.0074</v>
      </c>
      <c r="G3" s="12" t="s">
        <v>62</v>
      </c>
      <c r="H3" s="12" t="s">
        <v>63</v>
      </c>
      <c r="I3" s="12" t="s">
        <v>64</v>
      </c>
      <c r="J3" s="12" t="s">
        <v>65</v>
      </c>
      <c r="K3" s="12" t="s">
        <v>65</v>
      </c>
      <c r="L3" s="12" t="s">
        <v>66</v>
      </c>
      <c r="M3" s="12" t="s">
        <v>66</v>
      </c>
      <c r="N3" s="12" t="s">
        <v>65</v>
      </c>
      <c r="O3" s="14">
        <f t="shared" ref="O3:O39" si="0">IFERROR(COUNTIF(J3:N3,"Ya")/5,"")</f>
        <v>0.6</v>
      </c>
      <c r="P3" s="15">
        <v>8</v>
      </c>
      <c r="Q3" s="15">
        <v>15</v>
      </c>
      <c r="R3" s="14">
        <f t="shared" ref="R3:R39" si="1">IFERROR(MIN(1,Q3/P3),"")</f>
        <v>1</v>
      </c>
      <c r="S3" s="15">
        <v>70</v>
      </c>
      <c r="T3" s="14">
        <f t="shared" ref="T3:T39" si="2">IFERROR(S3/100,"")</f>
        <v>0.7</v>
      </c>
      <c r="U3" s="14">
        <f t="shared" ref="U3:U39" si="3">IFERROR(0.4*O3+0.35*R3+0.25*T3,"")</f>
        <v>0.7649999999999999</v>
      </c>
      <c r="V3" s="15">
        <v>6</v>
      </c>
      <c r="W3" s="12" t="s">
        <v>67</v>
      </c>
      <c r="X3" s="12" t="s">
        <v>68</v>
      </c>
    </row>
    <row r="4" spans="1:24" ht="39.75" customHeight="1" x14ac:dyDescent="0.3">
      <c r="A4" s="16" t="s">
        <v>58</v>
      </c>
      <c r="B4" s="16" t="s">
        <v>69</v>
      </c>
      <c r="C4" s="16" t="s">
        <v>70</v>
      </c>
      <c r="D4" s="16" t="s">
        <v>71</v>
      </c>
      <c r="E4" s="17"/>
      <c r="F4" s="17"/>
      <c r="G4" s="16" t="s">
        <v>72</v>
      </c>
      <c r="H4" s="16"/>
      <c r="I4" s="16" t="s">
        <v>64</v>
      </c>
      <c r="J4" s="16" t="s">
        <v>65</v>
      </c>
      <c r="K4" s="16" t="s">
        <v>66</v>
      </c>
      <c r="L4" s="16" t="s">
        <v>66</v>
      </c>
      <c r="M4" s="16" t="s">
        <v>66</v>
      </c>
      <c r="N4" s="16" t="s">
        <v>66</v>
      </c>
      <c r="O4" s="14">
        <f t="shared" si="0"/>
        <v>0.2</v>
      </c>
      <c r="P4" s="18">
        <v>13</v>
      </c>
      <c r="Q4" s="18">
        <v>15</v>
      </c>
      <c r="R4" s="14">
        <f t="shared" si="1"/>
        <v>1</v>
      </c>
      <c r="S4" s="18">
        <v>75</v>
      </c>
      <c r="T4" s="14">
        <f t="shared" si="2"/>
        <v>0.75</v>
      </c>
      <c r="U4" s="14">
        <f t="shared" si="3"/>
        <v>0.61749999999999994</v>
      </c>
      <c r="V4" s="18">
        <v>50</v>
      </c>
      <c r="W4" s="16"/>
      <c r="X4" s="16" t="s">
        <v>73</v>
      </c>
    </row>
    <row r="5" spans="1:24" ht="39.75" customHeight="1" x14ac:dyDescent="0.3">
      <c r="A5" s="16" t="s">
        <v>74</v>
      </c>
      <c r="B5" s="16" t="s">
        <v>75</v>
      </c>
      <c r="C5" s="16" t="s">
        <v>70</v>
      </c>
      <c r="D5" s="16" t="s">
        <v>76</v>
      </c>
      <c r="E5" s="17"/>
      <c r="F5" s="17"/>
      <c r="G5" s="16" t="s">
        <v>72</v>
      </c>
      <c r="H5" s="16"/>
      <c r="I5" s="16" t="s">
        <v>77</v>
      </c>
      <c r="J5" s="16" t="s">
        <v>65</v>
      </c>
      <c r="K5" s="16" t="s">
        <v>65</v>
      </c>
      <c r="L5" s="16" t="s">
        <v>65</v>
      </c>
      <c r="M5" s="16" t="s">
        <v>66</v>
      </c>
      <c r="N5" s="16" t="s">
        <v>65</v>
      </c>
      <c r="O5" s="14">
        <f t="shared" si="0"/>
        <v>0.8</v>
      </c>
      <c r="P5" s="18">
        <v>13</v>
      </c>
      <c r="Q5" s="18">
        <v>15</v>
      </c>
      <c r="R5" s="14">
        <f t="shared" si="1"/>
        <v>1</v>
      </c>
      <c r="S5" s="18">
        <v>75</v>
      </c>
      <c r="T5" s="14">
        <f t="shared" si="2"/>
        <v>0.75</v>
      </c>
      <c r="U5" s="14">
        <f t="shared" si="3"/>
        <v>0.85750000000000004</v>
      </c>
      <c r="V5" s="18">
        <v>60</v>
      </c>
      <c r="W5" s="16"/>
      <c r="X5" s="16" t="s">
        <v>73</v>
      </c>
    </row>
    <row r="6" spans="1:24" ht="39.75" customHeight="1" x14ac:dyDescent="0.3">
      <c r="A6" s="16" t="s">
        <v>78</v>
      </c>
      <c r="B6" s="16" t="s">
        <v>79</v>
      </c>
      <c r="C6" s="16" t="s">
        <v>80</v>
      </c>
      <c r="D6" s="16" t="s">
        <v>81</v>
      </c>
      <c r="E6" s="17"/>
      <c r="F6" s="17"/>
      <c r="G6" s="16" t="s">
        <v>72</v>
      </c>
      <c r="H6" s="16"/>
      <c r="I6" s="16" t="s">
        <v>77</v>
      </c>
      <c r="J6" s="16" t="s">
        <v>65</v>
      </c>
      <c r="K6" s="16" t="s">
        <v>65</v>
      </c>
      <c r="L6" s="16" t="s">
        <v>66</v>
      </c>
      <c r="M6" s="16" t="s">
        <v>66</v>
      </c>
      <c r="N6" s="16" t="s">
        <v>66</v>
      </c>
      <c r="O6" s="14">
        <f t="shared" si="0"/>
        <v>0.4</v>
      </c>
      <c r="P6" s="18">
        <v>15</v>
      </c>
      <c r="Q6" s="18">
        <v>15</v>
      </c>
      <c r="R6" s="14">
        <f t="shared" si="1"/>
        <v>1</v>
      </c>
      <c r="S6" s="18">
        <v>45</v>
      </c>
      <c r="T6" s="14">
        <f t="shared" si="2"/>
        <v>0.45</v>
      </c>
      <c r="U6" s="14">
        <f t="shared" si="3"/>
        <v>0.62250000000000005</v>
      </c>
      <c r="V6" s="18">
        <v>25</v>
      </c>
      <c r="W6" s="16"/>
      <c r="X6" s="16" t="s">
        <v>82</v>
      </c>
    </row>
    <row r="7" spans="1:24" ht="39.75" customHeight="1" x14ac:dyDescent="0.3">
      <c r="A7" s="16" t="s">
        <v>83</v>
      </c>
      <c r="B7" s="16" t="s">
        <v>84</v>
      </c>
      <c r="C7" s="16" t="s">
        <v>80</v>
      </c>
      <c r="D7" s="16" t="s">
        <v>81</v>
      </c>
      <c r="E7" s="17"/>
      <c r="F7" s="17"/>
      <c r="G7" s="16" t="s">
        <v>72</v>
      </c>
      <c r="H7" s="16"/>
      <c r="I7" s="16" t="s">
        <v>77</v>
      </c>
      <c r="J7" s="16" t="s">
        <v>65</v>
      </c>
      <c r="K7" s="16" t="s">
        <v>66</v>
      </c>
      <c r="L7" s="16" t="s">
        <v>66</v>
      </c>
      <c r="M7" s="16" t="s">
        <v>66</v>
      </c>
      <c r="N7" s="16" t="s">
        <v>66</v>
      </c>
      <c r="O7" s="14">
        <f t="shared" si="0"/>
        <v>0.2</v>
      </c>
      <c r="P7" s="18">
        <v>15</v>
      </c>
      <c r="Q7" s="18">
        <v>15</v>
      </c>
      <c r="R7" s="14">
        <f t="shared" si="1"/>
        <v>1</v>
      </c>
      <c r="S7" s="18">
        <v>45</v>
      </c>
      <c r="T7" s="14">
        <f t="shared" si="2"/>
        <v>0.45</v>
      </c>
      <c r="U7" s="14">
        <f t="shared" si="3"/>
        <v>0.54249999999999998</v>
      </c>
      <c r="V7" s="18">
        <v>20</v>
      </c>
      <c r="W7" s="16"/>
      <c r="X7" s="16"/>
    </row>
    <row r="8" spans="1:24" ht="39.75" customHeight="1" x14ac:dyDescent="0.3">
      <c r="A8" s="16" t="s">
        <v>85</v>
      </c>
      <c r="B8" s="16" t="s">
        <v>86</v>
      </c>
      <c r="C8" s="16" t="s">
        <v>80</v>
      </c>
      <c r="D8" s="16" t="s">
        <v>81</v>
      </c>
      <c r="E8" s="17"/>
      <c r="F8" s="17"/>
      <c r="G8" s="16" t="s">
        <v>72</v>
      </c>
      <c r="H8" s="16"/>
      <c r="I8" s="16" t="s">
        <v>77</v>
      </c>
      <c r="J8" s="16" t="s">
        <v>65</v>
      </c>
      <c r="K8" s="16" t="s">
        <v>66</v>
      </c>
      <c r="L8" s="16" t="s">
        <v>66</v>
      </c>
      <c r="M8" s="16" t="s">
        <v>66</v>
      </c>
      <c r="N8" s="16" t="s">
        <v>66</v>
      </c>
      <c r="O8" s="14">
        <f t="shared" si="0"/>
        <v>0.2</v>
      </c>
      <c r="P8" s="18">
        <v>15</v>
      </c>
      <c r="Q8" s="18">
        <v>15</v>
      </c>
      <c r="R8" s="14">
        <f t="shared" si="1"/>
        <v>1</v>
      </c>
      <c r="S8" s="18">
        <v>45</v>
      </c>
      <c r="T8" s="14">
        <f t="shared" si="2"/>
        <v>0.45</v>
      </c>
      <c r="U8" s="14">
        <f t="shared" si="3"/>
        <v>0.54249999999999998</v>
      </c>
      <c r="V8" s="18">
        <v>20</v>
      </c>
      <c r="W8" s="16"/>
      <c r="X8" s="16"/>
    </row>
    <row r="9" spans="1:24" ht="39.75" customHeight="1" x14ac:dyDescent="0.3">
      <c r="A9" s="16" t="s">
        <v>87</v>
      </c>
      <c r="B9" s="16" t="s">
        <v>88</v>
      </c>
      <c r="C9" s="16" t="s">
        <v>89</v>
      </c>
      <c r="D9" s="16" t="s">
        <v>89</v>
      </c>
      <c r="E9" s="17"/>
      <c r="F9" s="17"/>
      <c r="G9" s="16" t="s">
        <v>72</v>
      </c>
      <c r="H9" s="16"/>
      <c r="I9" s="16" t="s">
        <v>77</v>
      </c>
      <c r="J9" s="16" t="s">
        <v>65</v>
      </c>
      <c r="K9" s="16" t="s">
        <v>65</v>
      </c>
      <c r="L9" s="16" t="s">
        <v>66</v>
      </c>
      <c r="M9" s="16" t="s">
        <v>66</v>
      </c>
      <c r="N9" s="16" t="s">
        <v>66</v>
      </c>
      <c r="O9" s="14">
        <f t="shared" si="0"/>
        <v>0.4</v>
      </c>
      <c r="P9" s="18">
        <v>15</v>
      </c>
      <c r="Q9" s="18">
        <v>15</v>
      </c>
      <c r="R9" s="14">
        <f t="shared" si="1"/>
        <v>1</v>
      </c>
      <c r="S9" s="18">
        <v>45</v>
      </c>
      <c r="T9" s="14">
        <f t="shared" si="2"/>
        <v>0.45</v>
      </c>
      <c r="U9" s="14">
        <f t="shared" si="3"/>
        <v>0.62250000000000005</v>
      </c>
      <c r="V9" s="18">
        <v>30</v>
      </c>
      <c r="W9" s="16"/>
      <c r="X9" s="16"/>
    </row>
    <row r="10" spans="1:24" ht="39.75" customHeight="1" x14ac:dyDescent="0.3">
      <c r="A10" s="16" t="s">
        <v>90</v>
      </c>
      <c r="B10" s="16" t="s">
        <v>91</v>
      </c>
      <c r="C10" s="16" t="s">
        <v>89</v>
      </c>
      <c r="D10" s="16" t="s">
        <v>89</v>
      </c>
      <c r="E10" s="17"/>
      <c r="F10" s="17"/>
      <c r="G10" s="16" t="s">
        <v>72</v>
      </c>
      <c r="H10" s="16"/>
      <c r="I10" s="16" t="s">
        <v>77</v>
      </c>
      <c r="J10" s="16" t="s">
        <v>65</v>
      </c>
      <c r="K10" s="16" t="s">
        <v>66</v>
      </c>
      <c r="L10" s="16" t="s">
        <v>66</v>
      </c>
      <c r="M10" s="16" t="s">
        <v>66</v>
      </c>
      <c r="N10" s="16" t="s">
        <v>66</v>
      </c>
      <c r="O10" s="14">
        <f t="shared" si="0"/>
        <v>0.2</v>
      </c>
      <c r="P10" s="18">
        <v>15</v>
      </c>
      <c r="Q10" s="18">
        <v>15</v>
      </c>
      <c r="R10" s="14">
        <f t="shared" si="1"/>
        <v>1</v>
      </c>
      <c r="S10" s="18">
        <v>45</v>
      </c>
      <c r="T10" s="14">
        <f t="shared" si="2"/>
        <v>0.45</v>
      </c>
      <c r="U10" s="14">
        <f t="shared" si="3"/>
        <v>0.54249999999999998</v>
      </c>
      <c r="V10" s="18">
        <v>30</v>
      </c>
      <c r="W10" s="16"/>
      <c r="X10" s="16"/>
    </row>
    <row r="11" spans="1:24" ht="39.75" customHeight="1" x14ac:dyDescent="0.3">
      <c r="A11" s="16" t="s">
        <v>92</v>
      </c>
      <c r="B11" s="16" t="s">
        <v>93</v>
      </c>
      <c r="C11" s="16" t="s">
        <v>89</v>
      </c>
      <c r="D11" s="16" t="s">
        <v>89</v>
      </c>
      <c r="E11" s="17"/>
      <c r="F11" s="17"/>
      <c r="G11" s="16" t="s">
        <v>72</v>
      </c>
      <c r="H11" s="16"/>
      <c r="I11" s="16" t="s">
        <v>77</v>
      </c>
      <c r="J11" s="16" t="s">
        <v>65</v>
      </c>
      <c r="K11" s="16" t="s">
        <v>66</v>
      </c>
      <c r="L11" s="16" t="s">
        <v>66</v>
      </c>
      <c r="M11" s="16" t="s">
        <v>66</v>
      </c>
      <c r="N11" s="16" t="s">
        <v>66</v>
      </c>
      <c r="O11" s="14">
        <f t="shared" si="0"/>
        <v>0.2</v>
      </c>
      <c r="P11" s="18">
        <v>15</v>
      </c>
      <c r="Q11" s="18">
        <v>15</v>
      </c>
      <c r="R11" s="14">
        <f t="shared" si="1"/>
        <v>1</v>
      </c>
      <c r="S11" s="18">
        <v>45</v>
      </c>
      <c r="T11" s="14">
        <f t="shared" si="2"/>
        <v>0.45</v>
      </c>
      <c r="U11" s="14">
        <f t="shared" si="3"/>
        <v>0.54249999999999998</v>
      </c>
      <c r="V11" s="18">
        <v>30</v>
      </c>
      <c r="W11" s="16"/>
      <c r="X11" s="16"/>
    </row>
    <row r="12" spans="1:24" ht="39.75" customHeight="1" x14ac:dyDescent="0.3">
      <c r="A12" s="16" t="s">
        <v>94</v>
      </c>
      <c r="B12" s="16" t="s">
        <v>95</v>
      </c>
      <c r="C12" s="16" t="s">
        <v>89</v>
      </c>
      <c r="D12" s="16" t="s">
        <v>89</v>
      </c>
      <c r="E12" s="17"/>
      <c r="F12" s="17"/>
      <c r="G12" s="16" t="s">
        <v>72</v>
      </c>
      <c r="H12" s="16"/>
      <c r="I12" s="16" t="s">
        <v>77</v>
      </c>
      <c r="J12" s="16" t="s">
        <v>65</v>
      </c>
      <c r="K12" s="16" t="s">
        <v>66</v>
      </c>
      <c r="L12" s="16" t="s">
        <v>66</v>
      </c>
      <c r="M12" s="16" t="s">
        <v>66</v>
      </c>
      <c r="N12" s="16" t="s">
        <v>66</v>
      </c>
      <c r="O12" s="14">
        <f t="shared" si="0"/>
        <v>0.2</v>
      </c>
      <c r="P12" s="18">
        <v>15</v>
      </c>
      <c r="Q12" s="18">
        <v>15</v>
      </c>
      <c r="R12" s="14">
        <f t="shared" si="1"/>
        <v>1</v>
      </c>
      <c r="S12" s="18">
        <v>45</v>
      </c>
      <c r="T12" s="14">
        <f t="shared" si="2"/>
        <v>0.45</v>
      </c>
      <c r="U12" s="14">
        <f t="shared" si="3"/>
        <v>0.54249999999999998</v>
      </c>
      <c r="V12" s="18">
        <v>30</v>
      </c>
      <c r="W12" s="16"/>
      <c r="X12" s="16"/>
    </row>
    <row r="13" spans="1:24" ht="39.75" customHeight="1" x14ac:dyDescent="0.3">
      <c r="A13" s="16" t="s">
        <v>96</v>
      </c>
      <c r="B13" s="16" t="s">
        <v>97</v>
      </c>
      <c r="C13" s="16" t="s">
        <v>81</v>
      </c>
      <c r="D13" s="16" t="s">
        <v>98</v>
      </c>
      <c r="E13" s="17"/>
      <c r="F13" s="17"/>
      <c r="G13" s="16" t="s">
        <v>72</v>
      </c>
      <c r="H13" s="16"/>
      <c r="I13" s="16" t="s">
        <v>77</v>
      </c>
      <c r="J13" s="16" t="s">
        <v>65</v>
      </c>
      <c r="K13" s="16" t="s">
        <v>65</v>
      </c>
      <c r="L13" s="16" t="s">
        <v>66</v>
      </c>
      <c r="M13" s="16" t="s">
        <v>66</v>
      </c>
      <c r="N13" s="16" t="s">
        <v>66</v>
      </c>
      <c r="O13" s="14">
        <f t="shared" si="0"/>
        <v>0.4</v>
      </c>
      <c r="P13" s="18">
        <v>15</v>
      </c>
      <c r="Q13" s="18">
        <v>15</v>
      </c>
      <c r="R13" s="14">
        <f t="shared" si="1"/>
        <v>1</v>
      </c>
      <c r="S13" s="18">
        <v>40</v>
      </c>
      <c r="T13" s="14">
        <f t="shared" si="2"/>
        <v>0.4</v>
      </c>
      <c r="U13" s="14">
        <f t="shared" si="3"/>
        <v>0.61</v>
      </c>
      <c r="V13" s="18">
        <v>25</v>
      </c>
      <c r="W13" s="16"/>
      <c r="X13" s="16"/>
    </row>
    <row r="14" spans="1:24" ht="39.75" customHeight="1" x14ac:dyDescent="0.3">
      <c r="A14" s="16" t="s">
        <v>99</v>
      </c>
      <c r="B14" s="16" t="s">
        <v>100</v>
      </c>
      <c r="C14" s="16" t="s">
        <v>80</v>
      </c>
      <c r="D14" s="16" t="s">
        <v>101</v>
      </c>
      <c r="E14" s="17"/>
      <c r="F14" s="17"/>
      <c r="G14" s="16" t="s">
        <v>72</v>
      </c>
      <c r="H14" s="16"/>
      <c r="I14" s="16" t="s">
        <v>77</v>
      </c>
      <c r="J14" s="16" t="s">
        <v>65</v>
      </c>
      <c r="K14" s="16" t="s">
        <v>65</v>
      </c>
      <c r="L14" s="16" t="s">
        <v>66</v>
      </c>
      <c r="M14" s="16" t="s">
        <v>66</v>
      </c>
      <c r="N14" s="16" t="s">
        <v>66</v>
      </c>
      <c r="O14" s="14">
        <f t="shared" si="0"/>
        <v>0.4</v>
      </c>
      <c r="P14" s="18">
        <v>15</v>
      </c>
      <c r="Q14" s="18">
        <v>15</v>
      </c>
      <c r="R14" s="14">
        <f t="shared" si="1"/>
        <v>1</v>
      </c>
      <c r="S14" s="18">
        <v>40</v>
      </c>
      <c r="T14" s="14">
        <f t="shared" si="2"/>
        <v>0.4</v>
      </c>
      <c r="U14" s="14">
        <f t="shared" si="3"/>
        <v>0.61</v>
      </c>
      <c r="V14" s="18">
        <v>25</v>
      </c>
      <c r="W14" s="16"/>
      <c r="X14" s="16"/>
    </row>
    <row r="15" spans="1:24" ht="39.75" customHeight="1" x14ac:dyDescent="0.3">
      <c r="A15" s="16" t="s">
        <v>102</v>
      </c>
      <c r="B15" s="16" t="s">
        <v>103</v>
      </c>
      <c r="C15" s="16" t="s">
        <v>80</v>
      </c>
      <c r="D15" s="16" t="s">
        <v>101</v>
      </c>
      <c r="E15" s="17"/>
      <c r="F15" s="17"/>
      <c r="G15" s="16" t="s">
        <v>72</v>
      </c>
      <c r="H15" s="16"/>
      <c r="I15" s="16" t="s">
        <v>77</v>
      </c>
      <c r="J15" s="16" t="s">
        <v>65</v>
      </c>
      <c r="K15" s="16" t="s">
        <v>66</v>
      </c>
      <c r="L15" s="16" t="s">
        <v>66</v>
      </c>
      <c r="M15" s="16" t="s">
        <v>66</v>
      </c>
      <c r="N15" s="16" t="s">
        <v>66</v>
      </c>
      <c r="O15" s="14">
        <f t="shared" si="0"/>
        <v>0.2</v>
      </c>
      <c r="P15" s="18">
        <v>15</v>
      </c>
      <c r="Q15" s="18">
        <v>15</v>
      </c>
      <c r="R15" s="14">
        <f t="shared" si="1"/>
        <v>1</v>
      </c>
      <c r="S15" s="18">
        <v>40</v>
      </c>
      <c r="T15" s="14">
        <f t="shared" si="2"/>
        <v>0.4</v>
      </c>
      <c r="U15" s="14">
        <f t="shared" si="3"/>
        <v>0.53</v>
      </c>
      <c r="V15" s="18">
        <v>25</v>
      </c>
      <c r="W15" s="16"/>
      <c r="X15" s="16"/>
    </row>
    <row r="16" spans="1:24" ht="39.75" customHeight="1" x14ac:dyDescent="0.3">
      <c r="A16" s="16" t="s">
        <v>104</v>
      </c>
      <c r="B16" s="16" t="s">
        <v>105</v>
      </c>
      <c r="C16" s="16" t="s">
        <v>106</v>
      </c>
      <c r="D16" s="16" t="s">
        <v>98</v>
      </c>
      <c r="E16" s="17"/>
      <c r="F16" s="17"/>
      <c r="G16" s="16" t="s">
        <v>72</v>
      </c>
      <c r="H16" s="16"/>
      <c r="I16" s="16" t="s">
        <v>77</v>
      </c>
      <c r="J16" s="16" t="s">
        <v>65</v>
      </c>
      <c r="K16" s="16" t="s">
        <v>66</v>
      </c>
      <c r="L16" s="16" t="s">
        <v>66</v>
      </c>
      <c r="M16" s="16" t="s">
        <v>66</v>
      </c>
      <c r="N16" s="16" t="s">
        <v>66</v>
      </c>
      <c r="O16" s="14">
        <f t="shared" si="0"/>
        <v>0.2</v>
      </c>
      <c r="P16" s="18">
        <v>15</v>
      </c>
      <c r="Q16" s="18">
        <v>15</v>
      </c>
      <c r="R16" s="14">
        <f t="shared" si="1"/>
        <v>1</v>
      </c>
      <c r="S16" s="18">
        <v>35</v>
      </c>
      <c r="T16" s="14">
        <f t="shared" si="2"/>
        <v>0.35</v>
      </c>
      <c r="U16" s="14">
        <f t="shared" si="3"/>
        <v>0.51749999999999996</v>
      </c>
      <c r="V16" s="18">
        <v>25</v>
      </c>
      <c r="W16" s="16"/>
      <c r="X16" s="16"/>
    </row>
    <row r="17" spans="1:24" ht="39.75" customHeight="1" x14ac:dyDescent="0.3">
      <c r="A17" s="16" t="s">
        <v>107</v>
      </c>
      <c r="B17" s="16" t="s">
        <v>108</v>
      </c>
      <c r="C17" s="16" t="s">
        <v>106</v>
      </c>
      <c r="D17" s="16" t="s">
        <v>98</v>
      </c>
      <c r="E17" s="17"/>
      <c r="F17" s="17"/>
      <c r="G17" s="16" t="s">
        <v>72</v>
      </c>
      <c r="H17" s="16"/>
      <c r="I17" s="16" t="s">
        <v>77</v>
      </c>
      <c r="J17" s="16" t="s">
        <v>65</v>
      </c>
      <c r="K17" s="16" t="s">
        <v>66</v>
      </c>
      <c r="L17" s="16" t="s">
        <v>66</v>
      </c>
      <c r="M17" s="16" t="s">
        <v>66</v>
      </c>
      <c r="N17" s="16" t="s">
        <v>66</v>
      </c>
      <c r="O17" s="14">
        <f t="shared" si="0"/>
        <v>0.2</v>
      </c>
      <c r="P17" s="18">
        <v>15</v>
      </c>
      <c r="Q17" s="18">
        <v>15</v>
      </c>
      <c r="R17" s="14">
        <f t="shared" si="1"/>
        <v>1</v>
      </c>
      <c r="S17" s="18">
        <v>35</v>
      </c>
      <c r="T17" s="14">
        <f t="shared" si="2"/>
        <v>0.35</v>
      </c>
      <c r="U17" s="14">
        <f t="shared" si="3"/>
        <v>0.51749999999999996</v>
      </c>
      <c r="V17" s="18">
        <v>25</v>
      </c>
      <c r="W17" s="16"/>
      <c r="X17" s="16"/>
    </row>
    <row r="18" spans="1:24" ht="39.75" customHeight="1" x14ac:dyDescent="0.3">
      <c r="A18" s="16" t="s">
        <v>109</v>
      </c>
      <c r="B18" s="16" t="s">
        <v>110</v>
      </c>
      <c r="C18" s="16" t="s">
        <v>70</v>
      </c>
      <c r="D18" s="16" t="s">
        <v>71</v>
      </c>
      <c r="E18" s="17"/>
      <c r="F18" s="17"/>
      <c r="G18" s="16" t="s">
        <v>72</v>
      </c>
      <c r="H18" s="16"/>
      <c r="I18" s="16" t="s">
        <v>77</v>
      </c>
      <c r="J18" s="16" t="s">
        <v>65</v>
      </c>
      <c r="K18" s="16" t="s">
        <v>65</v>
      </c>
      <c r="L18" s="16" t="s">
        <v>65</v>
      </c>
      <c r="M18" s="16" t="s">
        <v>66</v>
      </c>
      <c r="N18" s="16" t="s">
        <v>66</v>
      </c>
      <c r="O18" s="14">
        <f t="shared" si="0"/>
        <v>0.6</v>
      </c>
      <c r="P18" s="18">
        <v>13</v>
      </c>
      <c r="Q18" s="18">
        <v>15</v>
      </c>
      <c r="R18" s="14">
        <f t="shared" si="1"/>
        <v>1</v>
      </c>
      <c r="S18" s="18">
        <v>75</v>
      </c>
      <c r="T18" s="14">
        <f t="shared" si="2"/>
        <v>0.75</v>
      </c>
      <c r="U18" s="14">
        <f t="shared" si="3"/>
        <v>0.77749999999999997</v>
      </c>
      <c r="V18" s="18">
        <v>60</v>
      </c>
      <c r="W18" s="16"/>
      <c r="X18" s="16"/>
    </row>
    <row r="19" spans="1:24" ht="39.75" customHeight="1" x14ac:dyDescent="0.3">
      <c r="A19" s="16"/>
      <c r="B19" s="16"/>
      <c r="C19" s="16"/>
      <c r="D19" s="16"/>
      <c r="E19" s="17"/>
      <c r="G19" s="16"/>
      <c r="H19" s="16"/>
      <c r="I19" s="16"/>
      <c r="J19" s="16"/>
      <c r="K19" s="16"/>
      <c r="L19" s="16"/>
      <c r="M19" s="16"/>
      <c r="N19" s="16"/>
      <c r="O19" s="14">
        <f t="shared" si="0"/>
        <v>0</v>
      </c>
      <c r="P19" s="18"/>
      <c r="Q19" s="18">
        <v>15</v>
      </c>
      <c r="R19" s="14" t="str">
        <f t="shared" si="1"/>
        <v/>
      </c>
      <c r="S19" s="18"/>
      <c r="T19" s="14">
        <f t="shared" si="2"/>
        <v>0</v>
      </c>
      <c r="U19" s="14" t="str">
        <f t="shared" si="3"/>
        <v/>
      </c>
      <c r="V19" s="18"/>
      <c r="W19" s="16"/>
      <c r="X19" s="16"/>
    </row>
    <row r="20" spans="1:24" ht="39.75" customHeight="1" x14ac:dyDescent="0.3">
      <c r="A20" s="16"/>
      <c r="B20" s="16"/>
      <c r="C20" s="16"/>
      <c r="D20" s="16"/>
      <c r="E20" s="17"/>
      <c r="F20" s="17"/>
      <c r="G20" s="16"/>
      <c r="H20" s="16"/>
      <c r="I20" s="16"/>
      <c r="J20" s="16"/>
      <c r="K20" s="16"/>
      <c r="L20" s="16"/>
      <c r="M20" s="16"/>
      <c r="N20" s="16"/>
      <c r="O20" s="14">
        <f t="shared" si="0"/>
        <v>0</v>
      </c>
      <c r="P20" s="18"/>
      <c r="Q20" s="18">
        <v>15</v>
      </c>
      <c r="R20" s="14" t="str">
        <f t="shared" si="1"/>
        <v/>
      </c>
      <c r="S20" s="18"/>
      <c r="T20" s="14">
        <f t="shared" si="2"/>
        <v>0</v>
      </c>
      <c r="U20" s="14" t="str">
        <f t="shared" si="3"/>
        <v/>
      </c>
      <c r="V20" s="18"/>
      <c r="W20" s="16"/>
      <c r="X20" s="16"/>
    </row>
    <row r="21" spans="1:24" ht="39.75" customHeight="1" x14ac:dyDescent="0.3">
      <c r="A21" s="16"/>
      <c r="B21" s="16"/>
      <c r="C21" s="16"/>
      <c r="D21" s="16"/>
      <c r="E21" s="17"/>
      <c r="F21" s="17"/>
      <c r="G21" s="16"/>
      <c r="H21" s="16"/>
      <c r="I21" s="16"/>
      <c r="J21" s="16"/>
      <c r="K21" s="16"/>
      <c r="L21" s="16"/>
      <c r="M21" s="16"/>
      <c r="N21" s="16"/>
      <c r="O21" s="14">
        <f t="shared" si="0"/>
        <v>0</v>
      </c>
      <c r="P21" s="18"/>
      <c r="Q21" s="18">
        <v>15</v>
      </c>
      <c r="R21" s="14" t="str">
        <f t="shared" si="1"/>
        <v/>
      </c>
      <c r="S21" s="18"/>
      <c r="T21" s="14">
        <f t="shared" si="2"/>
        <v>0</v>
      </c>
      <c r="U21" s="14" t="str">
        <f t="shared" si="3"/>
        <v/>
      </c>
      <c r="V21" s="18"/>
      <c r="W21" s="16"/>
      <c r="X21" s="16"/>
    </row>
    <row r="22" spans="1:24" ht="39.75" customHeight="1" x14ac:dyDescent="0.3">
      <c r="A22" s="16"/>
      <c r="B22" s="16"/>
      <c r="C22" s="16"/>
      <c r="D22" s="16"/>
      <c r="E22" s="17"/>
      <c r="F22" s="17"/>
      <c r="G22" s="16"/>
      <c r="H22" s="16"/>
      <c r="I22" s="16"/>
      <c r="J22" s="16"/>
      <c r="K22" s="16"/>
      <c r="L22" s="16"/>
      <c r="M22" s="16"/>
      <c r="N22" s="16"/>
      <c r="O22" s="14">
        <f t="shared" si="0"/>
        <v>0</v>
      </c>
      <c r="P22" s="18"/>
      <c r="Q22" s="18">
        <v>15</v>
      </c>
      <c r="R22" s="14" t="str">
        <f t="shared" si="1"/>
        <v/>
      </c>
      <c r="S22" s="18"/>
      <c r="T22" s="14">
        <f t="shared" si="2"/>
        <v>0</v>
      </c>
      <c r="U22" s="14" t="str">
        <f t="shared" si="3"/>
        <v/>
      </c>
      <c r="V22" s="18"/>
      <c r="W22" s="16"/>
      <c r="X22" s="16"/>
    </row>
    <row r="23" spans="1:24" ht="39.75" customHeight="1" x14ac:dyDescent="0.3">
      <c r="A23" s="16"/>
      <c r="B23" s="16"/>
      <c r="C23" s="16"/>
      <c r="D23" s="16"/>
      <c r="E23" s="17"/>
      <c r="F23" s="17"/>
      <c r="G23" s="16"/>
      <c r="H23" s="16"/>
      <c r="I23" s="16"/>
      <c r="J23" s="16"/>
      <c r="K23" s="16"/>
      <c r="L23" s="16"/>
      <c r="M23" s="16"/>
      <c r="N23" s="16"/>
      <c r="O23" s="14">
        <f t="shared" si="0"/>
        <v>0</v>
      </c>
      <c r="P23" s="18"/>
      <c r="Q23" s="18">
        <v>15</v>
      </c>
      <c r="R23" s="14" t="str">
        <f t="shared" si="1"/>
        <v/>
      </c>
      <c r="S23" s="18"/>
      <c r="T23" s="14">
        <f t="shared" si="2"/>
        <v>0</v>
      </c>
      <c r="U23" s="14" t="str">
        <f t="shared" si="3"/>
        <v/>
      </c>
      <c r="V23" s="18"/>
      <c r="W23" s="16"/>
      <c r="X23" s="16"/>
    </row>
    <row r="24" spans="1:24" ht="39.75" customHeight="1" x14ac:dyDescent="0.3">
      <c r="A24" s="16"/>
      <c r="B24" s="16"/>
      <c r="C24" s="16"/>
      <c r="D24" s="16"/>
      <c r="E24" s="17"/>
      <c r="F24" s="17"/>
      <c r="G24" s="16"/>
      <c r="H24" s="16"/>
      <c r="I24" s="16"/>
      <c r="J24" s="16"/>
      <c r="K24" s="16"/>
      <c r="L24" s="16"/>
      <c r="M24" s="16"/>
      <c r="N24" s="16"/>
      <c r="O24" s="14">
        <f t="shared" si="0"/>
        <v>0</v>
      </c>
      <c r="P24" s="18"/>
      <c r="Q24" s="18">
        <v>15</v>
      </c>
      <c r="R24" s="14" t="str">
        <f t="shared" si="1"/>
        <v/>
      </c>
      <c r="S24" s="18"/>
      <c r="T24" s="14">
        <f t="shared" si="2"/>
        <v>0</v>
      </c>
      <c r="U24" s="14" t="str">
        <f t="shared" si="3"/>
        <v/>
      </c>
      <c r="V24" s="18"/>
      <c r="W24" s="16"/>
      <c r="X24" s="16"/>
    </row>
    <row r="25" spans="1:24" ht="39.75" customHeight="1" x14ac:dyDescent="0.3">
      <c r="A25" s="16"/>
      <c r="B25" s="16"/>
      <c r="C25" s="16"/>
      <c r="D25" s="16"/>
      <c r="E25" s="17"/>
      <c r="F25" s="17"/>
      <c r="G25" s="16"/>
      <c r="H25" s="16"/>
      <c r="I25" s="16"/>
      <c r="J25" s="16"/>
      <c r="K25" s="16"/>
      <c r="L25" s="16"/>
      <c r="M25" s="16"/>
      <c r="N25" s="16"/>
      <c r="O25" s="14">
        <f t="shared" si="0"/>
        <v>0</v>
      </c>
      <c r="P25" s="18"/>
      <c r="Q25" s="18">
        <v>15</v>
      </c>
      <c r="R25" s="14" t="str">
        <f t="shared" si="1"/>
        <v/>
      </c>
      <c r="S25" s="18"/>
      <c r="T25" s="14">
        <f t="shared" si="2"/>
        <v>0</v>
      </c>
      <c r="U25" s="14" t="str">
        <f t="shared" si="3"/>
        <v/>
      </c>
      <c r="V25" s="18"/>
      <c r="W25" s="16"/>
      <c r="X25" s="16"/>
    </row>
    <row r="26" spans="1:24" ht="39.75" customHeight="1" x14ac:dyDescent="0.3">
      <c r="A26" s="16"/>
      <c r="B26" s="16"/>
      <c r="C26" s="16"/>
      <c r="D26" s="16"/>
      <c r="E26" s="17"/>
      <c r="F26" s="17"/>
      <c r="G26" s="16"/>
      <c r="H26" s="16"/>
      <c r="I26" s="16"/>
      <c r="J26" s="16"/>
      <c r="K26" s="16"/>
      <c r="L26" s="16"/>
      <c r="M26" s="16"/>
      <c r="N26" s="16"/>
      <c r="O26" s="14">
        <f t="shared" si="0"/>
        <v>0</v>
      </c>
      <c r="P26" s="18"/>
      <c r="Q26" s="18">
        <v>15</v>
      </c>
      <c r="R26" s="14" t="str">
        <f t="shared" si="1"/>
        <v/>
      </c>
      <c r="S26" s="18"/>
      <c r="T26" s="14">
        <f t="shared" si="2"/>
        <v>0</v>
      </c>
      <c r="U26" s="14" t="str">
        <f t="shared" si="3"/>
        <v/>
      </c>
      <c r="V26" s="18"/>
      <c r="W26" s="16"/>
      <c r="X26" s="16"/>
    </row>
    <row r="27" spans="1:24" ht="39.75" customHeight="1" x14ac:dyDescent="0.3">
      <c r="A27" s="16"/>
      <c r="B27" s="16"/>
      <c r="C27" s="16"/>
      <c r="D27" s="16"/>
      <c r="E27" s="17"/>
      <c r="F27" s="17"/>
      <c r="G27" s="16"/>
      <c r="H27" s="16"/>
      <c r="I27" s="16"/>
      <c r="J27" s="16"/>
      <c r="K27" s="16"/>
      <c r="L27" s="16"/>
      <c r="M27" s="16"/>
      <c r="N27" s="16"/>
      <c r="O27" s="14">
        <f t="shared" si="0"/>
        <v>0</v>
      </c>
      <c r="P27" s="18"/>
      <c r="Q27" s="18">
        <v>15</v>
      </c>
      <c r="R27" s="14" t="str">
        <f t="shared" si="1"/>
        <v/>
      </c>
      <c r="S27" s="18"/>
      <c r="T27" s="14">
        <f t="shared" si="2"/>
        <v>0</v>
      </c>
      <c r="U27" s="14" t="str">
        <f t="shared" si="3"/>
        <v/>
      </c>
      <c r="V27" s="18"/>
      <c r="W27" s="16"/>
      <c r="X27" s="16"/>
    </row>
    <row r="28" spans="1:24" ht="39.75" customHeight="1" x14ac:dyDescent="0.3">
      <c r="A28" s="16"/>
      <c r="B28" s="16"/>
      <c r="C28" s="16"/>
      <c r="D28" s="16"/>
      <c r="E28" s="17"/>
      <c r="F28" s="17"/>
      <c r="G28" s="16"/>
      <c r="H28" s="16"/>
      <c r="I28" s="16"/>
      <c r="J28" s="16"/>
      <c r="K28" s="16"/>
      <c r="L28" s="16"/>
      <c r="M28" s="16"/>
      <c r="N28" s="16"/>
      <c r="O28" s="14">
        <f t="shared" si="0"/>
        <v>0</v>
      </c>
      <c r="P28" s="18"/>
      <c r="Q28" s="18">
        <v>15</v>
      </c>
      <c r="R28" s="14" t="str">
        <f t="shared" si="1"/>
        <v/>
      </c>
      <c r="S28" s="18"/>
      <c r="T28" s="14">
        <f t="shared" si="2"/>
        <v>0</v>
      </c>
      <c r="U28" s="14" t="str">
        <f t="shared" si="3"/>
        <v/>
      </c>
      <c r="V28" s="18"/>
      <c r="W28" s="16"/>
      <c r="X28" s="16"/>
    </row>
    <row r="29" spans="1:24" ht="39.75" customHeight="1" x14ac:dyDescent="0.3">
      <c r="A29" s="16"/>
      <c r="B29" s="16"/>
      <c r="C29" s="16"/>
      <c r="D29" s="16"/>
      <c r="E29" s="17"/>
      <c r="F29" s="17"/>
      <c r="G29" s="16"/>
      <c r="H29" s="16"/>
      <c r="I29" s="16"/>
      <c r="J29" s="16"/>
      <c r="K29" s="16"/>
      <c r="L29" s="16"/>
      <c r="M29" s="16"/>
      <c r="N29" s="16"/>
      <c r="O29" s="14">
        <f t="shared" si="0"/>
        <v>0</v>
      </c>
      <c r="P29" s="18"/>
      <c r="Q29" s="18">
        <v>15</v>
      </c>
      <c r="R29" s="14" t="str">
        <f t="shared" si="1"/>
        <v/>
      </c>
      <c r="S29" s="18"/>
      <c r="T29" s="14">
        <f t="shared" si="2"/>
        <v>0</v>
      </c>
      <c r="U29" s="14" t="str">
        <f t="shared" si="3"/>
        <v/>
      </c>
      <c r="V29" s="18"/>
      <c r="W29" s="16"/>
      <c r="X29" s="16"/>
    </row>
    <row r="30" spans="1:24" ht="39.75" customHeight="1" x14ac:dyDescent="0.3">
      <c r="A30" s="16"/>
      <c r="B30" s="16"/>
      <c r="C30" s="16"/>
      <c r="D30" s="16"/>
      <c r="E30" s="17"/>
      <c r="F30" s="17"/>
      <c r="G30" s="16"/>
      <c r="H30" s="16"/>
      <c r="I30" s="16"/>
      <c r="J30" s="16"/>
      <c r="K30" s="16"/>
      <c r="L30" s="16"/>
      <c r="M30" s="16"/>
      <c r="N30" s="16"/>
      <c r="O30" s="14">
        <f t="shared" si="0"/>
        <v>0</v>
      </c>
      <c r="P30" s="18"/>
      <c r="Q30" s="18">
        <v>15</v>
      </c>
      <c r="R30" s="14" t="str">
        <f t="shared" si="1"/>
        <v/>
      </c>
      <c r="S30" s="18"/>
      <c r="T30" s="14">
        <f t="shared" si="2"/>
        <v>0</v>
      </c>
      <c r="U30" s="14" t="str">
        <f t="shared" si="3"/>
        <v/>
      </c>
      <c r="V30" s="18"/>
      <c r="W30" s="16"/>
      <c r="X30" s="16"/>
    </row>
    <row r="31" spans="1:24" ht="39.75" customHeight="1" x14ac:dyDescent="0.3">
      <c r="A31" s="16"/>
      <c r="B31" s="16"/>
      <c r="C31" s="16"/>
      <c r="D31" s="16"/>
      <c r="E31" s="17"/>
      <c r="F31" s="17"/>
      <c r="G31" s="16"/>
      <c r="H31" s="16"/>
      <c r="I31" s="16"/>
      <c r="J31" s="16"/>
      <c r="K31" s="16"/>
      <c r="L31" s="16"/>
      <c r="M31" s="16"/>
      <c r="N31" s="16"/>
      <c r="O31" s="14">
        <f t="shared" si="0"/>
        <v>0</v>
      </c>
      <c r="P31" s="18"/>
      <c r="Q31" s="18">
        <v>15</v>
      </c>
      <c r="R31" s="14" t="str">
        <f t="shared" si="1"/>
        <v/>
      </c>
      <c r="S31" s="18"/>
      <c r="T31" s="14">
        <f t="shared" si="2"/>
        <v>0</v>
      </c>
      <c r="U31" s="14" t="str">
        <f t="shared" si="3"/>
        <v/>
      </c>
      <c r="V31" s="18"/>
      <c r="W31" s="16"/>
      <c r="X31" s="16"/>
    </row>
    <row r="32" spans="1:24" ht="39.75" customHeight="1" x14ac:dyDescent="0.3">
      <c r="A32" s="16"/>
      <c r="B32" s="16"/>
      <c r="C32" s="16"/>
      <c r="D32" s="16"/>
      <c r="E32" s="17"/>
      <c r="F32" s="17"/>
      <c r="G32" s="16"/>
      <c r="H32" s="16"/>
      <c r="I32" s="16"/>
      <c r="J32" s="16"/>
      <c r="K32" s="16"/>
      <c r="L32" s="16"/>
      <c r="M32" s="16"/>
      <c r="N32" s="16"/>
      <c r="O32" s="14">
        <f t="shared" si="0"/>
        <v>0</v>
      </c>
      <c r="P32" s="18"/>
      <c r="Q32" s="18">
        <v>15</v>
      </c>
      <c r="R32" s="14" t="str">
        <f t="shared" si="1"/>
        <v/>
      </c>
      <c r="S32" s="18"/>
      <c r="T32" s="14">
        <f t="shared" si="2"/>
        <v>0</v>
      </c>
      <c r="U32" s="14" t="str">
        <f t="shared" si="3"/>
        <v/>
      </c>
      <c r="V32" s="18"/>
      <c r="W32" s="16"/>
      <c r="X32" s="16"/>
    </row>
    <row r="33" spans="1:24" ht="39.75" customHeight="1" x14ac:dyDescent="0.3">
      <c r="A33" s="16"/>
      <c r="B33" s="16"/>
      <c r="C33" s="16"/>
      <c r="D33" s="16"/>
      <c r="E33" s="17"/>
      <c r="F33" s="17"/>
      <c r="G33" s="16"/>
      <c r="H33" s="16"/>
      <c r="I33" s="16"/>
      <c r="J33" s="16"/>
      <c r="K33" s="16"/>
      <c r="L33" s="16"/>
      <c r="M33" s="16"/>
      <c r="N33" s="16"/>
      <c r="O33" s="14">
        <f t="shared" si="0"/>
        <v>0</v>
      </c>
      <c r="P33" s="18"/>
      <c r="Q33" s="18">
        <v>15</v>
      </c>
      <c r="R33" s="14" t="str">
        <f t="shared" si="1"/>
        <v/>
      </c>
      <c r="S33" s="18"/>
      <c r="T33" s="14">
        <f t="shared" si="2"/>
        <v>0</v>
      </c>
      <c r="U33" s="14" t="str">
        <f t="shared" si="3"/>
        <v/>
      </c>
      <c r="V33" s="18"/>
      <c r="W33" s="16"/>
      <c r="X33" s="16"/>
    </row>
    <row r="34" spans="1:24" ht="39.75" customHeight="1" x14ac:dyDescent="0.3">
      <c r="A34" s="16"/>
      <c r="B34" s="16"/>
      <c r="C34" s="16"/>
      <c r="D34" s="16"/>
      <c r="E34" s="17"/>
      <c r="F34" s="17"/>
      <c r="G34" s="16"/>
      <c r="H34" s="16"/>
      <c r="I34" s="16"/>
      <c r="J34" s="16"/>
      <c r="K34" s="16"/>
      <c r="L34" s="16"/>
      <c r="M34" s="16"/>
      <c r="N34" s="16"/>
      <c r="O34" s="14">
        <f t="shared" si="0"/>
        <v>0</v>
      </c>
      <c r="P34" s="18"/>
      <c r="Q34" s="18">
        <v>15</v>
      </c>
      <c r="R34" s="14" t="str">
        <f t="shared" si="1"/>
        <v/>
      </c>
      <c r="S34" s="18"/>
      <c r="T34" s="14">
        <f t="shared" si="2"/>
        <v>0</v>
      </c>
      <c r="U34" s="14" t="str">
        <f t="shared" si="3"/>
        <v/>
      </c>
      <c r="V34" s="18"/>
      <c r="W34" s="16"/>
      <c r="X34" s="16"/>
    </row>
    <row r="35" spans="1:24" ht="39.75" customHeight="1" x14ac:dyDescent="0.3">
      <c r="A35" s="16"/>
      <c r="B35" s="16"/>
      <c r="C35" s="16"/>
      <c r="D35" s="16"/>
      <c r="E35" s="17"/>
      <c r="F35" s="17"/>
      <c r="G35" s="16"/>
      <c r="H35" s="16"/>
      <c r="I35" s="16"/>
      <c r="J35" s="16"/>
      <c r="K35" s="16"/>
      <c r="L35" s="16"/>
      <c r="M35" s="16"/>
      <c r="N35" s="16"/>
      <c r="O35" s="14">
        <f t="shared" si="0"/>
        <v>0</v>
      </c>
      <c r="P35" s="18"/>
      <c r="Q35" s="18">
        <v>15</v>
      </c>
      <c r="R35" s="14" t="str">
        <f t="shared" si="1"/>
        <v/>
      </c>
      <c r="S35" s="18"/>
      <c r="T35" s="14">
        <f t="shared" si="2"/>
        <v>0</v>
      </c>
      <c r="U35" s="14" t="str">
        <f t="shared" si="3"/>
        <v/>
      </c>
      <c r="V35" s="18"/>
      <c r="W35" s="16"/>
      <c r="X35" s="16"/>
    </row>
    <row r="36" spans="1:24" ht="39.75" customHeight="1" x14ac:dyDescent="0.3">
      <c r="A36" s="16"/>
      <c r="B36" s="16"/>
      <c r="C36" s="16"/>
      <c r="D36" s="16"/>
      <c r="E36" s="17"/>
      <c r="F36" s="17"/>
      <c r="G36" s="16"/>
      <c r="H36" s="16"/>
      <c r="I36" s="16"/>
      <c r="J36" s="16"/>
      <c r="K36" s="16"/>
      <c r="L36" s="16"/>
      <c r="M36" s="16"/>
      <c r="N36" s="16"/>
      <c r="O36" s="14">
        <f t="shared" si="0"/>
        <v>0</v>
      </c>
      <c r="P36" s="18"/>
      <c r="Q36" s="18">
        <v>15</v>
      </c>
      <c r="R36" s="14" t="str">
        <f t="shared" si="1"/>
        <v/>
      </c>
      <c r="S36" s="18"/>
      <c r="T36" s="14">
        <f t="shared" si="2"/>
        <v>0</v>
      </c>
      <c r="U36" s="14" t="str">
        <f t="shared" si="3"/>
        <v/>
      </c>
      <c r="V36" s="18"/>
      <c r="W36" s="16"/>
      <c r="X36" s="16"/>
    </row>
    <row r="37" spans="1:24" ht="39.75" customHeight="1" x14ac:dyDescent="0.3">
      <c r="A37" s="16"/>
      <c r="B37" s="16"/>
      <c r="C37" s="16"/>
      <c r="D37" s="16"/>
      <c r="E37" s="17"/>
      <c r="F37" s="17"/>
      <c r="G37" s="16"/>
      <c r="H37" s="16"/>
      <c r="I37" s="16"/>
      <c r="J37" s="16"/>
      <c r="K37" s="16"/>
      <c r="L37" s="16"/>
      <c r="M37" s="16"/>
      <c r="N37" s="16"/>
      <c r="O37" s="14">
        <f t="shared" si="0"/>
        <v>0</v>
      </c>
      <c r="P37" s="18"/>
      <c r="Q37" s="18">
        <v>15</v>
      </c>
      <c r="R37" s="14" t="str">
        <f t="shared" si="1"/>
        <v/>
      </c>
      <c r="S37" s="18"/>
      <c r="T37" s="14">
        <f t="shared" si="2"/>
        <v>0</v>
      </c>
      <c r="U37" s="14" t="str">
        <f t="shared" si="3"/>
        <v/>
      </c>
      <c r="V37" s="18"/>
      <c r="W37" s="16"/>
      <c r="X37" s="16"/>
    </row>
    <row r="38" spans="1:24" ht="39.75" customHeight="1" x14ac:dyDescent="0.3">
      <c r="A38" s="16"/>
      <c r="B38" s="16"/>
      <c r="C38" s="16"/>
      <c r="D38" s="16"/>
      <c r="E38" s="17"/>
      <c r="F38" s="17"/>
      <c r="G38" s="16"/>
      <c r="H38" s="16"/>
      <c r="I38" s="16"/>
      <c r="J38" s="16"/>
      <c r="K38" s="16"/>
      <c r="L38" s="16"/>
      <c r="M38" s="16"/>
      <c r="N38" s="16"/>
      <c r="O38" s="14">
        <f t="shared" si="0"/>
        <v>0</v>
      </c>
      <c r="P38" s="18"/>
      <c r="Q38" s="18">
        <v>15</v>
      </c>
      <c r="R38" s="14" t="str">
        <f t="shared" si="1"/>
        <v/>
      </c>
      <c r="S38" s="18"/>
      <c r="T38" s="14">
        <f t="shared" si="2"/>
        <v>0</v>
      </c>
      <c r="U38" s="14" t="str">
        <f t="shared" si="3"/>
        <v/>
      </c>
      <c r="V38" s="18"/>
      <c r="W38" s="16"/>
      <c r="X38" s="16"/>
    </row>
    <row r="39" spans="1:24" ht="39.75" customHeight="1" x14ac:dyDescent="0.3">
      <c r="A39" s="16"/>
      <c r="B39" s="16"/>
      <c r="C39" s="16"/>
      <c r="D39" s="16"/>
      <c r="E39" s="17"/>
      <c r="F39" s="17"/>
      <c r="G39" s="16"/>
      <c r="H39" s="16"/>
      <c r="I39" s="16"/>
      <c r="J39" s="16"/>
      <c r="K39" s="16"/>
      <c r="L39" s="16"/>
      <c r="M39" s="16"/>
      <c r="N39" s="16"/>
      <c r="O39" s="14">
        <f t="shared" si="0"/>
        <v>0</v>
      </c>
      <c r="P39" s="18"/>
      <c r="Q39" s="18">
        <v>15</v>
      </c>
      <c r="R39" s="14" t="str">
        <f t="shared" si="1"/>
        <v/>
      </c>
      <c r="S39" s="18"/>
      <c r="T39" s="14">
        <f t="shared" si="2"/>
        <v>0</v>
      </c>
      <c r="U39" s="14" t="str">
        <f t="shared" si="3"/>
        <v/>
      </c>
      <c r="V39" s="18"/>
      <c r="W39" s="16"/>
      <c r="X39" s="16"/>
    </row>
  </sheetData>
  <dataValidations count="3">
    <dataValidation type="list" allowBlank="1" sqref="J3:N39" xr:uid="{00000000-0002-0000-0100-000000000000}">
      <formula1>"Ya,Tidak"</formula1>
      <formula2>0</formula2>
    </dataValidation>
    <dataValidation type="list" allowBlank="1" sqref="I19:I39" xr:uid="{00000000-0002-0000-0100-000001000000}">
      <formula1>"Pagi,Sore"</formula1>
      <formula2>0</formula2>
    </dataValidation>
    <dataValidation type="list" allowBlank="1" sqref="I3:I18" xr:uid="{00000000-0002-0000-0100-000002000000}">
      <formula1>"Pagi,Siang,Sore,"</formula1>
      <formula2>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tabSelected="1" workbookViewId="0">
      <selection activeCell="A4" sqref="A4"/>
    </sheetView>
  </sheetViews>
  <sheetFormatPr defaultColWidth="8.6640625" defaultRowHeight="14.4" x14ac:dyDescent="0.3"/>
  <cols>
    <col min="1" max="1" width="10" customWidth="1"/>
    <col min="2" max="2" width="34" customWidth="1"/>
    <col min="3" max="4" width="14" customWidth="1"/>
    <col min="5" max="5" width="11" customWidth="1"/>
    <col min="6" max="6" width="15.21875" customWidth="1"/>
    <col min="7" max="7" width="16" customWidth="1"/>
    <col min="8" max="8" width="12" customWidth="1"/>
    <col min="9" max="9" width="19" customWidth="1"/>
    <col min="10" max="12" width="13" customWidth="1"/>
    <col min="13" max="14" width="15" customWidth="1"/>
    <col min="15" max="16" width="14" customWidth="1"/>
    <col min="17" max="17" width="58" customWidth="1"/>
  </cols>
  <sheetData>
    <row r="1" spans="1:17" ht="52.5" customHeight="1" x14ac:dyDescent="0.3">
      <c r="A1" s="10" t="s">
        <v>111</v>
      </c>
      <c r="B1" s="10" t="s">
        <v>112</v>
      </c>
      <c r="C1" s="10" t="s">
        <v>18</v>
      </c>
      <c r="D1" s="10" t="s">
        <v>19</v>
      </c>
      <c r="E1" s="10" t="s">
        <v>20</v>
      </c>
      <c r="F1" s="10" t="s">
        <v>21</v>
      </c>
      <c r="G1" s="10" t="s">
        <v>22</v>
      </c>
      <c r="H1" s="10" t="s">
        <v>113</v>
      </c>
      <c r="I1" s="10" t="s">
        <v>114</v>
      </c>
      <c r="J1" s="10" t="s">
        <v>115</v>
      </c>
      <c r="K1" s="10" t="s">
        <v>116</v>
      </c>
      <c r="L1" s="10" t="s">
        <v>117</v>
      </c>
      <c r="M1" s="10" t="s">
        <v>118</v>
      </c>
      <c r="N1" s="10" t="s">
        <v>119</v>
      </c>
      <c r="O1" s="10" t="s">
        <v>120</v>
      </c>
      <c r="P1" s="10" t="s">
        <v>121</v>
      </c>
      <c r="Q1" s="10" t="s">
        <v>39</v>
      </c>
    </row>
    <row r="2" spans="1:17" ht="66" customHeight="1" x14ac:dyDescent="0.3">
      <c r="A2" s="11" t="s">
        <v>122</v>
      </c>
      <c r="B2" s="11" t="s">
        <v>123</v>
      </c>
      <c r="C2" s="11" t="s">
        <v>42</v>
      </c>
      <c r="D2" s="11" t="s">
        <v>42</v>
      </c>
      <c r="E2" s="11" t="s">
        <v>43</v>
      </c>
      <c r="F2" s="11" t="s">
        <v>43</v>
      </c>
      <c r="G2" s="11" t="s">
        <v>44</v>
      </c>
      <c r="H2" s="11" t="s">
        <v>45</v>
      </c>
      <c r="I2" s="11" t="s">
        <v>124</v>
      </c>
      <c r="J2" s="11" t="s">
        <v>125</v>
      </c>
      <c r="K2" s="11" t="s">
        <v>125</v>
      </c>
      <c r="L2" s="11" t="s">
        <v>125</v>
      </c>
      <c r="M2" s="11" t="s">
        <v>126</v>
      </c>
      <c r="N2" s="11" t="s">
        <v>127</v>
      </c>
      <c r="O2" s="11" t="s">
        <v>128</v>
      </c>
      <c r="P2" s="11" t="s">
        <v>129</v>
      </c>
      <c r="Q2" s="11" t="s">
        <v>130</v>
      </c>
    </row>
    <row r="3" spans="1:17" ht="39" customHeight="1" x14ac:dyDescent="0.3">
      <c r="A3" s="12" t="s">
        <v>131</v>
      </c>
      <c r="B3" s="12" t="s">
        <v>132</v>
      </c>
      <c r="C3" s="12" t="s">
        <v>133</v>
      </c>
      <c r="D3" s="12" t="s">
        <v>134</v>
      </c>
      <c r="E3" s="21">
        <v>-6.234</v>
      </c>
      <c r="F3" s="21">
        <v>107.0192</v>
      </c>
      <c r="G3" s="12" t="s">
        <v>135</v>
      </c>
      <c r="H3" s="12" t="s">
        <v>136</v>
      </c>
      <c r="I3" s="12" t="s">
        <v>137</v>
      </c>
      <c r="J3" s="15">
        <v>24</v>
      </c>
      <c r="K3" s="15">
        <v>31</v>
      </c>
      <c r="L3" s="15">
        <v>40</v>
      </c>
      <c r="M3" s="12" t="s">
        <v>138</v>
      </c>
      <c r="N3" s="12" t="s">
        <v>139</v>
      </c>
      <c r="O3" s="15">
        <v>650</v>
      </c>
      <c r="P3" s="14">
        <f>IF(COUNTA(J3:L3)=0,"",SUM(J3:L3))</f>
        <v>95</v>
      </c>
      <c r="Q3" s="12" t="s">
        <v>140</v>
      </c>
    </row>
    <row r="4" spans="1:17" ht="39.75" customHeight="1" x14ac:dyDescent="0.3">
      <c r="A4" s="16" t="s">
        <v>141</v>
      </c>
      <c r="B4" s="16" t="s">
        <v>142</v>
      </c>
      <c r="C4" s="16" t="s">
        <v>133</v>
      </c>
      <c r="D4" s="16" t="s">
        <v>134</v>
      </c>
      <c r="E4" s="22">
        <v>-6.2468880000000002</v>
      </c>
      <c r="F4" s="22">
        <v>107.018111</v>
      </c>
      <c r="G4" s="16" t="s">
        <v>143</v>
      </c>
      <c r="H4" s="16" t="s">
        <v>144</v>
      </c>
      <c r="I4" s="16" t="s">
        <v>145</v>
      </c>
      <c r="J4" s="20">
        <v>20</v>
      </c>
      <c r="K4" s="20">
        <v>18</v>
      </c>
      <c r="L4" s="20">
        <v>32</v>
      </c>
      <c r="M4" s="16" t="s">
        <v>138</v>
      </c>
      <c r="N4" s="16" t="s">
        <v>146</v>
      </c>
      <c r="O4" s="20">
        <v>50</v>
      </c>
      <c r="P4" s="23">
        <f t="shared" ref="P4:P11" si="0">SUM(J4:L4)</f>
        <v>70</v>
      </c>
      <c r="Q4" s="19" t="s">
        <v>147</v>
      </c>
    </row>
    <row r="5" spans="1:17" ht="39.75" customHeight="1" x14ac:dyDescent="0.3">
      <c r="A5" s="16" t="s">
        <v>148</v>
      </c>
      <c r="B5" s="16" t="s">
        <v>149</v>
      </c>
      <c r="C5" s="16" t="s">
        <v>60</v>
      </c>
      <c r="D5" s="16" t="s">
        <v>61</v>
      </c>
      <c r="E5" s="22">
        <v>-6.2366279000000002</v>
      </c>
      <c r="F5" s="22">
        <v>106.99895410000001</v>
      </c>
      <c r="G5" s="16" t="s">
        <v>143</v>
      </c>
      <c r="H5" s="16" t="s">
        <v>144</v>
      </c>
      <c r="I5" s="16" t="s">
        <v>150</v>
      </c>
      <c r="J5" s="20">
        <v>24</v>
      </c>
      <c r="K5" s="20">
        <v>21</v>
      </c>
      <c r="L5" s="20">
        <v>35</v>
      </c>
      <c r="M5" s="16" t="s">
        <v>138</v>
      </c>
      <c r="N5" s="16" t="s">
        <v>146</v>
      </c>
      <c r="O5" s="20">
        <v>40</v>
      </c>
      <c r="P5" s="23">
        <f t="shared" si="0"/>
        <v>80</v>
      </c>
      <c r="Q5" s="19" t="s">
        <v>151</v>
      </c>
    </row>
    <row r="6" spans="1:17" ht="39.75" customHeight="1" x14ac:dyDescent="0.3">
      <c r="A6" s="16" t="s">
        <v>152</v>
      </c>
      <c r="B6" s="16" t="s">
        <v>153</v>
      </c>
      <c r="C6" s="16" t="s">
        <v>133</v>
      </c>
      <c r="D6" s="16" t="s">
        <v>154</v>
      </c>
      <c r="E6" s="22">
        <v>-6.2492000000000001</v>
      </c>
      <c r="F6" s="22">
        <v>107.01693</v>
      </c>
      <c r="G6" s="16" t="s">
        <v>143</v>
      </c>
      <c r="H6" s="16" t="s">
        <v>144</v>
      </c>
      <c r="I6" s="16" t="s">
        <v>155</v>
      </c>
      <c r="J6" s="20">
        <v>5</v>
      </c>
      <c r="K6" s="20">
        <v>4</v>
      </c>
      <c r="L6" s="20">
        <v>11</v>
      </c>
      <c r="M6" s="16" t="s">
        <v>138</v>
      </c>
      <c r="N6" s="16" t="s">
        <v>139</v>
      </c>
      <c r="O6" s="20">
        <v>150</v>
      </c>
      <c r="P6" s="23">
        <f t="shared" si="0"/>
        <v>20</v>
      </c>
      <c r="Q6" s="19" t="s">
        <v>156</v>
      </c>
    </row>
    <row r="7" spans="1:17" ht="39.75" customHeight="1" x14ac:dyDescent="0.3">
      <c r="A7" s="16" t="s">
        <v>157</v>
      </c>
      <c r="B7" s="16" t="s">
        <v>158</v>
      </c>
      <c r="C7" s="16" t="s">
        <v>133</v>
      </c>
      <c r="D7" s="16" t="s">
        <v>134</v>
      </c>
      <c r="E7" s="22">
        <v>-6.2478920999999996</v>
      </c>
      <c r="F7" s="22">
        <v>107.0117024</v>
      </c>
      <c r="G7" s="16" t="s">
        <v>143</v>
      </c>
      <c r="H7" s="16" t="s">
        <v>144</v>
      </c>
      <c r="I7" s="16" t="s">
        <v>159</v>
      </c>
      <c r="J7" s="20">
        <v>3</v>
      </c>
      <c r="K7" s="20">
        <v>3</v>
      </c>
      <c r="L7" s="20">
        <v>6</v>
      </c>
      <c r="M7" s="16" t="s">
        <v>160</v>
      </c>
      <c r="N7" s="16" t="s">
        <v>139</v>
      </c>
      <c r="O7" s="20">
        <v>250</v>
      </c>
      <c r="P7" s="23">
        <f t="shared" si="0"/>
        <v>12</v>
      </c>
      <c r="Q7" s="19" t="s">
        <v>161</v>
      </c>
    </row>
    <row r="8" spans="1:17" ht="39.75" customHeight="1" x14ac:dyDescent="0.3">
      <c r="A8" s="16" t="s">
        <v>162</v>
      </c>
      <c r="B8" s="16" t="s">
        <v>163</v>
      </c>
      <c r="C8" s="16" t="s">
        <v>133</v>
      </c>
      <c r="D8" s="16" t="s">
        <v>154</v>
      </c>
      <c r="E8" s="22">
        <v>-6.2486199999999998</v>
      </c>
      <c r="F8" s="22">
        <v>107.0134973</v>
      </c>
      <c r="G8" s="16" t="s">
        <v>143</v>
      </c>
      <c r="H8" s="16" t="s">
        <v>144</v>
      </c>
      <c r="I8" s="16" t="s">
        <v>164</v>
      </c>
      <c r="J8" s="20">
        <v>12</v>
      </c>
      <c r="K8" s="20">
        <v>10</v>
      </c>
      <c r="L8" s="20">
        <v>28</v>
      </c>
      <c r="M8" s="16" t="s">
        <v>138</v>
      </c>
      <c r="N8" s="16" t="s">
        <v>139</v>
      </c>
      <c r="O8" s="20">
        <v>140</v>
      </c>
      <c r="P8" s="23">
        <f t="shared" si="0"/>
        <v>50</v>
      </c>
      <c r="Q8" s="19" t="s">
        <v>165</v>
      </c>
    </row>
    <row r="9" spans="1:17" ht="39.75" customHeight="1" x14ac:dyDescent="0.3">
      <c r="A9" s="16" t="s">
        <v>166</v>
      </c>
      <c r="B9" s="16" t="s">
        <v>167</v>
      </c>
      <c r="C9" s="16" t="s">
        <v>133</v>
      </c>
      <c r="D9" s="16" t="s">
        <v>154</v>
      </c>
      <c r="E9" s="22">
        <v>-6.2493629999999998</v>
      </c>
      <c r="F9" s="22">
        <v>107.01343900000001</v>
      </c>
      <c r="G9" s="16" t="s">
        <v>143</v>
      </c>
      <c r="H9" s="16" t="s">
        <v>144</v>
      </c>
      <c r="I9" s="16" t="s">
        <v>168</v>
      </c>
      <c r="J9" s="20">
        <v>15</v>
      </c>
      <c r="K9" s="20">
        <v>14</v>
      </c>
      <c r="L9" s="20">
        <v>23</v>
      </c>
      <c r="M9" s="16" t="s">
        <v>138</v>
      </c>
      <c r="N9" s="16" t="s">
        <v>146</v>
      </c>
      <c r="O9" s="20">
        <v>20</v>
      </c>
      <c r="P9" s="23">
        <f t="shared" si="0"/>
        <v>52</v>
      </c>
      <c r="Q9" s="19" t="s">
        <v>169</v>
      </c>
    </row>
    <row r="10" spans="1:17" ht="39.75" customHeight="1" x14ac:dyDescent="0.3">
      <c r="A10" s="16" t="s">
        <v>170</v>
      </c>
      <c r="B10" s="16" t="s">
        <v>171</v>
      </c>
      <c r="C10" s="16" t="s">
        <v>133</v>
      </c>
      <c r="D10" s="16" t="s">
        <v>154</v>
      </c>
      <c r="E10" s="22">
        <v>-6.2492000000000001</v>
      </c>
      <c r="F10" s="22">
        <v>107.01594</v>
      </c>
      <c r="G10" s="16" t="s">
        <v>143</v>
      </c>
      <c r="H10" s="16" t="s">
        <v>144</v>
      </c>
      <c r="I10" s="16" t="s">
        <v>172</v>
      </c>
      <c r="J10" s="20">
        <v>4</v>
      </c>
      <c r="K10" s="20">
        <v>4</v>
      </c>
      <c r="L10" s="20">
        <v>10</v>
      </c>
      <c r="M10" s="16" t="s">
        <v>160</v>
      </c>
      <c r="N10" s="16" t="s">
        <v>139</v>
      </c>
      <c r="O10" s="20">
        <v>80</v>
      </c>
      <c r="P10" s="23">
        <f t="shared" si="0"/>
        <v>18</v>
      </c>
      <c r="Q10" s="19" t="s">
        <v>173</v>
      </c>
    </row>
    <row r="11" spans="1:17" ht="39.75" customHeight="1" x14ac:dyDescent="0.3">
      <c r="A11" s="16" t="s">
        <v>174</v>
      </c>
      <c r="B11" s="16" t="s">
        <v>175</v>
      </c>
      <c r="C11" s="16" t="s">
        <v>133</v>
      </c>
      <c r="D11" s="16" t="s">
        <v>134</v>
      </c>
      <c r="E11" s="22">
        <v>-6.24716</v>
      </c>
      <c r="F11" s="22">
        <v>107.01054000000001</v>
      </c>
      <c r="G11" s="16" t="s">
        <v>143</v>
      </c>
      <c r="H11" s="16" t="s">
        <v>144</v>
      </c>
      <c r="I11" s="16" t="s">
        <v>176</v>
      </c>
      <c r="J11" s="20">
        <v>2</v>
      </c>
      <c r="K11" s="20">
        <v>2</v>
      </c>
      <c r="L11" s="20">
        <v>6</v>
      </c>
      <c r="M11" s="16" t="s">
        <v>138</v>
      </c>
      <c r="N11" s="16" t="s">
        <v>139</v>
      </c>
      <c r="O11" s="20">
        <v>350</v>
      </c>
      <c r="P11" s="23">
        <f t="shared" si="0"/>
        <v>10</v>
      </c>
      <c r="Q11" s="19" t="s">
        <v>177</v>
      </c>
    </row>
    <row r="12" spans="1:17" ht="39.75" customHeight="1" x14ac:dyDescent="0.3">
      <c r="A12" s="16"/>
      <c r="B12" s="16"/>
      <c r="C12" s="16"/>
      <c r="D12" s="16"/>
      <c r="E12" s="22"/>
      <c r="F12" s="22"/>
      <c r="G12" s="16"/>
      <c r="H12" s="16"/>
      <c r="I12" s="16"/>
      <c r="J12" s="18"/>
      <c r="K12" s="18"/>
      <c r="L12" s="18"/>
      <c r="M12" s="16"/>
      <c r="N12" s="16"/>
      <c r="O12" s="18"/>
      <c r="P12" s="14" t="str">
        <f>IF(COUNTA(J12:L12)=0,"",SUM(J12:L12))</f>
        <v/>
      </c>
      <c r="Q12" s="19"/>
    </row>
    <row r="13" spans="1:17" ht="54" customHeight="1" x14ac:dyDescent="0.3">
      <c r="A13" s="5" t="s">
        <v>178</v>
      </c>
      <c r="B13" s="4"/>
      <c r="C13" s="4"/>
      <c r="D13" s="4"/>
      <c r="E13" s="3"/>
      <c r="F13" s="3"/>
      <c r="G13" s="4"/>
      <c r="H13" s="4"/>
      <c r="I13" s="4"/>
      <c r="J13" s="2"/>
      <c r="K13" s="2"/>
      <c r="L13" s="2"/>
      <c r="M13" s="4"/>
      <c r="N13" s="4"/>
      <c r="O13" s="2"/>
      <c r="P13" s="1"/>
      <c r="Q13" s="5"/>
    </row>
    <row r="14" spans="1:17" ht="39.75" customHeight="1" x14ac:dyDescent="0.3">
      <c r="A14" s="16"/>
      <c r="B14" s="16"/>
      <c r="C14" s="16"/>
      <c r="D14" s="16"/>
      <c r="E14" s="22"/>
      <c r="F14" s="22"/>
      <c r="G14" s="16"/>
      <c r="H14" s="16"/>
      <c r="I14" s="16"/>
      <c r="J14" s="18"/>
      <c r="K14" s="18"/>
      <c r="L14" s="18"/>
      <c r="M14" s="16"/>
      <c r="N14" s="16"/>
      <c r="O14" s="18"/>
      <c r="P14" s="14" t="str">
        <f t="shared" ref="P14:P33" si="1">IF(COUNTA(J14:L14)=0,"",SUM(J14:L14))</f>
        <v/>
      </c>
      <c r="Q14" s="19"/>
    </row>
    <row r="15" spans="1:17" ht="39.75" customHeight="1" x14ac:dyDescent="0.3">
      <c r="A15" s="16"/>
      <c r="B15" s="16"/>
      <c r="C15" s="16"/>
      <c r="D15" s="16"/>
      <c r="E15" s="22"/>
      <c r="F15" s="22"/>
      <c r="G15" s="16"/>
      <c r="H15" s="16"/>
      <c r="I15" s="16"/>
      <c r="J15" s="18"/>
      <c r="K15" s="18"/>
      <c r="L15" s="18"/>
      <c r="M15" s="16"/>
      <c r="N15" s="16"/>
      <c r="O15" s="18"/>
      <c r="P15" s="14" t="str">
        <f t="shared" si="1"/>
        <v/>
      </c>
      <c r="Q15" s="19"/>
    </row>
    <row r="16" spans="1:17" ht="39.75" customHeight="1" x14ac:dyDescent="0.3">
      <c r="A16" s="16"/>
      <c r="B16" s="16"/>
      <c r="C16" s="16"/>
      <c r="D16" s="16"/>
      <c r="E16" s="22"/>
      <c r="F16" s="22"/>
      <c r="G16" s="16"/>
      <c r="H16" s="16"/>
      <c r="I16" s="16"/>
      <c r="J16" s="18"/>
      <c r="K16" s="18"/>
      <c r="L16" s="18"/>
      <c r="M16" s="16"/>
      <c r="N16" s="16"/>
      <c r="O16" s="18"/>
      <c r="P16" s="14" t="str">
        <f t="shared" si="1"/>
        <v/>
      </c>
      <c r="Q16" s="19"/>
    </row>
    <row r="17" spans="1:17" ht="39.75" customHeight="1" x14ac:dyDescent="0.3">
      <c r="A17" s="16"/>
      <c r="B17" s="16"/>
      <c r="C17" s="16"/>
      <c r="D17" s="16"/>
      <c r="E17" s="22"/>
      <c r="F17" s="22"/>
      <c r="G17" s="16"/>
      <c r="H17" s="16"/>
      <c r="I17" s="16"/>
      <c r="J17" s="18"/>
      <c r="K17" s="18"/>
      <c r="L17" s="18"/>
      <c r="M17" s="16"/>
      <c r="N17" s="16"/>
      <c r="O17" s="18"/>
      <c r="P17" s="14" t="str">
        <f t="shared" si="1"/>
        <v/>
      </c>
      <c r="Q17" s="19"/>
    </row>
    <row r="18" spans="1:17" ht="39.75" customHeight="1" x14ac:dyDescent="0.3">
      <c r="A18" s="16"/>
      <c r="B18" s="16"/>
      <c r="C18" s="16"/>
      <c r="D18" s="16"/>
      <c r="E18" s="22"/>
      <c r="F18" s="22"/>
      <c r="G18" s="16"/>
      <c r="H18" s="16"/>
      <c r="I18" s="16"/>
      <c r="J18" s="18"/>
      <c r="K18" s="18"/>
      <c r="L18" s="18"/>
      <c r="M18" s="16"/>
      <c r="N18" s="16"/>
      <c r="O18" s="18"/>
      <c r="P18" s="14" t="str">
        <f t="shared" si="1"/>
        <v/>
      </c>
      <c r="Q18" s="19"/>
    </row>
    <row r="19" spans="1:17" ht="39.75" customHeight="1" x14ac:dyDescent="0.3">
      <c r="A19" s="16"/>
      <c r="B19" s="16"/>
      <c r="C19" s="16"/>
      <c r="D19" s="16"/>
      <c r="E19" s="22"/>
      <c r="F19" s="22"/>
      <c r="G19" s="16"/>
      <c r="H19" s="16"/>
      <c r="I19" s="16"/>
      <c r="J19" s="18"/>
      <c r="K19" s="18"/>
      <c r="L19" s="18"/>
      <c r="M19" s="16"/>
      <c r="N19" s="16"/>
      <c r="O19" s="18"/>
      <c r="P19" s="14" t="str">
        <f t="shared" si="1"/>
        <v/>
      </c>
      <c r="Q19" s="19"/>
    </row>
    <row r="20" spans="1:17" ht="39.75" customHeight="1" x14ac:dyDescent="0.3">
      <c r="A20" s="16"/>
      <c r="B20" s="16"/>
      <c r="C20" s="16"/>
      <c r="D20" s="16"/>
      <c r="E20" s="22"/>
      <c r="F20" s="22"/>
      <c r="G20" s="16"/>
      <c r="H20" s="16"/>
      <c r="I20" s="16"/>
      <c r="J20" s="18"/>
      <c r="K20" s="18"/>
      <c r="L20" s="18"/>
      <c r="M20" s="16"/>
      <c r="N20" s="16"/>
      <c r="O20" s="18"/>
      <c r="P20" s="14" t="str">
        <f t="shared" si="1"/>
        <v/>
      </c>
      <c r="Q20" s="19"/>
    </row>
    <row r="21" spans="1:17" ht="39.75" customHeight="1" x14ac:dyDescent="0.3">
      <c r="A21" s="16"/>
      <c r="B21" s="16"/>
      <c r="C21" s="16"/>
      <c r="D21" s="16"/>
      <c r="E21" s="22"/>
      <c r="F21" s="22"/>
      <c r="G21" s="16"/>
      <c r="H21" s="16"/>
      <c r="I21" s="16"/>
      <c r="J21" s="18"/>
      <c r="K21" s="18"/>
      <c r="L21" s="18"/>
      <c r="M21" s="16"/>
      <c r="N21" s="16"/>
      <c r="O21" s="18"/>
      <c r="P21" s="14" t="str">
        <f t="shared" si="1"/>
        <v/>
      </c>
      <c r="Q21" s="19"/>
    </row>
    <row r="22" spans="1:17" ht="39.75" customHeight="1" x14ac:dyDescent="0.3">
      <c r="A22" s="16"/>
      <c r="B22" s="16"/>
      <c r="C22" s="16"/>
      <c r="D22" s="16"/>
      <c r="E22" s="22"/>
      <c r="F22" s="22"/>
      <c r="G22" s="16"/>
      <c r="H22" s="16"/>
      <c r="I22" s="16"/>
      <c r="J22" s="18"/>
      <c r="K22" s="18"/>
      <c r="L22" s="18"/>
      <c r="M22" s="16"/>
      <c r="N22" s="16"/>
      <c r="O22" s="18"/>
      <c r="P22" s="14" t="str">
        <f t="shared" si="1"/>
        <v/>
      </c>
      <c r="Q22" s="19"/>
    </row>
    <row r="23" spans="1:17" ht="39.75" customHeight="1" x14ac:dyDescent="0.3">
      <c r="A23" s="16"/>
      <c r="B23" s="16"/>
      <c r="C23" s="16"/>
      <c r="D23" s="16"/>
      <c r="E23" s="22"/>
      <c r="F23" s="22"/>
      <c r="G23" s="16"/>
      <c r="H23" s="16"/>
      <c r="I23" s="16"/>
      <c r="J23" s="18"/>
      <c r="K23" s="18"/>
      <c r="L23" s="18"/>
      <c r="M23" s="16"/>
      <c r="N23" s="16"/>
      <c r="O23" s="18"/>
      <c r="P23" s="14" t="str">
        <f t="shared" si="1"/>
        <v/>
      </c>
      <c r="Q23" s="19"/>
    </row>
    <row r="24" spans="1:17" ht="39.75" customHeight="1" x14ac:dyDescent="0.3">
      <c r="A24" s="16"/>
      <c r="B24" s="16"/>
      <c r="C24" s="16"/>
      <c r="D24" s="16"/>
      <c r="E24" s="22"/>
      <c r="F24" s="22"/>
      <c r="G24" s="16"/>
      <c r="H24" s="16"/>
      <c r="I24" s="16"/>
      <c r="J24" s="18"/>
      <c r="K24" s="18"/>
      <c r="L24" s="18"/>
      <c r="M24" s="16"/>
      <c r="N24" s="16"/>
      <c r="O24" s="18"/>
      <c r="P24" s="14" t="str">
        <f t="shared" si="1"/>
        <v/>
      </c>
      <c r="Q24" s="19"/>
    </row>
    <row r="25" spans="1:17" ht="39.75" customHeight="1" x14ac:dyDescent="0.3">
      <c r="A25" s="16"/>
      <c r="B25" s="16"/>
      <c r="C25" s="16"/>
      <c r="D25" s="16"/>
      <c r="E25" s="22"/>
      <c r="F25" s="22"/>
      <c r="G25" s="16"/>
      <c r="H25" s="16"/>
      <c r="I25" s="16"/>
      <c r="J25" s="18"/>
      <c r="K25" s="18"/>
      <c r="L25" s="18"/>
      <c r="M25" s="16"/>
      <c r="N25" s="16"/>
      <c r="O25" s="18"/>
      <c r="P25" s="14" t="str">
        <f t="shared" si="1"/>
        <v/>
      </c>
      <c r="Q25" s="19"/>
    </row>
    <row r="26" spans="1:17" ht="39.75" customHeight="1" x14ac:dyDescent="0.3">
      <c r="A26" s="16"/>
      <c r="B26" s="16"/>
      <c r="C26" s="16"/>
      <c r="D26" s="16"/>
      <c r="E26" s="22"/>
      <c r="F26" s="22"/>
      <c r="G26" s="16"/>
      <c r="H26" s="16"/>
      <c r="I26" s="16"/>
      <c r="J26" s="18"/>
      <c r="K26" s="18"/>
      <c r="L26" s="18"/>
      <c r="M26" s="16"/>
      <c r="N26" s="16"/>
      <c r="O26" s="18"/>
      <c r="P26" s="14" t="str">
        <f t="shared" si="1"/>
        <v/>
      </c>
      <c r="Q26" s="19"/>
    </row>
    <row r="27" spans="1:17" ht="39.75" customHeight="1" x14ac:dyDescent="0.3">
      <c r="A27" s="16"/>
      <c r="B27" s="16"/>
      <c r="C27" s="16"/>
      <c r="D27" s="16"/>
      <c r="E27" s="22"/>
      <c r="F27" s="22"/>
      <c r="G27" s="16"/>
      <c r="H27" s="16"/>
      <c r="I27" s="16"/>
      <c r="J27" s="18"/>
      <c r="K27" s="18"/>
      <c r="L27" s="18"/>
      <c r="M27" s="16"/>
      <c r="N27" s="16"/>
      <c r="O27" s="18"/>
      <c r="P27" s="14" t="str">
        <f t="shared" si="1"/>
        <v/>
      </c>
      <c r="Q27" s="19"/>
    </row>
    <row r="28" spans="1:17" ht="39.75" customHeight="1" x14ac:dyDescent="0.3">
      <c r="A28" s="16"/>
      <c r="B28" s="16"/>
      <c r="C28" s="16"/>
      <c r="D28" s="16"/>
      <c r="E28" s="22"/>
      <c r="F28" s="22"/>
      <c r="G28" s="16"/>
      <c r="H28" s="16"/>
      <c r="I28" s="16"/>
      <c r="J28" s="18"/>
      <c r="K28" s="18"/>
      <c r="L28" s="18"/>
      <c r="M28" s="16"/>
      <c r="N28" s="16"/>
      <c r="O28" s="18"/>
      <c r="P28" s="14" t="str">
        <f t="shared" si="1"/>
        <v/>
      </c>
      <c r="Q28" s="19"/>
    </row>
    <row r="29" spans="1:17" ht="39.75" customHeight="1" x14ac:dyDescent="0.3">
      <c r="A29" s="16"/>
      <c r="B29" s="16"/>
      <c r="C29" s="16"/>
      <c r="D29" s="16"/>
      <c r="E29" s="22"/>
      <c r="F29" s="22"/>
      <c r="G29" s="16"/>
      <c r="H29" s="16"/>
      <c r="I29" s="16"/>
      <c r="J29" s="18"/>
      <c r="K29" s="18"/>
      <c r="L29" s="18"/>
      <c r="M29" s="16"/>
      <c r="N29" s="16"/>
      <c r="O29" s="18"/>
      <c r="P29" s="14" t="str">
        <f t="shared" si="1"/>
        <v/>
      </c>
      <c r="Q29" s="19"/>
    </row>
    <row r="30" spans="1:17" ht="39.75" customHeight="1" x14ac:dyDescent="0.3">
      <c r="A30" s="16"/>
      <c r="B30" s="16"/>
      <c r="C30" s="16"/>
      <c r="D30" s="16"/>
      <c r="E30" s="22"/>
      <c r="F30" s="22"/>
      <c r="G30" s="16"/>
      <c r="H30" s="16"/>
      <c r="I30" s="16"/>
      <c r="J30" s="18"/>
      <c r="K30" s="18"/>
      <c r="L30" s="18"/>
      <c r="M30" s="16"/>
      <c r="N30" s="16"/>
      <c r="O30" s="18"/>
      <c r="P30" s="14" t="str">
        <f t="shared" si="1"/>
        <v/>
      </c>
      <c r="Q30" s="19"/>
    </row>
    <row r="31" spans="1:17" ht="39.75" customHeight="1" x14ac:dyDescent="0.3">
      <c r="A31" s="16"/>
      <c r="B31" s="16"/>
      <c r="C31" s="16"/>
      <c r="D31" s="16"/>
      <c r="E31" s="22"/>
      <c r="F31" s="22"/>
      <c r="G31" s="16"/>
      <c r="H31" s="16"/>
      <c r="I31" s="16"/>
      <c r="J31" s="18"/>
      <c r="K31" s="18"/>
      <c r="L31" s="18"/>
      <c r="M31" s="16"/>
      <c r="N31" s="16"/>
      <c r="O31" s="18"/>
      <c r="P31" s="14" t="str">
        <f t="shared" si="1"/>
        <v/>
      </c>
      <c r="Q31" s="19"/>
    </row>
    <row r="32" spans="1:17" ht="39.75" customHeight="1" x14ac:dyDescent="0.3">
      <c r="A32" s="16"/>
      <c r="B32" s="16"/>
      <c r="C32" s="16"/>
      <c r="D32" s="16"/>
      <c r="E32" s="22"/>
      <c r="F32" s="22"/>
      <c r="G32" s="16"/>
      <c r="H32" s="16"/>
      <c r="I32" s="16"/>
      <c r="J32" s="18"/>
      <c r="K32" s="18"/>
      <c r="L32" s="18"/>
      <c r="M32" s="16"/>
      <c r="N32" s="16"/>
      <c r="O32" s="18"/>
      <c r="P32" s="14" t="str">
        <f t="shared" si="1"/>
        <v/>
      </c>
      <c r="Q32" s="19"/>
    </row>
    <row r="33" spans="1:17" ht="39.75" customHeight="1" x14ac:dyDescent="0.3">
      <c r="A33" s="16"/>
      <c r="B33" s="16"/>
      <c r="C33" s="16"/>
      <c r="D33" s="16"/>
      <c r="E33" s="22"/>
      <c r="F33" s="22"/>
      <c r="G33" s="16"/>
      <c r="H33" s="16"/>
      <c r="I33" s="16"/>
      <c r="J33" s="18"/>
      <c r="K33" s="18"/>
      <c r="L33" s="18"/>
      <c r="M33" s="16"/>
      <c r="N33" s="16"/>
      <c r="O33" s="18"/>
      <c r="P33" s="14" t="str">
        <f t="shared" si="1"/>
        <v/>
      </c>
      <c r="Q33" s="19"/>
    </row>
  </sheetData>
  <mergeCells count="1">
    <mergeCell ref="A13:Q13"/>
  </mergeCells>
  <dataValidations count="3">
    <dataValidation type="list" allowBlank="1" sqref="M3:M33" xr:uid="{00000000-0002-0000-0200-000000000000}">
      <formula1>"Baik,Sedang,Buruk,Tidak Ada"</formula1>
      <formula2>0</formula2>
    </dataValidation>
    <dataValidation type="list" allowBlank="1" sqref="N3:N33" xr:uid="{00000000-0002-0000-0200-000001000000}">
      <formula1>"Ada,Tidak Ada"</formula1>
      <formula2>0</formula2>
    </dataValidation>
    <dataValidation type="list" allowBlank="1" sqref="I3:I33" xr:uid="{00000000-0002-0000-0200-000002000000}">
      <formula1>"Pagi,Sore"</formula1>
      <formula2>0</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Petunjuk</vt:lpstr>
      <vt:lpstr>Form Kondisi Halte</vt:lpstr>
      <vt:lpstr>Form Traffic Counting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Muhamad Febrian</dc:creator>
  <cp:lastModifiedBy>Muhamad Febrian</cp:lastModifiedBy>
  <dcterms:created xsi:type="dcterms:W3CDTF">2026-08-26T15:50:23Z</dcterms:created>
  <dcterms:modified xsi:type="dcterms:W3CDTF">2026-08-26T15:50:23Z</dcterms:modified>
</cp:coreProperties>
</file>